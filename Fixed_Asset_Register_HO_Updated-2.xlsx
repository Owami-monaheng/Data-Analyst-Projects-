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R18" sheetId="1" r:id="rId5"/>
    <sheet state="visible" name="FAR19" sheetId="2" r:id="rId6"/>
    <sheet state="visible" name="FAR20" sheetId="3" r:id="rId7"/>
    <sheet state="visible" name="FAR21" sheetId="4" r:id="rId8"/>
    <sheet state="visible" name="FAR22" sheetId="5" r:id="rId9"/>
    <sheet state="visible" name="FAR23" sheetId="6" r:id="rId10"/>
    <sheet state="visible" name="FAR24" sheetId="7" r:id="rId11"/>
    <sheet state="visible" name="FAR25" sheetId="8" r:id="rId12"/>
    <sheet state="visible" name="FAR26" sheetId="9" r:id="rId13"/>
    <sheet state="visible" name="FAR27" sheetId="10" r:id="rId14"/>
    <sheet state="visible" name="FAR26 detailed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3">
      <text>
        <t xml:space="preserve">======
ID#AAAB80uu0nA
Josiel Ndlovu    (2026-06-04 11:06:39)
Delivery Fee 1147</t>
      </text>
    </comment>
    <comment authorId="0" ref="E22">
      <text>
        <t xml:space="preserve">======
ID#AAAB80uu0nE
Josiel Ndlovu    (2026-06-04 11:06:39)
Delivery Fee 703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4">
      <text>
        <t xml:space="preserve">======
ID#AAAB80uu0mI
Josiel Ndlovu    (2026-06-04 11:06:39)
Delivery Fee 1147</t>
      </text>
    </comment>
    <comment authorId="0" ref="E23">
      <text>
        <t xml:space="preserve">======
ID#AAAB80uu0mQ
Josiel Ndlovu    (2026-06-04 11:06:39)
Delivery Fee 703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4">
      <text>
        <t xml:space="preserve">======
ID#AAAB80uu0mA
Josiel Ndlovu    (2026-06-04 11:06:39)
Delivery Fee 1147</t>
      </text>
    </comment>
    <comment authorId="0" ref="E23">
      <text>
        <t xml:space="preserve">======
ID#AAAB80uu0mU
Josiel Ndlovu    (2026-06-04 11:06:39)
Delivery Fee 703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4">
      <text>
        <t xml:space="preserve">======
ID#AAAB80uu0mc
Josiel Ndlovu    (2026-06-04 11:06:39)
Delivery Fee 1147</t>
      </text>
    </comment>
    <comment authorId="0" ref="E23">
      <text>
        <t xml:space="preserve">======
ID#AAAB80uu0mY
Josiel Ndlovu    (2026-06-04 11:06:39)
Delivery Fee 703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7">
      <text>
        <t xml:space="preserve">======
ID#AAAB80uu0mo
Josiel Ndlovu    (2026-06-04 11:06:39)
Delivery Fee 1147</t>
      </text>
    </comment>
    <comment authorId="0" ref="E26">
      <text>
        <t xml:space="preserve">======
ID#AAAB80uu0m4
Josiel Ndlovu    (2026-06-04 11:06:39)
Delivery Fee 703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7">
      <text>
        <t xml:space="preserve">======
ID#AAAB80uu0mw
Josiel Ndlovu    (2026-06-04 11:06:39)
Delivery Fee 1147</t>
      </text>
    </comment>
    <comment authorId="0" ref="E26">
      <text>
        <t xml:space="preserve">======
ID#AAAB80uu0mM
Josiel Ndlovu    (2026-06-04 11:06:39)
Delivery Fee 703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9">
      <text>
        <t xml:space="preserve">======
ID#AAAB80uu0m0
Josiel Ndlovu    (2026-06-04 11:06:39)
Delivery Fee 1147</t>
      </text>
    </comment>
    <comment authorId="0" ref="E28">
      <text>
        <t xml:space="preserve">======
ID#AAAB80uu0mg
Josiel Ndlovu    (2026-06-04 11:06:39)
Delivery Fee 703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0">
      <text>
        <t xml:space="preserve">======
ID#AAAB80uu0m8
Josiel Ndlovu    (2026-06-04 11:06:39)
Delivery Fee 1147</t>
      </text>
    </comment>
    <comment authorId="0" ref="E29">
      <text>
        <t xml:space="preserve">======
ID#AAAB80uu0mk
Josiel Ndlovu    (2026-06-04 11:06:39)
Delivery Fee 703</t>
      </text>
    </comment>
  </commentList>
</comments>
</file>

<file path=xl/sharedStrings.xml><?xml version="1.0" encoding="utf-8"?>
<sst xmlns="http://schemas.openxmlformats.org/spreadsheetml/2006/main" count="917" uniqueCount="145">
  <si>
    <t xml:space="preserve">FAR MRC Management Services </t>
  </si>
  <si>
    <t>Ledger Accounts: MARCH 2017 - FEBRUARY 2018</t>
  </si>
  <si>
    <t>Date</t>
  </si>
  <si>
    <t>Reference</t>
  </si>
  <si>
    <t>Description</t>
  </si>
  <si>
    <t>Cost (ExVAT)</t>
  </si>
  <si>
    <t>Additions</t>
  </si>
  <si>
    <t>Disposals</t>
  </si>
  <si>
    <t>Total</t>
  </si>
  <si>
    <t>Per</t>
  </si>
  <si>
    <t>Depn for Year</t>
  </si>
  <si>
    <t>Accum Depn</t>
  </si>
  <si>
    <t>NBV 2018</t>
  </si>
  <si>
    <t>6100&gt;020 (Computer Equipment&gt;Cost)</t>
  </si>
  <si>
    <t>SevenC - 2 X HP Desktop CPU (AP &amp; EM)</t>
  </si>
  <si>
    <t>SevenC - HP ProBook 450 G4 Laptop (JN)</t>
  </si>
  <si>
    <t>INA90085</t>
  </si>
  <si>
    <t>Heart FM - CBA/Polycom System / VC</t>
  </si>
  <si>
    <t>Cost</t>
  </si>
  <si>
    <t>Add</t>
  </si>
  <si>
    <t>Disp</t>
  </si>
  <si>
    <t>6200&gt;020 (Furniture &amp; Fittings&gt;Cost)</t>
  </si>
  <si>
    <t>6</t>
  </si>
  <si>
    <t>BFS - 15 X Roberto High Back Chairs</t>
  </si>
  <si>
    <t>6300&gt;020 (Motor Vehicles&gt;Cost)</t>
  </si>
  <si>
    <t>5</t>
  </si>
  <si>
    <t>Rivonia Toyota: Corolla Quest 1.6 AT</t>
  </si>
  <si>
    <t>Grand Total</t>
  </si>
  <si>
    <t>Ledger Accounts: MARCH 2018 - FEBRUARY 2019</t>
  </si>
  <si>
    <t>NBV 2019</t>
  </si>
  <si>
    <t>SevenC - 6 X HP Desktop &amp; Keyboards</t>
  </si>
  <si>
    <t>Piyox-TV</t>
  </si>
  <si>
    <t>Boardroom TV - Samsung 75" UHD</t>
  </si>
  <si>
    <t>BFS - 5 X Roberto High Back Chairs</t>
  </si>
  <si>
    <t>Ledger Accounts: MARCH 2019 - FEBRUARY 2020</t>
  </si>
  <si>
    <t>NBV 2020</t>
  </si>
  <si>
    <t>INV00651</t>
  </si>
  <si>
    <t>C &amp; D Design - Boardroom Table</t>
  </si>
  <si>
    <t>BFS - 4 X Roberto High Back Chairs</t>
  </si>
  <si>
    <t>BFS - 10 X Pasquale Visitors Arm Chairs</t>
  </si>
  <si>
    <t>NBV 2020 less NBV 2019</t>
  </si>
  <si>
    <t>Depr for a year</t>
  </si>
  <si>
    <t>Additional assets</t>
  </si>
  <si>
    <t>Ledger Accounts: MARCH 2020 - FEBRUARY 2021</t>
  </si>
  <si>
    <t>NBV 2021</t>
  </si>
  <si>
    <t>INV33588</t>
  </si>
  <si>
    <t>SevenC - Server: Dell PowerEdge R440</t>
  </si>
  <si>
    <t>(Brought to use in March 21)</t>
  </si>
  <si>
    <t>Ledger Accounts: MARCH 2021 - FEBRUARY 2022</t>
  </si>
  <si>
    <t>NBV 2022</t>
  </si>
  <si>
    <t>(Brought to used in March 21)</t>
  </si>
  <si>
    <t>Ledger Accounts: MARCH 2022 - FEBRUARY 2023</t>
  </si>
  <si>
    <t>Samsung 55" TV - Crystal UHD Smart TV</t>
  </si>
  <si>
    <t>Ledger Accounts: MARCH 2023 - FEBRUARY 2024</t>
  </si>
  <si>
    <t>INV45459</t>
  </si>
  <si>
    <t>HP450 G8 CI5-1135G7 8GB 512GB 15.6 FHD UWWVA</t>
  </si>
  <si>
    <t>INV47999</t>
  </si>
  <si>
    <t>Dell E2424HS 60.5cm, FHD VA LED Monitor</t>
  </si>
  <si>
    <t>6400&gt;020 (Office Equipment&gt;Cost)</t>
  </si>
  <si>
    <t>Boardroom Upgrade1</t>
  </si>
  <si>
    <t>Boardroom: Yearlink Microsoft V/C (Speaker)</t>
  </si>
  <si>
    <t>NBV 2024</t>
  </si>
  <si>
    <t>6150&gt;020 (Computer Software&gt;Cost)</t>
  </si>
  <si>
    <t>3</t>
  </si>
  <si>
    <t>IN100607</t>
  </si>
  <si>
    <t>SAGE BI Advance Module</t>
  </si>
  <si>
    <t>HP450 G8 CI5-1135G7 8GB 512GB 15.6 FHD UWWVA - Damaged</t>
  </si>
  <si>
    <t>INV59111</t>
  </si>
  <si>
    <t>Server Hard Drive - Dell Gen14 1.2TB 10K 12Gb/s</t>
  </si>
  <si>
    <t>INV58966</t>
  </si>
  <si>
    <t>Data Point Installation &amp; HPE Networking</t>
  </si>
  <si>
    <t>INV59193</t>
  </si>
  <si>
    <t>Hardware, HDMI Extender Cables</t>
  </si>
  <si>
    <t>IN600470</t>
  </si>
  <si>
    <t>UPS Upgrade</t>
  </si>
  <si>
    <t>INV60156</t>
  </si>
  <si>
    <t>Aruba Ion 1830 (4x POE) 65W Switch</t>
  </si>
  <si>
    <t>NBV 2026</t>
  </si>
  <si>
    <t>Asset Number</t>
  </si>
  <si>
    <t>CE-17431-001</t>
  </si>
  <si>
    <t>SevenC - HP Desktop CPU (AP &amp; EM)</t>
  </si>
  <si>
    <t>CE-17431-002</t>
  </si>
  <si>
    <t>CE-17431-003</t>
  </si>
  <si>
    <t>CE-17INA-004</t>
  </si>
  <si>
    <t>CE-18643-005</t>
  </si>
  <si>
    <t>SevenC HP Desktop &amp; Keyboards</t>
  </si>
  <si>
    <t>CE-18643-006</t>
  </si>
  <si>
    <t>CE-18643-007</t>
  </si>
  <si>
    <t>CE-18643-008</t>
  </si>
  <si>
    <t>CE-18643-009</t>
  </si>
  <si>
    <t>CE-18643-010</t>
  </si>
  <si>
    <t>CE-20INV-011</t>
  </si>
  <si>
    <t>CE-23INV-012</t>
  </si>
  <si>
    <t>CE-23INV-013</t>
  </si>
  <si>
    <t>CE-25INV-014</t>
  </si>
  <si>
    <t>FF-17110-001</t>
  </si>
  <si>
    <t>BFS -  Roberto High Back Chairs</t>
  </si>
  <si>
    <t>FF-17110-002</t>
  </si>
  <si>
    <t>FF-17110-003</t>
  </si>
  <si>
    <t>FF-17110-004</t>
  </si>
  <si>
    <t>FF-17110-005</t>
  </si>
  <si>
    <t>FF-17110-006</t>
  </si>
  <si>
    <t>FF-17110-007</t>
  </si>
  <si>
    <t>FF-17110-008</t>
  </si>
  <si>
    <t>FF-17110-009</t>
  </si>
  <si>
    <t>FF-17110-010</t>
  </si>
  <si>
    <t>FF-17110-011</t>
  </si>
  <si>
    <t>FF-17110-012</t>
  </si>
  <si>
    <t>FF-17110-013</t>
  </si>
  <si>
    <t>FF-17110-014</t>
  </si>
  <si>
    <t>FF-17110-015</t>
  </si>
  <si>
    <t>FF-18PIY-016</t>
  </si>
  <si>
    <t>FF-18006-017</t>
  </si>
  <si>
    <t>FF-18006-018</t>
  </si>
  <si>
    <t>FF-18006-019</t>
  </si>
  <si>
    <t>FF-18006-020</t>
  </si>
  <si>
    <t>FF-18006-021</t>
  </si>
  <si>
    <t>FF-19651-022</t>
  </si>
  <si>
    <t>FF-19825-023</t>
  </si>
  <si>
    <t>BFS - Roberto High Back Chairs</t>
  </si>
  <si>
    <t>FF-19825-024</t>
  </si>
  <si>
    <t>FF-19825-025</t>
  </si>
  <si>
    <t>FF-19825-026</t>
  </si>
  <si>
    <t>FF-19825-027</t>
  </si>
  <si>
    <t>BFS - Pasquale Visitors Arm Chairs</t>
  </si>
  <si>
    <t>FF-19825-028</t>
  </si>
  <si>
    <t>FF-19825-029</t>
  </si>
  <si>
    <t>FF-19825-030</t>
  </si>
  <si>
    <t>FF-19825-031</t>
  </si>
  <si>
    <t>FF-19825-032</t>
  </si>
  <si>
    <t>FF-19825-033</t>
  </si>
  <si>
    <t>FF-19825-034</t>
  </si>
  <si>
    <t>FF-19825-035</t>
  </si>
  <si>
    <t>FF-19825-036</t>
  </si>
  <si>
    <t>FF-22PIY-037</t>
  </si>
  <si>
    <t>FF-25INV-038</t>
  </si>
  <si>
    <t>INV0810-0125</t>
  </si>
  <si>
    <t>FF-25INV-039</t>
  </si>
  <si>
    <t>Perspex Slogans, Sandblasting Panels, Wallpaper, Carpet</t>
  </si>
  <si>
    <t>MV-17TYT-001</t>
  </si>
  <si>
    <t>OE-23UPG-001</t>
  </si>
  <si>
    <t>OE-25INV-002</t>
  </si>
  <si>
    <t>OE-25UPS-003</t>
  </si>
  <si>
    <t>OE-25ARB-004</t>
  </si>
  <si>
    <t>CS-24SAG-001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</si>
</sst>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-* #,##0.00_-;\-* #,##0.00_-;_-* &quot;-&quot;??_-;_-@"/>
  </numFmts>
  <fonts count="20">
    <font>
      <sz val="11.0"/>
      <color theme="1"/>
      <name val="Calibri"/>
      <scheme val="minor"/>
    </font>
    <font>
      <b/>
      <sz val="10.0"/>
      <color rgb="FF000080"/>
      <name val="Arial Narrow"/>
    </font>
    <font>
      <sz val="10.0"/>
      <color rgb="FF000000"/>
      <name val="Arial Narrow"/>
    </font>
    <font>
      <b/>
      <sz val="10.0"/>
      <color rgb="FF000000"/>
      <name val="Arial Narrow"/>
    </font>
    <font>
      <b/>
      <u/>
      <sz val="10.0"/>
      <color rgb="FF000000"/>
      <name val="Arial Narrow"/>
    </font>
    <font>
      <b/>
      <u/>
      <sz val="10.0"/>
      <color rgb="FF000000"/>
      <name val="Arial Narrow"/>
    </font>
    <font>
      <b/>
      <u/>
      <sz val="10.0"/>
      <color rgb="FF000000"/>
      <name val="Arial Narrow"/>
    </font>
    <font>
      <u/>
      <sz val="10.0"/>
      <color rgb="FF000000"/>
      <name val="Arial Narrow"/>
    </font>
    <font>
      <b/>
      <i/>
      <sz val="10.0"/>
      <color rgb="FF000000"/>
      <name val="Arial Narrow"/>
    </font>
    <font>
      <sz val="11.0"/>
      <color theme="1"/>
      <name val="Calibri"/>
    </font>
    <font>
      <u/>
      <sz val="10.0"/>
      <color rgb="FF000000"/>
      <name val="Arial Narrow"/>
    </font>
    <font>
      <b/>
      <u/>
      <sz val="10.0"/>
      <color rgb="FF000000"/>
      <name val="Arial Narrow"/>
    </font>
    <font>
      <b/>
      <u/>
      <sz val="10.0"/>
      <color rgb="FF000000"/>
      <name val="Arial Narrow"/>
    </font>
    <font>
      <b/>
      <u/>
      <sz val="10.0"/>
      <color rgb="FF000000"/>
      <name val="Arial Narrow"/>
    </font>
    <font>
      <sz val="10.0"/>
      <color rgb="FFEE0000"/>
      <name val="Arial Narrow"/>
    </font>
    <font>
      <b/>
      <sz val="10.0"/>
      <color rgb="FFEE0000"/>
      <name val="Arial Narrow"/>
    </font>
    <font>
      <sz val="10.0"/>
      <color theme="1"/>
      <name val="Arial Narrow"/>
    </font>
    <font>
      <b/>
      <sz val="10.0"/>
      <color theme="1"/>
      <name val="Arial Narrow"/>
    </font>
    <font>
      <b/>
      <u/>
      <sz val="10.0"/>
      <color rgb="FF000000"/>
      <name val="Arial Narrow"/>
    </font>
    <font>
      <b/>
      <u/>
      <sz val="10.0"/>
      <color rgb="FF000000"/>
      <name val="Arial Narrow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9E2F3"/>
        <bgColor rgb="FFD9E2F3"/>
      </patternFill>
    </fill>
    <fill>
      <patternFill patternType="solid">
        <fgColor theme="9"/>
        <bgColor theme="9"/>
      </patternFill>
    </fill>
  </fills>
  <borders count="3">
    <border/>
    <border>
      <top style="thin">
        <color rgb="FF000000"/>
      </top>
      <bottom style="double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2" numFmtId="0" xfId="0" applyFont="1"/>
    <xf borderId="0" fillId="0" fontId="2" numFmtId="4" xfId="0" applyFont="1" applyNumberFormat="1"/>
    <xf borderId="0" fillId="0" fontId="3" numFmtId="49" xfId="0" applyAlignment="1" applyFont="1" applyNumberFormat="1">
      <alignment horizontal="center"/>
    </xf>
    <xf borderId="0" fillId="0" fontId="2" numFmtId="17" xfId="0" applyFont="1" applyNumberFormat="1"/>
    <xf borderId="0" fillId="0" fontId="2" numFmtId="164" xfId="0" applyFont="1" applyNumberFormat="1"/>
    <xf borderId="0" fillId="0" fontId="2" numFmtId="0" xfId="0" applyAlignment="1" applyFont="1">
      <alignment horizontal="left" vertical="top"/>
    </xf>
    <xf borderId="0" fillId="0" fontId="4" numFmtId="0" xfId="0" applyAlignment="1" applyFont="1">
      <alignment horizontal="left" vertical="top"/>
    </xf>
    <xf borderId="0" fillId="0" fontId="5" numFmtId="4" xfId="0" applyAlignment="1" applyFont="1" applyNumberFormat="1">
      <alignment horizontal="right" vertical="top"/>
    </xf>
    <xf borderId="0" fillId="0" fontId="6" numFmtId="49" xfId="0" applyAlignment="1" applyFont="1" applyNumberFormat="1">
      <alignment horizontal="center" vertical="top"/>
    </xf>
    <xf borderId="0" fillId="0" fontId="7" numFmtId="17" xfId="0" applyFont="1" applyNumberFormat="1"/>
    <xf borderId="0" fillId="0" fontId="8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0" fillId="0" fontId="3" numFmtId="4" xfId="0" applyAlignment="1" applyFont="1" applyNumberFormat="1">
      <alignment horizontal="right" vertical="top"/>
    </xf>
    <xf borderId="0" fillId="0" fontId="2" numFmtId="164" xfId="0" applyAlignment="1" applyFont="1" applyNumberFormat="1">
      <alignment horizontal="left" vertical="top"/>
    </xf>
    <xf borderId="0" fillId="0" fontId="2" numFmtId="0" xfId="0" applyAlignment="1" applyFont="1">
      <alignment horizontal="center" vertical="top"/>
    </xf>
    <xf borderId="0" fillId="0" fontId="2" numFmtId="4" xfId="0" applyAlignment="1" applyFont="1" applyNumberFormat="1">
      <alignment horizontal="right" vertical="top"/>
    </xf>
    <xf borderId="0" fillId="0" fontId="2" numFmtId="1" xfId="0" applyAlignment="1" applyFont="1" applyNumberFormat="1">
      <alignment horizontal="left" vertical="top"/>
    </xf>
    <xf borderId="0" fillId="0" fontId="3" numFmtId="164" xfId="0" applyAlignment="1" applyFont="1" applyNumberFormat="1">
      <alignment horizontal="left" vertical="top"/>
    </xf>
    <xf borderId="0" fillId="0" fontId="3" numFmtId="1" xfId="0" applyAlignment="1" applyFont="1" applyNumberFormat="1">
      <alignment horizontal="left" vertical="top"/>
    </xf>
    <xf borderId="1" fillId="0" fontId="3" numFmtId="4" xfId="0" applyAlignment="1" applyBorder="1" applyFont="1" applyNumberFormat="1">
      <alignment horizontal="right" vertical="top"/>
    </xf>
    <xf borderId="1" fillId="0" fontId="3" numFmtId="4" xfId="0" applyBorder="1" applyFont="1" applyNumberFormat="1"/>
    <xf borderId="0" fillId="0" fontId="3" numFmtId="0" xfId="0" applyFont="1"/>
    <xf borderId="0" fillId="0" fontId="3" numFmtId="4" xfId="0" applyFont="1" applyNumberFormat="1"/>
    <xf borderId="0" fillId="0" fontId="9" numFmtId="0" xfId="0" applyFont="1"/>
    <xf borderId="0" fillId="0" fontId="10" numFmtId="17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right" vertical="top"/>
    </xf>
    <xf borderId="0" fillId="0" fontId="2" numFmtId="165" xfId="0" applyFont="1" applyNumberFormat="1"/>
    <xf borderId="0" fillId="0" fontId="11" numFmtId="0" xfId="0" applyAlignment="1" applyFont="1">
      <alignment horizontal="left"/>
    </xf>
    <xf borderId="0" fillId="0" fontId="12" numFmtId="4" xfId="0" applyAlignment="1" applyFont="1" applyNumberFormat="1">
      <alignment horizontal="right"/>
    </xf>
    <xf borderId="0" fillId="0" fontId="13" numFmtId="49" xfId="0" applyAlignment="1" applyFont="1" applyNumberFormat="1">
      <alignment horizontal="center"/>
    </xf>
    <xf borderId="0" fillId="0" fontId="3" numFmtId="0" xfId="0" applyAlignment="1" applyFont="1">
      <alignment horizontal="center" vertical="top"/>
    </xf>
    <xf borderId="0" fillId="0" fontId="2" numFmtId="0" xfId="0" applyAlignment="1" applyFont="1">
      <alignment horizontal="left" shrinkToFit="0" vertical="top" wrapText="1"/>
    </xf>
    <xf borderId="0" fillId="0" fontId="2" numFmtId="4" xfId="0" applyAlignment="1" applyFont="1" applyNumberFormat="1">
      <alignment horizontal="center" vertical="center"/>
    </xf>
    <xf borderId="0" fillId="0" fontId="3" numFmtId="17" xfId="0" applyFont="1" applyNumberFormat="1"/>
    <xf borderId="1" fillId="0" fontId="2" numFmtId="4" xfId="0" applyBorder="1" applyFont="1" applyNumberFormat="1"/>
    <xf borderId="1" fillId="0" fontId="3" numFmtId="4" xfId="0" applyAlignment="1" applyBorder="1" applyFont="1" applyNumberFormat="1">
      <alignment horizontal="left" vertical="top"/>
    </xf>
    <xf borderId="0" fillId="0" fontId="3" numFmtId="4" xfId="0" applyAlignment="1" applyFont="1" applyNumberFormat="1">
      <alignment horizontal="left" vertical="top"/>
    </xf>
    <xf borderId="0" fillId="0" fontId="2" numFmtId="4" xfId="0" applyAlignment="1" applyFont="1" applyNumberFormat="1">
      <alignment horizontal="left" vertical="top"/>
    </xf>
    <xf borderId="1" fillId="0" fontId="2" numFmtId="4" xfId="0" applyAlignment="1" applyBorder="1" applyFont="1" applyNumberFormat="1">
      <alignment horizontal="right" vertical="top"/>
    </xf>
    <xf borderId="0" fillId="0" fontId="14" numFmtId="164" xfId="0" applyAlignment="1" applyFont="1" applyNumberFormat="1">
      <alignment horizontal="left"/>
    </xf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left" shrinkToFit="0" vertical="top" wrapText="1"/>
    </xf>
    <xf borderId="0" fillId="0" fontId="14" numFmtId="4" xfId="0" applyAlignment="1" applyFont="1" applyNumberFormat="1">
      <alignment horizontal="center"/>
    </xf>
    <xf borderId="0" fillId="0" fontId="14" numFmtId="0" xfId="0" applyFont="1"/>
    <xf borderId="0" fillId="0" fontId="14" numFmtId="4" xfId="0" applyFont="1" applyNumberFormat="1"/>
    <xf borderId="0" fillId="0" fontId="15" numFmtId="49" xfId="0" applyAlignment="1" applyFont="1" applyNumberFormat="1">
      <alignment horizontal="center"/>
    </xf>
    <xf borderId="0" fillId="0" fontId="14" numFmtId="165" xfId="0" applyFont="1" applyNumberFormat="1"/>
    <xf borderId="0" fillId="0" fontId="14" numFmtId="164" xfId="0" applyFont="1" applyNumberFormat="1"/>
    <xf borderId="0" fillId="0" fontId="16" numFmtId="164" xfId="0" applyAlignment="1" applyFont="1" applyNumberFormat="1">
      <alignment horizontal="left" vertical="top"/>
    </xf>
    <xf borderId="0" fillId="0" fontId="16" numFmtId="0" xfId="0" applyAlignment="1" applyFont="1">
      <alignment horizontal="center" vertical="top"/>
    </xf>
    <xf borderId="0" fillId="0" fontId="16" numFmtId="0" xfId="0" applyAlignment="1" applyFont="1">
      <alignment horizontal="left" shrinkToFit="0" vertical="top" wrapText="1"/>
    </xf>
    <xf borderId="0" fillId="0" fontId="16" numFmtId="4" xfId="0" applyAlignment="1" applyFont="1" applyNumberFormat="1">
      <alignment horizontal="center" vertical="center"/>
    </xf>
    <xf borderId="0" fillId="0" fontId="16" numFmtId="0" xfId="0" applyFont="1"/>
    <xf borderId="0" fillId="0" fontId="16" numFmtId="4" xfId="0" applyFont="1" applyNumberFormat="1"/>
    <xf borderId="0" fillId="0" fontId="17" numFmtId="49" xfId="0" applyAlignment="1" applyFont="1" applyNumberFormat="1">
      <alignment horizontal="center"/>
    </xf>
    <xf borderId="0" fillId="0" fontId="16" numFmtId="165" xfId="0" applyFont="1" applyNumberFormat="1"/>
    <xf borderId="0" fillId="0" fontId="16" numFmtId="164" xfId="0" applyFont="1" applyNumberFormat="1"/>
    <xf borderId="0" fillId="0" fontId="16" numFmtId="4" xfId="0" applyAlignment="1" applyFont="1" applyNumberFormat="1">
      <alignment horizontal="right" vertical="top"/>
    </xf>
    <xf borderId="0" fillId="0" fontId="2" numFmtId="4" xfId="0" applyAlignment="1" applyFont="1" applyNumberFormat="1">
      <alignment vertical="top"/>
    </xf>
    <xf borderId="0" fillId="0" fontId="3" numFmtId="49" xfId="0" applyFont="1" applyNumberFormat="1"/>
    <xf borderId="0" fillId="0" fontId="16" numFmtId="164" xfId="0" applyAlignment="1" applyFont="1" applyNumberFormat="1">
      <alignment horizontal="left"/>
    </xf>
    <xf borderId="0" fillId="0" fontId="16" numFmtId="0" xfId="0" applyAlignment="1" applyFont="1">
      <alignment horizontal="center"/>
    </xf>
    <xf borderId="0" fillId="0" fontId="16" numFmtId="4" xfId="0" applyAlignment="1" applyFont="1" applyNumberFormat="1">
      <alignment horizontal="center"/>
    </xf>
    <xf borderId="0" fillId="2" fontId="2" numFmtId="0" xfId="0" applyFill="1" applyFont="1"/>
    <xf borderId="0" fillId="2" fontId="18" numFmtId="0" xfId="0" applyAlignment="1" applyFont="1">
      <alignment horizontal="left"/>
    </xf>
    <xf borderId="0" fillId="2" fontId="8" numFmtId="0" xfId="0" applyAlignment="1" applyFont="1">
      <alignment horizontal="left" vertical="top"/>
    </xf>
    <xf borderId="0" fillId="2" fontId="2" numFmtId="0" xfId="0" applyAlignment="1" applyFont="1">
      <alignment horizontal="center" vertical="top"/>
    </xf>
    <xf borderId="0" fillId="2" fontId="14" numFmtId="0" xfId="0" applyAlignment="1" applyFont="1">
      <alignment horizontal="center"/>
    </xf>
    <xf borderId="0" fillId="0" fontId="14" numFmtId="4" xfId="0" applyAlignment="1" applyFont="1" applyNumberFormat="1">
      <alignment horizontal="right"/>
    </xf>
    <xf borderId="0" fillId="2" fontId="16" numFmtId="0" xfId="0" applyAlignment="1" applyFont="1">
      <alignment horizontal="center" vertical="top"/>
    </xf>
    <xf borderId="0" fillId="0" fontId="16" numFmtId="4" xfId="0" applyAlignment="1" applyFont="1" applyNumberFormat="1">
      <alignment horizontal="right" vertical="center"/>
    </xf>
    <xf borderId="0" fillId="2" fontId="3" numFmtId="0" xfId="0" applyAlignment="1" applyFont="1">
      <alignment horizontal="center" vertical="top"/>
    </xf>
    <xf borderId="0" fillId="2" fontId="2" numFmtId="1" xfId="0" applyAlignment="1" applyFont="1" applyNumberFormat="1">
      <alignment horizontal="left" vertical="top"/>
    </xf>
    <xf borderId="0" fillId="2" fontId="3" numFmtId="1" xfId="0" applyAlignment="1" applyFont="1" applyNumberFormat="1">
      <alignment horizontal="left" vertical="top"/>
    </xf>
    <xf borderId="2" fillId="3" fontId="3" numFmtId="4" xfId="0" applyAlignment="1" applyBorder="1" applyFill="1" applyFont="1" applyNumberFormat="1">
      <alignment horizontal="right" vertical="top"/>
    </xf>
    <xf borderId="2" fillId="3" fontId="3" numFmtId="4" xfId="0" applyBorder="1" applyFont="1" applyNumberFormat="1"/>
    <xf borderId="2" fillId="3" fontId="3" numFmtId="49" xfId="0" applyAlignment="1" applyBorder="1" applyFont="1" applyNumberFormat="1">
      <alignment horizontal="center"/>
    </xf>
    <xf borderId="0" fillId="2" fontId="19" numFmtId="0" xfId="0" applyAlignment="1" applyFont="1">
      <alignment horizontal="left" vertical="top"/>
    </xf>
    <xf borderId="0" fillId="4" fontId="2" numFmtId="4" xfId="0" applyAlignment="1" applyFill="1" applyFont="1" applyNumberFormat="1">
      <alignment horizontal="right" vertical="top"/>
    </xf>
    <xf borderId="0" fillId="4" fontId="2" numFmtId="4" xfId="0" applyFont="1" applyNumberFormat="1"/>
    <xf borderId="0" fillId="2" fontId="3" numFmtId="0" xfId="0" applyFont="1"/>
    <xf borderId="0" fillId="2" fontId="2" numFmtId="0" xfId="0" applyAlignment="1" applyFont="1">
      <alignment horizontal="left" vertical="top"/>
    </xf>
    <xf borderId="0" fillId="2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0"/>
    <col customWidth="1" min="3" max="3" width="31.0"/>
    <col customWidth="1" min="4" max="4" width="10.0"/>
    <col customWidth="1" min="5" max="5" width="10.14"/>
    <col customWidth="1" min="6" max="6" width="8.43"/>
    <col customWidth="1" min="7" max="7" width="10.14"/>
    <col customWidth="1" min="8" max="8" width="4.57"/>
    <col customWidth="1" min="9" max="9" width="7.29"/>
    <col customWidth="1" min="10" max="20" width="7.14"/>
    <col customWidth="1" min="21" max="21" width="10.57"/>
    <col customWidth="1" min="22" max="22" width="9.57"/>
    <col customWidth="1" min="23" max="23" width="10.0"/>
    <col customWidth="1" min="24" max="29" width="9.0"/>
  </cols>
  <sheetData>
    <row r="1" ht="12.75" customHeight="1">
      <c r="A1" s="1" t="s">
        <v>0</v>
      </c>
      <c r="B1" s="2"/>
      <c r="C1" s="2"/>
      <c r="D1" s="3"/>
      <c r="E1" s="3"/>
      <c r="F1" s="3"/>
      <c r="G1" s="3"/>
      <c r="H1" s="4"/>
      <c r="I1" s="1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2"/>
      <c r="Y1" s="6"/>
      <c r="Z1" s="2"/>
      <c r="AA1" s="6"/>
      <c r="AB1" s="2"/>
      <c r="AC1" s="6"/>
    </row>
    <row r="2" ht="12.75" customHeight="1">
      <c r="A2" s="1"/>
      <c r="B2" s="2"/>
      <c r="C2" s="2"/>
      <c r="D2" s="3"/>
      <c r="E2" s="3"/>
      <c r="F2" s="3"/>
      <c r="G2" s="3"/>
      <c r="H2" s="4"/>
      <c r="I2" s="1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2"/>
      <c r="Y2" s="6"/>
      <c r="Z2" s="2"/>
      <c r="AA2" s="6"/>
      <c r="AB2" s="2"/>
      <c r="AC2" s="6"/>
    </row>
    <row r="3" ht="12.75" customHeight="1">
      <c r="A3" s="7" t="s">
        <v>1</v>
      </c>
      <c r="B3" s="2"/>
      <c r="C3" s="2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2"/>
      <c r="Y3" s="6"/>
      <c r="Z3" s="2"/>
      <c r="AA3" s="6"/>
      <c r="AB3" s="2"/>
      <c r="AC3" s="6"/>
    </row>
    <row r="4" ht="12.75" customHeight="1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10" t="s">
        <v>9</v>
      </c>
      <c r="I4" s="11">
        <v>42825.0</v>
      </c>
      <c r="J4" s="11">
        <v>42835.0</v>
      </c>
      <c r="K4" s="11">
        <v>42865.0</v>
      </c>
      <c r="L4" s="11">
        <v>42896.0</v>
      </c>
      <c r="M4" s="11">
        <v>42926.0</v>
      </c>
      <c r="N4" s="11">
        <v>42957.0</v>
      </c>
      <c r="O4" s="11">
        <v>42988.0</v>
      </c>
      <c r="P4" s="11">
        <v>43018.0</v>
      </c>
      <c r="Q4" s="11">
        <v>43049.0</v>
      </c>
      <c r="R4" s="11">
        <v>43079.0</v>
      </c>
      <c r="S4" s="11">
        <v>43110.0</v>
      </c>
      <c r="T4" s="11">
        <v>43141.0</v>
      </c>
      <c r="U4" s="11" t="s">
        <v>10</v>
      </c>
      <c r="V4" s="11" t="s">
        <v>11</v>
      </c>
      <c r="W4" s="11" t="s">
        <v>12</v>
      </c>
      <c r="X4" s="2"/>
      <c r="Y4" s="6"/>
      <c r="Z4" s="2"/>
      <c r="AA4" s="6"/>
      <c r="AB4" s="2"/>
      <c r="AC4" s="6"/>
    </row>
    <row r="5" ht="12.75" customHeight="1">
      <c r="A5" s="12"/>
      <c r="B5" s="12"/>
      <c r="C5" s="2"/>
      <c r="D5" s="3"/>
      <c r="E5" s="3"/>
      <c r="F5" s="3"/>
      <c r="G5" s="3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2"/>
      <c r="Y5" s="6"/>
      <c r="Z5" s="2"/>
      <c r="AA5" s="6"/>
      <c r="AB5" s="2"/>
      <c r="AC5" s="6"/>
    </row>
    <row r="6" ht="12.75" customHeight="1">
      <c r="A6" s="13" t="s">
        <v>13</v>
      </c>
      <c r="B6" s="2"/>
      <c r="C6" s="2"/>
      <c r="D6" s="3"/>
      <c r="E6" s="14"/>
      <c r="F6" s="3"/>
      <c r="G6" s="3"/>
      <c r="H6" s="4"/>
      <c r="I6" s="13" t="str">
        <f>+A6</f>
        <v>6100&gt;020 (Computer Equipment&gt;Cost)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"/>
      <c r="Y6" s="6"/>
      <c r="Z6" s="2"/>
      <c r="AA6" s="6"/>
      <c r="AB6" s="2"/>
      <c r="AC6" s="6"/>
    </row>
    <row r="7" ht="12.75" customHeight="1">
      <c r="A7" s="8"/>
      <c r="B7" s="2"/>
      <c r="C7" s="2"/>
      <c r="D7" s="3"/>
      <c r="E7" s="14"/>
      <c r="F7" s="3"/>
      <c r="G7" s="3"/>
      <c r="H7" s="4">
        <v>3.0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2"/>
      <c r="Y7" s="6"/>
      <c r="Z7" s="2"/>
      <c r="AA7" s="6"/>
      <c r="AB7" s="2"/>
      <c r="AC7" s="6"/>
    </row>
    <row r="8" ht="12.75" customHeight="1">
      <c r="A8" s="15">
        <v>42825.0</v>
      </c>
      <c r="B8" s="16">
        <v>18431.0</v>
      </c>
      <c r="C8" s="7" t="s">
        <v>14</v>
      </c>
      <c r="D8" s="17">
        <v>16077.6</v>
      </c>
      <c r="E8" s="17"/>
      <c r="F8" s="3"/>
      <c r="G8" s="3">
        <f t="shared" ref="G8:G10" si="2">+D8+E8-F8</f>
        <v>16077.6</v>
      </c>
      <c r="H8" s="4"/>
      <c r="I8" s="3">
        <f t="shared" ref="I8:I9" si="3">+$G8/$H$7/365*(31-31)</f>
        <v>0</v>
      </c>
      <c r="J8" s="3">
        <f t="shared" ref="J8:T8" si="1">+$G8/$H$7/12</f>
        <v>446.6</v>
      </c>
      <c r="K8" s="3">
        <f t="shared" si="1"/>
        <v>446.6</v>
      </c>
      <c r="L8" s="3">
        <f t="shared" si="1"/>
        <v>446.6</v>
      </c>
      <c r="M8" s="3">
        <f t="shared" si="1"/>
        <v>446.6</v>
      </c>
      <c r="N8" s="3">
        <f t="shared" si="1"/>
        <v>446.6</v>
      </c>
      <c r="O8" s="3">
        <f t="shared" si="1"/>
        <v>446.6</v>
      </c>
      <c r="P8" s="3">
        <f t="shared" si="1"/>
        <v>446.6</v>
      </c>
      <c r="Q8" s="3">
        <f t="shared" si="1"/>
        <v>446.6</v>
      </c>
      <c r="R8" s="3">
        <f t="shared" si="1"/>
        <v>446.6</v>
      </c>
      <c r="S8" s="3">
        <f t="shared" si="1"/>
        <v>446.6</v>
      </c>
      <c r="T8" s="3">
        <f t="shared" si="1"/>
        <v>446.6</v>
      </c>
      <c r="U8" s="3">
        <f t="shared" ref="U8:U10" si="5">SUM(I8:T8)</f>
        <v>4912.6</v>
      </c>
      <c r="V8" s="3">
        <f t="shared" ref="V8:V10" si="6">U8</f>
        <v>4912.6</v>
      </c>
      <c r="W8" s="3">
        <f t="shared" ref="W8:W10" si="7">+G8-V8</f>
        <v>11165</v>
      </c>
      <c r="X8" s="2"/>
      <c r="Y8" s="6"/>
      <c r="Z8" s="2"/>
      <c r="AA8" s="6"/>
      <c r="AB8" s="2"/>
      <c r="AC8" s="6"/>
    </row>
    <row r="9" ht="12.75" customHeight="1">
      <c r="A9" s="15">
        <v>42825.0</v>
      </c>
      <c r="B9" s="16">
        <v>18431.0</v>
      </c>
      <c r="C9" s="7" t="s">
        <v>15</v>
      </c>
      <c r="D9" s="17">
        <v>10078.8</v>
      </c>
      <c r="E9" s="17"/>
      <c r="F9" s="3"/>
      <c r="G9" s="3">
        <f t="shared" si="2"/>
        <v>10078.8</v>
      </c>
      <c r="H9" s="4"/>
      <c r="I9" s="3">
        <f t="shared" si="3"/>
        <v>0</v>
      </c>
      <c r="J9" s="3">
        <f t="shared" ref="J9:T9" si="4">+$G9/$H$7/12</f>
        <v>279.9666667</v>
      </c>
      <c r="K9" s="3">
        <f t="shared" si="4"/>
        <v>279.9666667</v>
      </c>
      <c r="L9" s="3">
        <f t="shared" si="4"/>
        <v>279.9666667</v>
      </c>
      <c r="M9" s="3">
        <f t="shared" si="4"/>
        <v>279.9666667</v>
      </c>
      <c r="N9" s="3">
        <f t="shared" si="4"/>
        <v>279.9666667</v>
      </c>
      <c r="O9" s="3">
        <f t="shared" si="4"/>
        <v>279.9666667</v>
      </c>
      <c r="P9" s="3">
        <f t="shared" si="4"/>
        <v>279.9666667</v>
      </c>
      <c r="Q9" s="3">
        <f t="shared" si="4"/>
        <v>279.9666667</v>
      </c>
      <c r="R9" s="3">
        <f t="shared" si="4"/>
        <v>279.9666667</v>
      </c>
      <c r="S9" s="3">
        <f t="shared" si="4"/>
        <v>279.9666667</v>
      </c>
      <c r="T9" s="3">
        <f t="shared" si="4"/>
        <v>279.9666667</v>
      </c>
      <c r="U9" s="3">
        <f t="shared" si="5"/>
        <v>3079.633333</v>
      </c>
      <c r="V9" s="3">
        <f t="shared" si="6"/>
        <v>3079.633333</v>
      </c>
      <c r="W9" s="3">
        <f t="shared" si="7"/>
        <v>6999.166667</v>
      </c>
      <c r="X9" s="2"/>
      <c r="Y9" s="6"/>
      <c r="Z9" s="2"/>
      <c r="AA9" s="6"/>
      <c r="AB9" s="2"/>
      <c r="AC9" s="6"/>
    </row>
    <row r="10" ht="12.75" customHeight="1">
      <c r="A10" s="15">
        <v>43046.0</v>
      </c>
      <c r="B10" s="16" t="s">
        <v>16</v>
      </c>
      <c r="C10" s="7" t="s">
        <v>17</v>
      </c>
      <c r="D10" s="17">
        <v>52651.0</v>
      </c>
      <c r="E10" s="17"/>
      <c r="F10" s="3"/>
      <c r="G10" s="3">
        <f t="shared" si="2"/>
        <v>52651</v>
      </c>
      <c r="H10" s="4"/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f>+$G10/$H$7/365*(30-7)</f>
        <v>1105.911416</v>
      </c>
      <c r="R10" s="3">
        <f t="shared" ref="R10:T10" si="8">+$G10/$H$7/12</f>
        <v>1462.527778</v>
      </c>
      <c r="S10" s="3">
        <f t="shared" si="8"/>
        <v>1462.527778</v>
      </c>
      <c r="T10" s="3">
        <f t="shared" si="8"/>
        <v>1462.527778</v>
      </c>
      <c r="U10" s="3">
        <f t="shared" si="5"/>
        <v>5493.494749</v>
      </c>
      <c r="V10" s="3">
        <f t="shared" si="6"/>
        <v>5493.494749</v>
      </c>
      <c r="W10" s="3">
        <f t="shared" si="7"/>
        <v>47157.50525</v>
      </c>
      <c r="X10" s="2"/>
      <c r="Y10" s="6"/>
      <c r="Z10" s="2"/>
      <c r="AA10" s="6"/>
      <c r="AB10" s="2"/>
      <c r="AC10" s="6"/>
    </row>
    <row r="11" ht="12.75" customHeight="1">
      <c r="A11" s="15"/>
      <c r="B11" s="18"/>
      <c r="C11" s="7"/>
      <c r="D11" s="3"/>
      <c r="E11" s="17"/>
      <c r="F11" s="3"/>
      <c r="G11" s="3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2"/>
      <c r="Y11" s="6"/>
      <c r="Z11" s="2"/>
      <c r="AA11" s="6"/>
      <c r="AB11" s="2"/>
      <c r="AC11" s="2"/>
    </row>
    <row r="12" ht="12.75" customHeight="1">
      <c r="A12" s="19"/>
      <c r="B12" s="20"/>
      <c r="C12" s="13"/>
      <c r="D12" s="21">
        <f t="shared" ref="D12:E12" si="9">SUM(D6:D11)</f>
        <v>78807.4</v>
      </c>
      <c r="E12" s="21">
        <f t="shared" si="9"/>
        <v>0</v>
      </c>
      <c r="F12" s="22"/>
      <c r="G12" s="22">
        <f>SUM(G8:G11)</f>
        <v>78807.4</v>
      </c>
      <c r="H12" s="4"/>
      <c r="I12" s="22">
        <f t="shared" ref="I12:W12" si="10">SUM(I8:I11)</f>
        <v>0</v>
      </c>
      <c r="J12" s="22">
        <f t="shared" si="10"/>
        <v>726.5666667</v>
      </c>
      <c r="K12" s="22">
        <f t="shared" si="10"/>
        <v>726.5666667</v>
      </c>
      <c r="L12" s="22">
        <f t="shared" si="10"/>
        <v>726.5666667</v>
      </c>
      <c r="M12" s="22">
        <f t="shared" si="10"/>
        <v>726.5666667</v>
      </c>
      <c r="N12" s="22">
        <f t="shared" si="10"/>
        <v>726.5666667</v>
      </c>
      <c r="O12" s="22">
        <f t="shared" si="10"/>
        <v>726.5666667</v>
      </c>
      <c r="P12" s="22">
        <f t="shared" si="10"/>
        <v>726.5666667</v>
      </c>
      <c r="Q12" s="22">
        <f t="shared" si="10"/>
        <v>1832.478082</v>
      </c>
      <c r="R12" s="22">
        <f t="shared" si="10"/>
        <v>2189.094444</v>
      </c>
      <c r="S12" s="22">
        <f t="shared" si="10"/>
        <v>2189.094444</v>
      </c>
      <c r="T12" s="22">
        <f t="shared" si="10"/>
        <v>2189.094444</v>
      </c>
      <c r="U12" s="22">
        <f t="shared" si="10"/>
        <v>13485.72808</v>
      </c>
      <c r="V12" s="22">
        <f t="shared" si="10"/>
        <v>13485.72808</v>
      </c>
      <c r="W12" s="22">
        <f t="shared" si="10"/>
        <v>65321.67192</v>
      </c>
      <c r="X12" s="2"/>
      <c r="Y12" s="6"/>
      <c r="Z12" s="2"/>
      <c r="AA12" s="6"/>
      <c r="AB12" s="23"/>
      <c r="AC12" s="23"/>
    </row>
    <row r="13" ht="12.75" customHeight="1">
      <c r="A13" s="15"/>
      <c r="B13" s="18"/>
      <c r="C13" s="7"/>
      <c r="D13" s="3"/>
      <c r="E13" s="17"/>
      <c r="F13" s="3"/>
      <c r="G13" s="3"/>
      <c r="H13" s="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  <c r="Y13" s="6"/>
      <c r="Z13" s="2"/>
      <c r="AA13" s="6"/>
      <c r="AB13" s="2"/>
      <c r="AC13" s="2"/>
    </row>
    <row r="14" ht="12.75" customHeight="1">
      <c r="A14" s="8" t="s">
        <v>2</v>
      </c>
      <c r="B14" s="8" t="s">
        <v>3</v>
      </c>
      <c r="C14" s="8" t="s">
        <v>4</v>
      </c>
      <c r="D14" s="9" t="s">
        <v>18</v>
      </c>
      <c r="E14" s="9" t="s">
        <v>19</v>
      </c>
      <c r="F14" s="9" t="s">
        <v>20</v>
      </c>
      <c r="G14" s="9" t="s">
        <v>8</v>
      </c>
      <c r="H14" s="10" t="s">
        <v>9</v>
      </c>
      <c r="I14" s="11">
        <v>42825.0</v>
      </c>
      <c r="J14" s="11">
        <v>42855.0</v>
      </c>
      <c r="K14" s="11">
        <v>42886.0</v>
      </c>
      <c r="L14" s="11">
        <v>42916.0</v>
      </c>
      <c r="M14" s="11">
        <v>42947.0</v>
      </c>
      <c r="N14" s="11">
        <v>42978.0</v>
      </c>
      <c r="O14" s="11">
        <v>43008.0</v>
      </c>
      <c r="P14" s="11">
        <v>43039.0</v>
      </c>
      <c r="Q14" s="11">
        <v>43069.0</v>
      </c>
      <c r="R14" s="11">
        <v>43100.0</v>
      </c>
      <c r="S14" s="11">
        <v>43131.0</v>
      </c>
      <c r="T14" s="11">
        <v>43159.0</v>
      </c>
      <c r="U14" s="11" t="s">
        <v>10</v>
      </c>
      <c r="V14" s="11" t="s">
        <v>11</v>
      </c>
      <c r="W14" s="11" t="s">
        <v>12</v>
      </c>
      <c r="X14" s="2"/>
      <c r="Y14" s="6"/>
      <c r="Z14" s="2"/>
      <c r="AA14" s="6"/>
      <c r="AB14" s="2"/>
      <c r="AC14" s="6"/>
    </row>
    <row r="15" ht="12.75" customHeight="1">
      <c r="A15" s="13" t="s">
        <v>21</v>
      </c>
      <c r="B15" s="2"/>
      <c r="C15" s="2"/>
      <c r="D15" s="14"/>
      <c r="E15" s="3"/>
      <c r="F15" s="3"/>
      <c r="G15" s="3"/>
      <c r="H15" s="4" t="s">
        <v>22</v>
      </c>
      <c r="I15" s="13" t="str">
        <f>+A15</f>
        <v>6200&gt;020 (Furniture &amp; Fittings&gt;Cost)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  <c r="Y15" s="2"/>
      <c r="Z15" s="2"/>
      <c r="AA15" s="2"/>
      <c r="AB15" s="2"/>
      <c r="AC15" s="2"/>
    </row>
    <row r="16" ht="12.75" customHeight="1">
      <c r="A16" s="8"/>
      <c r="B16" s="2"/>
      <c r="C16" s="2"/>
      <c r="D16" s="14"/>
      <c r="E16" s="3"/>
      <c r="F16" s="3"/>
      <c r="G16" s="3"/>
      <c r="H16" s="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2"/>
      <c r="Z16" s="2"/>
      <c r="AA16" s="2"/>
      <c r="AB16" s="2"/>
      <c r="AC16" s="2"/>
    </row>
    <row r="17" ht="12.75" customHeight="1">
      <c r="A17" s="15">
        <v>42836.0</v>
      </c>
      <c r="B17" s="16">
        <v>30110.0</v>
      </c>
      <c r="C17" s="7" t="s">
        <v>23</v>
      </c>
      <c r="D17" s="17">
        <v>52250.0</v>
      </c>
      <c r="E17" s="3"/>
      <c r="F17" s="3"/>
      <c r="G17" s="3">
        <f>+D17+E17-F17</f>
        <v>52250</v>
      </c>
      <c r="H17" s="4"/>
      <c r="I17" s="3">
        <v>0.0</v>
      </c>
      <c r="J17" s="3">
        <f>+$G17/$H$15/365*(30-11)</f>
        <v>453.3105023</v>
      </c>
      <c r="K17" s="3">
        <f t="shared" ref="K17:T17" si="11">+$G17/$H$15/12</f>
        <v>725.6944444</v>
      </c>
      <c r="L17" s="3">
        <f t="shared" si="11"/>
        <v>725.6944444</v>
      </c>
      <c r="M17" s="3">
        <f t="shared" si="11"/>
        <v>725.6944444</v>
      </c>
      <c r="N17" s="3">
        <f t="shared" si="11"/>
        <v>725.6944444</v>
      </c>
      <c r="O17" s="3">
        <f t="shared" si="11"/>
        <v>725.6944444</v>
      </c>
      <c r="P17" s="3">
        <f t="shared" si="11"/>
        <v>725.6944444</v>
      </c>
      <c r="Q17" s="3">
        <f t="shared" si="11"/>
        <v>725.6944444</v>
      </c>
      <c r="R17" s="3">
        <f t="shared" si="11"/>
        <v>725.6944444</v>
      </c>
      <c r="S17" s="3">
        <f t="shared" si="11"/>
        <v>725.6944444</v>
      </c>
      <c r="T17" s="3">
        <f t="shared" si="11"/>
        <v>725.6944444</v>
      </c>
      <c r="U17" s="3">
        <f>SUM(I17:T17)</f>
        <v>7710.254947</v>
      </c>
      <c r="V17" s="3">
        <f>U17</f>
        <v>7710.254947</v>
      </c>
      <c r="W17" s="3">
        <f>+G17-V17</f>
        <v>44539.74505</v>
      </c>
      <c r="X17" s="2"/>
      <c r="Y17" s="2"/>
      <c r="Z17" s="2"/>
      <c r="AA17" s="2"/>
      <c r="AB17" s="2"/>
      <c r="AC17" s="2"/>
    </row>
    <row r="18" ht="12.75" customHeight="1">
      <c r="A18" s="15"/>
      <c r="B18" s="7"/>
      <c r="C18" s="7"/>
      <c r="D18" s="3"/>
      <c r="E18" s="17"/>
      <c r="F18" s="3"/>
      <c r="G18" s="3"/>
      <c r="H18" s="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2"/>
      <c r="Y18" s="2"/>
      <c r="Z18" s="2"/>
      <c r="AA18" s="2"/>
      <c r="AB18" s="2"/>
      <c r="AC18" s="2"/>
    </row>
    <row r="19" ht="12.75" customHeight="1">
      <c r="A19" s="23"/>
      <c r="B19" s="23"/>
      <c r="C19" s="23"/>
      <c r="D19" s="22">
        <f t="shared" ref="D19:F19" si="12">SUM(D15:D18)</f>
        <v>52250</v>
      </c>
      <c r="E19" s="22">
        <f t="shared" si="12"/>
        <v>0</v>
      </c>
      <c r="F19" s="22">
        <f t="shared" si="12"/>
        <v>0</v>
      </c>
      <c r="G19" s="22">
        <f>SUM(D19:F19)</f>
        <v>52250</v>
      </c>
      <c r="H19" s="4"/>
      <c r="I19" s="22">
        <f t="shared" ref="I19:W19" si="13">SUM(I17:I18)</f>
        <v>0</v>
      </c>
      <c r="J19" s="22">
        <f t="shared" si="13"/>
        <v>453.3105023</v>
      </c>
      <c r="K19" s="22">
        <f t="shared" si="13"/>
        <v>725.6944444</v>
      </c>
      <c r="L19" s="22">
        <f t="shared" si="13"/>
        <v>725.6944444</v>
      </c>
      <c r="M19" s="22">
        <f t="shared" si="13"/>
        <v>725.6944444</v>
      </c>
      <c r="N19" s="22">
        <f t="shared" si="13"/>
        <v>725.6944444</v>
      </c>
      <c r="O19" s="22">
        <f t="shared" si="13"/>
        <v>725.6944444</v>
      </c>
      <c r="P19" s="22">
        <f t="shared" si="13"/>
        <v>725.6944444</v>
      </c>
      <c r="Q19" s="22">
        <f t="shared" si="13"/>
        <v>725.6944444</v>
      </c>
      <c r="R19" s="22">
        <f t="shared" si="13"/>
        <v>725.6944444</v>
      </c>
      <c r="S19" s="22">
        <f t="shared" si="13"/>
        <v>725.6944444</v>
      </c>
      <c r="T19" s="22">
        <f t="shared" si="13"/>
        <v>725.6944444</v>
      </c>
      <c r="U19" s="22">
        <f t="shared" si="13"/>
        <v>7710.254947</v>
      </c>
      <c r="V19" s="22">
        <f t="shared" si="13"/>
        <v>7710.254947</v>
      </c>
      <c r="W19" s="22">
        <f t="shared" si="13"/>
        <v>44539.74505</v>
      </c>
      <c r="X19" s="2"/>
      <c r="Y19" s="2"/>
      <c r="Z19" s="23"/>
      <c r="AA19" s="23"/>
      <c r="AB19" s="23"/>
      <c r="AC19" s="23"/>
    </row>
    <row r="20" ht="12.75" customHeight="1">
      <c r="A20" s="23"/>
      <c r="B20" s="23"/>
      <c r="C20" s="23"/>
      <c r="D20" s="24"/>
      <c r="E20" s="24"/>
      <c r="F20" s="24"/>
      <c r="G20" s="24"/>
      <c r="H20" s="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"/>
      <c r="Y20" s="2"/>
      <c r="Z20" s="23"/>
      <c r="AA20" s="23"/>
      <c r="AB20" s="23"/>
      <c r="AC20" s="23"/>
    </row>
    <row r="21" ht="12.75" customHeight="1">
      <c r="A21" s="8" t="s">
        <v>2</v>
      </c>
      <c r="B21" s="8" t="s">
        <v>3</v>
      </c>
      <c r="C21" s="8" t="s">
        <v>4</v>
      </c>
      <c r="D21" s="9" t="s">
        <v>18</v>
      </c>
      <c r="E21" s="9" t="s">
        <v>19</v>
      </c>
      <c r="F21" s="9" t="s">
        <v>20</v>
      </c>
      <c r="G21" s="9" t="s">
        <v>8</v>
      </c>
      <c r="H21" s="10" t="s">
        <v>9</v>
      </c>
      <c r="I21" s="11">
        <v>42825.0</v>
      </c>
      <c r="J21" s="11">
        <v>42855.0</v>
      </c>
      <c r="K21" s="11">
        <v>42886.0</v>
      </c>
      <c r="L21" s="11">
        <v>42916.0</v>
      </c>
      <c r="M21" s="11">
        <v>42947.0</v>
      </c>
      <c r="N21" s="11">
        <v>42978.0</v>
      </c>
      <c r="O21" s="11">
        <v>43008.0</v>
      </c>
      <c r="P21" s="11">
        <v>43039.0</v>
      </c>
      <c r="Q21" s="11">
        <v>43069.0</v>
      </c>
      <c r="R21" s="11">
        <v>43100.0</v>
      </c>
      <c r="S21" s="11">
        <v>43131.0</v>
      </c>
      <c r="T21" s="11">
        <v>43159.0</v>
      </c>
      <c r="U21" s="11" t="s">
        <v>10</v>
      </c>
      <c r="V21" s="11" t="s">
        <v>11</v>
      </c>
      <c r="W21" s="11" t="s">
        <v>12</v>
      </c>
      <c r="X21" s="2"/>
      <c r="Y21" s="6"/>
      <c r="Z21" s="2"/>
      <c r="AA21" s="6"/>
      <c r="AB21" s="2"/>
      <c r="AC21" s="6"/>
    </row>
    <row r="22" ht="12.75" customHeight="1">
      <c r="A22" s="13" t="s">
        <v>24</v>
      </c>
      <c r="B22" s="2"/>
      <c r="C22" s="2"/>
      <c r="D22" s="3"/>
      <c r="E22" s="14"/>
      <c r="F22" s="3"/>
      <c r="G22" s="3"/>
      <c r="H22" s="4" t="s">
        <v>25</v>
      </c>
      <c r="I22" s="13" t="str">
        <f>+A22</f>
        <v>6300&gt;020 (Motor Vehicles&gt;Cost)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"/>
      <c r="Y22" s="2"/>
      <c r="Z22" s="2"/>
      <c r="AA22" s="2"/>
      <c r="AB22" s="2"/>
      <c r="AC22" s="2"/>
    </row>
    <row r="23" ht="12.75" customHeight="1">
      <c r="A23" s="8"/>
      <c r="B23" s="2"/>
      <c r="C23" s="2"/>
      <c r="D23" s="3"/>
      <c r="E23" s="14"/>
      <c r="F23" s="3"/>
      <c r="G23" s="3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2"/>
      <c r="Y23" s="2"/>
      <c r="Z23" s="2"/>
      <c r="AA23" s="2"/>
      <c r="AB23" s="2"/>
      <c r="AC23" s="2"/>
    </row>
    <row r="24" ht="12.75" customHeight="1">
      <c r="A24" s="15">
        <v>42860.0</v>
      </c>
      <c r="B24" s="16">
        <v>8.900964E7</v>
      </c>
      <c r="C24" s="7" t="s">
        <v>26</v>
      </c>
      <c r="D24" s="3">
        <v>255969.92</v>
      </c>
      <c r="E24" s="17"/>
      <c r="F24" s="3"/>
      <c r="G24" s="3">
        <f>+D24+E24-F24</f>
        <v>255969.92</v>
      </c>
      <c r="H24" s="4"/>
      <c r="I24" s="3">
        <v>0.0</v>
      </c>
      <c r="J24" s="3">
        <v>0.0</v>
      </c>
      <c r="K24" s="3">
        <f>+$G24/$H$22/365*(31-5)</f>
        <v>3646.694751</v>
      </c>
      <c r="L24" s="3">
        <f t="shared" ref="L24:T24" si="14">+$G24/$H$22/12</f>
        <v>4266.165333</v>
      </c>
      <c r="M24" s="3">
        <f t="shared" si="14"/>
        <v>4266.165333</v>
      </c>
      <c r="N24" s="3">
        <f t="shared" si="14"/>
        <v>4266.165333</v>
      </c>
      <c r="O24" s="3">
        <f t="shared" si="14"/>
        <v>4266.165333</v>
      </c>
      <c r="P24" s="3">
        <f t="shared" si="14"/>
        <v>4266.165333</v>
      </c>
      <c r="Q24" s="3">
        <f t="shared" si="14"/>
        <v>4266.165333</v>
      </c>
      <c r="R24" s="3">
        <f t="shared" si="14"/>
        <v>4266.165333</v>
      </c>
      <c r="S24" s="3">
        <f t="shared" si="14"/>
        <v>4266.165333</v>
      </c>
      <c r="T24" s="3">
        <f t="shared" si="14"/>
        <v>4266.165333</v>
      </c>
      <c r="U24" s="3">
        <f>SUM(I24:T24)</f>
        <v>42042.18275</v>
      </c>
      <c r="V24" s="3">
        <f>U24</f>
        <v>42042.18275</v>
      </c>
      <c r="W24" s="3">
        <f>+G24-V24</f>
        <v>213927.7372</v>
      </c>
      <c r="X24" s="2"/>
      <c r="Y24" s="2"/>
      <c r="Z24" s="2"/>
      <c r="AA24" s="2"/>
      <c r="AB24" s="2"/>
      <c r="AC24" s="2"/>
    </row>
    <row r="25" ht="12.75" customHeight="1">
      <c r="A25" s="7"/>
      <c r="B25" s="7"/>
      <c r="C25" s="7"/>
      <c r="D25" s="3"/>
      <c r="E25" s="17"/>
      <c r="F25" s="3"/>
      <c r="G25" s="3"/>
      <c r="H25" s="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2"/>
      <c r="Z25" s="2"/>
      <c r="AA25" s="2"/>
      <c r="AB25" s="2"/>
      <c r="AC25" s="2"/>
    </row>
    <row r="26" ht="12.75" customHeight="1">
      <c r="A26" s="23"/>
      <c r="B26" s="23"/>
      <c r="C26" s="23"/>
      <c r="D26" s="22">
        <f t="shared" ref="D26:F26" si="15">SUM(D24)</f>
        <v>255969.92</v>
      </c>
      <c r="E26" s="21">
        <f t="shared" si="15"/>
        <v>0</v>
      </c>
      <c r="F26" s="22">
        <f t="shared" si="15"/>
        <v>0</v>
      </c>
      <c r="G26" s="22">
        <f>SUM(D26:F26)</f>
        <v>255969.92</v>
      </c>
      <c r="H26" s="4"/>
      <c r="I26" s="22">
        <f t="shared" ref="I26:W26" si="16">SUM(I24)</f>
        <v>0</v>
      </c>
      <c r="J26" s="22">
        <f t="shared" si="16"/>
        <v>0</v>
      </c>
      <c r="K26" s="22">
        <f t="shared" si="16"/>
        <v>3646.694751</v>
      </c>
      <c r="L26" s="22">
        <f t="shared" si="16"/>
        <v>4266.165333</v>
      </c>
      <c r="M26" s="22">
        <f t="shared" si="16"/>
        <v>4266.165333</v>
      </c>
      <c r="N26" s="22">
        <f t="shared" si="16"/>
        <v>4266.165333</v>
      </c>
      <c r="O26" s="22">
        <f t="shared" si="16"/>
        <v>4266.165333</v>
      </c>
      <c r="P26" s="22">
        <f t="shared" si="16"/>
        <v>4266.165333</v>
      </c>
      <c r="Q26" s="22">
        <f t="shared" si="16"/>
        <v>4266.165333</v>
      </c>
      <c r="R26" s="22">
        <f t="shared" si="16"/>
        <v>4266.165333</v>
      </c>
      <c r="S26" s="22">
        <f t="shared" si="16"/>
        <v>4266.165333</v>
      </c>
      <c r="T26" s="22">
        <f t="shared" si="16"/>
        <v>4266.165333</v>
      </c>
      <c r="U26" s="22">
        <f t="shared" si="16"/>
        <v>42042.18275</v>
      </c>
      <c r="V26" s="22">
        <f t="shared" si="16"/>
        <v>42042.18275</v>
      </c>
      <c r="W26" s="22">
        <f t="shared" si="16"/>
        <v>213927.7372</v>
      </c>
      <c r="X26" s="23"/>
      <c r="Y26" s="23"/>
      <c r="Z26" s="23"/>
      <c r="AA26" s="23"/>
      <c r="AB26" s="23"/>
      <c r="AC26" s="23"/>
    </row>
    <row r="27" ht="12.75" customHeight="1">
      <c r="A27" s="2"/>
      <c r="B27" s="2"/>
      <c r="C27" s="2"/>
      <c r="D27" s="3"/>
      <c r="E27" s="9"/>
      <c r="F27" s="3"/>
      <c r="G27" s="3"/>
      <c r="H27" s="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2"/>
      <c r="Y27" s="2"/>
      <c r="Z27" s="2"/>
      <c r="AA27" s="2"/>
      <c r="AB27" s="2"/>
      <c r="AC27" s="2"/>
    </row>
    <row r="28" ht="12.75" customHeight="1">
      <c r="A28" s="23" t="s">
        <v>27</v>
      </c>
      <c r="B28" s="2"/>
      <c r="C28" s="2"/>
      <c r="D28" s="22">
        <f t="shared" ref="D28:G28" si="17">D12+D19+D26</f>
        <v>387027.32</v>
      </c>
      <c r="E28" s="22">
        <f t="shared" si="17"/>
        <v>0</v>
      </c>
      <c r="F28" s="22">
        <f t="shared" si="17"/>
        <v>0</v>
      </c>
      <c r="G28" s="22">
        <f t="shared" si="17"/>
        <v>387027.32</v>
      </c>
      <c r="H28" s="4"/>
      <c r="I28" s="22">
        <f t="shared" ref="I28:W28" si="18">I12+I19+I26</f>
        <v>0</v>
      </c>
      <c r="J28" s="22">
        <f t="shared" si="18"/>
        <v>1179.877169</v>
      </c>
      <c r="K28" s="22">
        <f t="shared" si="18"/>
        <v>5098.955862</v>
      </c>
      <c r="L28" s="22">
        <f t="shared" si="18"/>
        <v>5718.426444</v>
      </c>
      <c r="M28" s="22">
        <f t="shared" si="18"/>
        <v>5718.426444</v>
      </c>
      <c r="N28" s="22">
        <f t="shared" si="18"/>
        <v>5718.426444</v>
      </c>
      <c r="O28" s="22">
        <f t="shared" si="18"/>
        <v>5718.426444</v>
      </c>
      <c r="P28" s="22">
        <f t="shared" si="18"/>
        <v>5718.426444</v>
      </c>
      <c r="Q28" s="22">
        <f t="shared" si="18"/>
        <v>6824.33786</v>
      </c>
      <c r="R28" s="22">
        <f t="shared" si="18"/>
        <v>7180.954222</v>
      </c>
      <c r="S28" s="22">
        <f t="shared" si="18"/>
        <v>7180.954222</v>
      </c>
      <c r="T28" s="22">
        <f t="shared" si="18"/>
        <v>7180.954222</v>
      </c>
      <c r="U28" s="22">
        <f t="shared" si="18"/>
        <v>63238.16578</v>
      </c>
      <c r="V28" s="22">
        <f t="shared" si="18"/>
        <v>63238.16578</v>
      </c>
      <c r="W28" s="22">
        <f t="shared" si="18"/>
        <v>323789.1542</v>
      </c>
      <c r="X28" s="2"/>
      <c r="Y28" s="2"/>
      <c r="Z28" s="2"/>
      <c r="AA28" s="2"/>
      <c r="AB28" s="2"/>
      <c r="AC28" s="2"/>
    </row>
    <row r="29" ht="12.75" customHeight="1">
      <c r="A29" s="2"/>
      <c r="B29" s="2"/>
      <c r="C29" s="2"/>
      <c r="D29" s="3"/>
      <c r="E29" s="3"/>
      <c r="F29" s="3"/>
      <c r="G29" s="3"/>
      <c r="H29" s="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2"/>
      <c r="Z29" s="2"/>
      <c r="AA29" s="2"/>
      <c r="AB29" s="2"/>
      <c r="AC29" s="2"/>
    </row>
    <row r="30" ht="12.75" customHeight="1">
      <c r="A30" s="2"/>
      <c r="B30" s="2"/>
      <c r="C30" s="2"/>
      <c r="D30" s="3"/>
      <c r="E30" s="3"/>
      <c r="F30" s="3"/>
      <c r="G30" s="3"/>
      <c r="H30" s="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  <c r="Y30" s="2"/>
      <c r="Z30" s="2"/>
      <c r="AA30" s="2"/>
      <c r="AB30" s="2"/>
      <c r="AC30" s="2"/>
    </row>
    <row r="31" ht="12.75" customHeight="1">
      <c r="A31" s="2"/>
      <c r="B31" s="2"/>
      <c r="C31" s="2"/>
      <c r="D31" s="3"/>
      <c r="E31" s="3"/>
      <c r="F31" s="3"/>
      <c r="G31" s="3"/>
      <c r="H31" s="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  <c r="Y31" s="2"/>
      <c r="Z31" s="2"/>
      <c r="AA31" s="2"/>
      <c r="AB31" s="2"/>
      <c r="AC31" s="2"/>
    </row>
    <row r="32" ht="12.75" customHeight="1">
      <c r="A32" s="2"/>
      <c r="B32" s="2"/>
      <c r="C32" s="2"/>
      <c r="D32" s="3"/>
      <c r="E32" s="3"/>
      <c r="F32" s="3"/>
      <c r="G32" s="3"/>
      <c r="H32" s="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2"/>
      <c r="Z32" s="2"/>
      <c r="AA32" s="2"/>
      <c r="AB32" s="2"/>
      <c r="AC32" s="2"/>
    </row>
    <row r="33" ht="12.75" customHeight="1">
      <c r="A33" s="2"/>
      <c r="B33" s="2"/>
      <c r="C33" s="2"/>
      <c r="D33" s="3"/>
      <c r="E33" s="3"/>
      <c r="F33" s="3"/>
      <c r="G33" s="3"/>
      <c r="H33" s="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2"/>
      <c r="Z33" s="2"/>
      <c r="AA33" s="2"/>
      <c r="AB33" s="2"/>
      <c r="AC33" s="2"/>
    </row>
    <row r="34" ht="12.75" customHeight="1">
      <c r="A34" s="2"/>
      <c r="B34" s="2"/>
      <c r="C34" s="2"/>
      <c r="D34" s="3"/>
      <c r="E34" s="3"/>
      <c r="F34" s="3"/>
      <c r="G34" s="3"/>
      <c r="H34" s="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2"/>
      <c r="Y34" s="2"/>
      <c r="Z34" s="2"/>
      <c r="AA34" s="2"/>
      <c r="AB34" s="2"/>
      <c r="AC34" s="2"/>
    </row>
    <row r="35" ht="12.75" customHeight="1">
      <c r="A35" s="2"/>
      <c r="B35" s="2"/>
      <c r="C35" s="2"/>
      <c r="D35" s="3"/>
      <c r="E35" s="3"/>
      <c r="F35" s="3"/>
      <c r="G35" s="3"/>
      <c r="H35" s="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2"/>
      <c r="Y35" s="2"/>
      <c r="Z35" s="2"/>
      <c r="AA35" s="2"/>
      <c r="AB35" s="2"/>
      <c r="AC35" s="2"/>
    </row>
    <row r="36" ht="12.75" customHeight="1">
      <c r="A36" s="2"/>
      <c r="B36" s="2"/>
      <c r="C36" s="2"/>
      <c r="D36" s="3"/>
      <c r="E36" s="3"/>
      <c r="F36" s="3"/>
      <c r="G36" s="3"/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2"/>
      <c r="Y36" s="2"/>
      <c r="Z36" s="2"/>
      <c r="AA36" s="2"/>
      <c r="AB36" s="2"/>
      <c r="AC36" s="2"/>
    </row>
    <row r="37" ht="12.75" customHeight="1">
      <c r="A37" s="2"/>
      <c r="B37" s="2"/>
      <c r="C37" s="2"/>
      <c r="D37" s="3"/>
      <c r="E37" s="3"/>
      <c r="F37" s="3"/>
      <c r="G37" s="3"/>
      <c r="H37" s="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2"/>
      <c r="Z37" s="2"/>
      <c r="AA37" s="2"/>
      <c r="AB37" s="2"/>
      <c r="AC37" s="2"/>
    </row>
    <row r="38" ht="12.75" customHeight="1">
      <c r="A38" s="2"/>
      <c r="B38" s="2"/>
      <c r="C38" s="2"/>
      <c r="D38" s="3"/>
      <c r="E38" s="3"/>
      <c r="F38" s="3"/>
      <c r="G38" s="3"/>
      <c r="H38" s="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2"/>
      <c r="Z38" s="2"/>
      <c r="AA38" s="2"/>
      <c r="AB38" s="2"/>
      <c r="AC38" s="2"/>
    </row>
    <row r="39" ht="12.75" customHeight="1">
      <c r="A39" s="2"/>
      <c r="B39" s="2"/>
      <c r="C39" s="2"/>
      <c r="D39" s="3"/>
      <c r="E39" s="3"/>
      <c r="F39" s="3"/>
      <c r="G39" s="3"/>
      <c r="H39" s="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2"/>
      <c r="Y39" s="2"/>
      <c r="Z39" s="2"/>
      <c r="AA39" s="2"/>
      <c r="AB39" s="2"/>
      <c r="AC39" s="2"/>
    </row>
    <row r="40" ht="12.75" customHeight="1">
      <c r="A40" s="2"/>
      <c r="B40" s="2"/>
      <c r="C40" s="2"/>
      <c r="D40" s="3"/>
      <c r="E40" s="3"/>
      <c r="F40" s="3"/>
      <c r="G40" s="3"/>
      <c r="H40" s="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2"/>
      <c r="Y40" s="2"/>
      <c r="Z40" s="2"/>
      <c r="AA40" s="2"/>
      <c r="AB40" s="2"/>
      <c r="AC40" s="2"/>
    </row>
    <row r="41" ht="12.75" customHeight="1">
      <c r="A41" s="2"/>
      <c r="B41" s="2"/>
      <c r="C41" s="2"/>
      <c r="D41" s="3"/>
      <c r="E41" s="3"/>
      <c r="F41" s="3"/>
      <c r="G41" s="3"/>
      <c r="H41" s="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2"/>
      <c r="Z41" s="2"/>
      <c r="AA41" s="2"/>
      <c r="AB41" s="2"/>
      <c r="AC41" s="2"/>
    </row>
    <row r="42" ht="12.75" customHeight="1">
      <c r="A42" s="2"/>
      <c r="B42" s="2"/>
      <c r="C42" s="2"/>
      <c r="D42" s="3"/>
      <c r="E42" s="3"/>
      <c r="F42" s="3"/>
      <c r="G42" s="3"/>
      <c r="H42" s="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2"/>
      <c r="Y42" s="2"/>
      <c r="Z42" s="2"/>
      <c r="AA42" s="2"/>
      <c r="AB42" s="2"/>
      <c r="AC42" s="2"/>
    </row>
    <row r="43" ht="12.75" customHeight="1">
      <c r="A43" s="2"/>
      <c r="B43" s="2"/>
      <c r="C43" s="2"/>
      <c r="D43" s="3"/>
      <c r="E43" s="3"/>
      <c r="F43" s="3"/>
      <c r="G43" s="3"/>
      <c r="H43" s="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2"/>
      <c r="Y43" s="2"/>
      <c r="Z43" s="2"/>
      <c r="AA43" s="2"/>
      <c r="AB43" s="2"/>
      <c r="AC43" s="2"/>
    </row>
    <row r="44" ht="12.75" customHeight="1">
      <c r="A44" s="2"/>
      <c r="B44" s="2"/>
      <c r="C44" s="2"/>
      <c r="D44" s="3"/>
      <c r="E44" s="3"/>
      <c r="F44" s="3"/>
      <c r="G44" s="3"/>
      <c r="H44" s="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2"/>
      <c r="Y44" s="2"/>
      <c r="Z44" s="2"/>
      <c r="AA44" s="2"/>
      <c r="AB44" s="2"/>
      <c r="AC44" s="2"/>
    </row>
    <row r="45" ht="12.75" customHeight="1">
      <c r="A45" s="2"/>
      <c r="B45" s="2"/>
      <c r="C45" s="2"/>
      <c r="D45" s="3"/>
      <c r="E45" s="3"/>
      <c r="F45" s="3"/>
      <c r="G45" s="3"/>
      <c r="H45" s="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2"/>
      <c r="Y45" s="2"/>
      <c r="Z45" s="2"/>
      <c r="AA45" s="2"/>
      <c r="AB45" s="2"/>
      <c r="AC45" s="2"/>
    </row>
    <row r="46" ht="12.75" customHeight="1">
      <c r="A46" s="2"/>
      <c r="B46" s="2"/>
      <c r="C46" s="2"/>
      <c r="D46" s="3"/>
      <c r="E46" s="3"/>
      <c r="F46" s="3"/>
      <c r="G46" s="3"/>
      <c r="H46" s="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2"/>
      <c r="Y46" s="2"/>
      <c r="Z46" s="2"/>
      <c r="AA46" s="2"/>
      <c r="AB46" s="2"/>
      <c r="AC46" s="2"/>
    </row>
    <row r="47" ht="12.75" customHeight="1">
      <c r="A47" s="2"/>
      <c r="B47" s="2"/>
      <c r="C47" s="2"/>
      <c r="D47" s="3"/>
      <c r="E47" s="3"/>
      <c r="F47" s="3"/>
      <c r="G47" s="3"/>
      <c r="H47" s="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2"/>
      <c r="Y47" s="2"/>
      <c r="Z47" s="2"/>
      <c r="AA47" s="2"/>
      <c r="AB47" s="2"/>
      <c r="AC47" s="2"/>
    </row>
    <row r="48" ht="12.75" customHeight="1">
      <c r="A48" s="2"/>
      <c r="B48" s="2"/>
      <c r="C48" s="2"/>
      <c r="D48" s="3"/>
      <c r="E48" s="3"/>
      <c r="F48" s="3"/>
      <c r="G48" s="3"/>
      <c r="H48" s="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2"/>
      <c r="Y48" s="2"/>
      <c r="Z48" s="2"/>
      <c r="AA48" s="2"/>
      <c r="AB48" s="2"/>
      <c r="AC48" s="2"/>
    </row>
    <row r="49" ht="12.75" customHeight="1">
      <c r="A49" s="2"/>
      <c r="B49" s="2"/>
      <c r="C49" s="2"/>
      <c r="D49" s="3"/>
      <c r="E49" s="3"/>
      <c r="F49" s="3"/>
      <c r="G49" s="3"/>
      <c r="H49" s="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2"/>
      <c r="Y49" s="2"/>
      <c r="Z49" s="2"/>
      <c r="AA49" s="2"/>
      <c r="AB49" s="2"/>
      <c r="AC49" s="2"/>
    </row>
    <row r="50" ht="12.75" customHeight="1">
      <c r="A50" s="2"/>
      <c r="B50" s="2"/>
      <c r="C50" s="2"/>
      <c r="D50" s="3"/>
      <c r="E50" s="3"/>
      <c r="F50" s="3"/>
      <c r="G50" s="3"/>
      <c r="H50" s="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2"/>
      <c r="Y50" s="2"/>
      <c r="Z50" s="2"/>
      <c r="AA50" s="2"/>
      <c r="AB50" s="2"/>
      <c r="AC50" s="2"/>
    </row>
    <row r="51" ht="12.75" customHeight="1">
      <c r="A51" s="2"/>
      <c r="B51" s="2"/>
      <c r="C51" s="2"/>
      <c r="D51" s="3"/>
      <c r="E51" s="3"/>
      <c r="F51" s="3"/>
      <c r="G51" s="3"/>
      <c r="H51" s="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2"/>
      <c r="Y51" s="2"/>
      <c r="Z51" s="2"/>
      <c r="AA51" s="2"/>
      <c r="AB51" s="2"/>
      <c r="AC51" s="2"/>
    </row>
    <row r="52" ht="12.75" customHeight="1">
      <c r="A52" s="2"/>
      <c r="B52" s="2"/>
      <c r="C52" s="2"/>
      <c r="D52" s="3"/>
      <c r="E52" s="3"/>
      <c r="F52" s="3"/>
      <c r="G52" s="3"/>
      <c r="H52" s="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2"/>
      <c r="Y52" s="2"/>
      <c r="Z52" s="2"/>
      <c r="AA52" s="2"/>
      <c r="AB52" s="2"/>
      <c r="AC52" s="2"/>
    </row>
    <row r="53" ht="12.75" customHeight="1">
      <c r="A53" s="2"/>
      <c r="B53" s="2"/>
      <c r="C53" s="2"/>
      <c r="D53" s="3"/>
      <c r="E53" s="3"/>
      <c r="F53" s="3"/>
      <c r="G53" s="3"/>
      <c r="H53" s="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2"/>
      <c r="Y53" s="2"/>
      <c r="Z53" s="2"/>
      <c r="AA53" s="2"/>
      <c r="AB53" s="2"/>
      <c r="AC53" s="2"/>
    </row>
    <row r="54" ht="12.75" customHeight="1">
      <c r="A54" s="2"/>
      <c r="B54" s="2"/>
      <c r="C54" s="2"/>
      <c r="D54" s="3"/>
      <c r="E54" s="3"/>
      <c r="F54" s="3"/>
      <c r="G54" s="3"/>
      <c r="H54" s="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2"/>
      <c r="Y54" s="2"/>
      <c r="Z54" s="2"/>
      <c r="AA54" s="2"/>
      <c r="AB54" s="2"/>
      <c r="AC54" s="2"/>
    </row>
    <row r="55" ht="12.75" customHeight="1">
      <c r="A55" s="2"/>
      <c r="B55" s="2"/>
      <c r="C55" s="2"/>
      <c r="D55" s="3"/>
      <c r="E55" s="3"/>
      <c r="F55" s="3"/>
      <c r="G55" s="3"/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2"/>
      <c r="Y55" s="2"/>
      <c r="Z55" s="2"/>
      <c r="AA55" s="2"/>
      <c r="AB55" s="2"/>
      <c r="AC55" s="2"/>
    </row>
    <row r="56" ht="12.75" customHeight="1">
      <c r="A56" s="2"/>
      <c r="B56" s="2"/>
      <c r="C56" s="2"/>
      <c r="D56" s="3"/>
      <c r="E56" s="3"/>
      <c r="F56" s="3"/>
      <c r="G56" s="3"/>
      <c r="H56" s="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2"/>
      <c r="Y56" s="2"/>
      <c r="Z56" s="2"/>
      <c r="AA56" s="2"/>
      <c r="AB56" s="2"/>
      <c r="AC56" s="2"/>
    </row>
    <row r="57" ht="12.75" customHeight="1">
      <c r="A57" s="2"/>
      <c r="B57" s="2"/>
      <c r="C57" s="2"/>
      <c r="D57" s="3"/>
      <c r="E57" s="3"/>
      <c r="F57" s="3"/>
      <c r="G57" s="3"/>
      <c r="H57" s="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2"/>
      <c r="Y57" s="2"/>
      <c r="Z57" s="2"/>
      <c r="AA57" s="2"/>
      <c r="AB57" s="2"/>
      <c r="AC57" s="2"/>
    </row>
    <row r="58" ht="12.75" customHeight="1">
      <c r="A58" s="2"/>
      <c r="B58" s="2"/>
      <c r="C58" s="2"/>
      <c r="D58" s="3"/>
      <c r="E58" s="3"/>
      <c r="F58" s="3"/>
      <c r="G58" s="3"/>
      <c r="H58" s="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2"/>
      <c r="Y58" s="2"/>
      <c r="Z58" s="2"/>
      <c r="AA58" s="2"/>
      <c r="AB58" s="2"/>
      <c r="AC58" s="2"/>
    </row>
    <row r="59" ht="12.75" customHeight="1">
      <c r="A59" s="2"/>
      <c r="B59" s="2"/>
      <c r="C59" s="2"/>
      <c r="D59" s="3"/>
      <c r="E59" s="3"/>
      <c r="F59" s="3"/>
      <c r="G59" s="3"/>
      <c r="H59" s="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2"/>
      <c r="Y59" s="2"/>
      <c r="Z59" s="2"/>
      <c r="AA59" s="2"/>
      <c r="AB59" s="2"/>
      <c r="AC59" s="2"/>
    </row>
    <row r="60" ht="12.75" customHeight="1">
      <c r="A60" s="2"/>
      <c r="B60" s="2"/>
      <c r="C60" s="2"/>
      <c r="D60" s="3"/>
      <c r="E60" s="3"/>
      <c r="F60" s="3"/>
      <c r="G60" s="3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2"/>
      <c r="Y60" s="2"/>
      <c r="Z60" s="2"/>
      <c r="AA60" s="2"/>
      <c r="AB60" s="2"/>
      <c r="AC60" s="2"/>
    </row>
    <row r="61" ht="12.75" customHeight="1">
      <c r="A61" s="2"/>
      <c r="B61" s="2"/>
      <c r="C61" s="2"/>
      <c r="D61" s="3"/>
      <c r="E61" s="3"/>
      <c r="F61" s="3"/>
      <c r="G61" s="3"/>
      <c r="H61" s="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2"/>
      <c r="Y61" s="2"/>
      <c r="Z61" s="2"/>
      <c r="AA61" s="2"/>
      <c r="AB61" s="2"/>
      <c r="AC61" s="2"/>
    </row>
    <row r="62" ht="12.75" customHeight="1">
      <c r="A62" s="2"/>
      <c r="B62" s="2"/>
      <c r="C62" s="2"/>
      <c r="D62" s="3"/>
      <c r="E62" s="3"/>
      <c r="F62" s="3"/>
      <c r="G62" s="3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2"/>
      <c r="Y62" s="2"/>
      <c r="Z62" s="2"/>
      <c r="AA62" s="2"/>
      <c r="AB62" s="2"/>
      <c r="AC62" s="2"/>
    </row>
    <row r="63" ht="12.75" customHeight="1">
      <c r="A63" s="2"/>
      <c r="B63" s="2"/>
      <c r="C63" s="2"/>
      <c r="D63" s="3"/>
      <c r="E63" s="3"/>
      <c r="F63" s="3"/>
      <c r="G63" s="3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"/>
      <c r="Y63" s="2"/>
      <c r="Z63" s="2"/>
      <c r="AA63" s="2"/>
      <c r="AB63" s="2"/>
      <c r="AC63" s="2"/>
    </row>
    <row r="64" ht="12.75" customHeight="1">
      <c r="A64" s="2"/>
      <c r="B64" s="2"/>
      <c r="C64" s="2"/>
      <c r="D64" s="3"/>
      <c r="E64" s="3"/>
      <c r="F64" s="3"/>
      <c r="G64" s="3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2"/>
      <c r="Y64" s="2"/>
      <c r="Z64" s="2"/>
      <c r="AA64" s="2"/>
      <c r="AB64" s="2"/>
      <c r="AC64" s="2"/>
    </row>
    <row r="65" ht="12.75" customHeight="1">
      <c r="A65" s="2"/>
      <c r="B65" s="2"/>
      <c r="C65" s="2"/>
      <c r="D65" s="3"/>
      <c r="E65" s="3"/>
      <c r="F65" s="3"/>
      <c r="G65" s="3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2"/>
      <c r="Y65" s="2"/>
      <c r="Z65" s="2"/>
      <c r="AA65" s="2"/>
      <c r="AB65" s="2"/>
      <c r="AC65" s="2"/>
    </row>
    <row r="66" ht="12.75" customHeight="1">
      <c r="A66" s="2"/>
      <c r="B66" s="2"/>
      <c r="C66" s="2"/>
      <c r="D66" s="3"/>
      <c r="E66" s="3"/>
      <c r="F66" s="3"/>
      <c r="G66" s="3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2"/>
      <c r="Y66" s="2"/>
      <c r="Z66" s="2"/>
      <c r="AA66" s="2"/>
      <c r="AB66" s="2"/>
      <c r="AC66" s="2"/>
    </row>
    <row r="67" ht="12.75" customHeight="1">
      <c r="A67" s="2"/>
      <c r="B67" s="2"/>
      <c r="C67" s="2"/>
      <c r="D67" s="3"/>
      <c r="E67" s="3"/>
      <c r="F67" s="3"/>
      <c r="G67" s="3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2"/>
      <c r="Y67" s="2"/>
      <c r="Z67" s="2"/>
      <c r="AA67" s="2"/>
      <c r="AB67" s="2"/>
      <c r="AC67" s="2"/>
    </row>
    <row r="68" ht="12.75" customHeight="1">
      <c r="A68" s="2"/>
      <c r="B68" s="2"/>
      <c r="C68" s="2"/>
      <c r="D68" s="3"/>
      <c r="E68" s="3"/>
      <c r="F68" s="3"/>
      <c r="G68" s="3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2"/>
      <c r="Y68" s="2"/>
      <c r="Z68" s="2"/>
      <c r="AA68" s="2"/>
      <c r="AB68" s="2"/>
      <c r="AC68" s="2"/>
    </row>
    <row r="69" ht="12.75" customHeight="1">
      <c r="A69" s="2"/>
      <c r="B69" s="2"/>
      <c r="C69" s="2"/>
      <c r="D69" s="3"/>
      <c r="E69" s="3"/>
      <c r="F69" s="3"/>
      <c r="G69" s="3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2"/>
      <c r="Y69" s="2"/>
      <c r="Z69" s="2"/>
      <c r="AA69" s="2"/>
      <c r="AB69" s="2"/>
      <c r="AC69" s="2"/>
    </row>
    <row r="70" ht="12.75" customHeight="1">
      <c r="A70" s="2"/>
      <c r="B70" s="2"/>
      <c r="C70" s="2"/>
      <c r="D70" s="3"/>
      <c r="E70" s="3"/>
      <c r="F70" s="3"/>
      <c r="G70" s="3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2"/>
      <c r="Y70" s="2"/>
      <c r="Z70" s="2"/>
      <c r="AA70" s="2"/>
      <c r="AB70" s="2"/>
      <c r="AC70" s="2"/>
    </row>
    <row r="71" ht="12.75" customHeight="1">
      <c r="A71" s="2"/>
      <c r="B71" s="2"/>
      <c r="C71" s="2"/>
      <c r="D71" s="3"/>
      <c r="E71" s="3"/>
      <c r="F71" s="3"/>
      <c r="G71" s="3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2"/>
      <c r="Y71" s="2"/>
      <c r="Z71" s="2"/>
      <c r="AA71" s="2"/>
      <c r="AB71" s="2"/>
      <c r="AC71" s="2"/>
    </row>
    <row r="72" ht="12.75" customHeight="1">
      <c r="A72" s="2"/>
      <c r="B72" s="2"/>
      <c r="C72" s="2"/>
      <c r="D72" s="3"/>
      <c r="E72" s="3"/>
      <c r="F72" s="3"/>
      <c r="G72" s="3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2"/>
      <c r="Y72" s="2"/>
      <c r="Z72" s="2"/>
      <c r="AA72" s="2"/>
      <c r="AB72" s="2"/>
      <c r="AC72" s="2"/>
    </row>
    <row r="73" ht="12.75" customHeight="1">
      <c r="A73" s="2"/>
      <c r="B73" s="2"/>
      <c r="C73" s="2"/>
      <c r="D73" s="3"/>
      <c r="E73" s="3"/>
      <c r="F73" s="3"/>
      <c r="G73" s="3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2"/>
      <c r="Y73" s="2"/>
      <c r="Z73" s="2"/>
      <c r="AA73" s="2"/>
      <c r="AB73" s="2"/>
      <c r="AC73" s="2"/>
    </row>
    <row r="74" ht="12.75" customHeight="1">
      <c r="A74" s="2"/>
      <c r="B74" s="2"/>
      <c r="C74" s="2"/>
      <c r="D74" s="3"/>
      <c r="E74" s="3"/>
      <c r="F74" s="3"/>
      <c r="G74" s="3"/>
      <c r="H74" s="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2"/>
      <c r="Y74" s="2"/>
      <c r="Z74" s="2"/>
      <c r="AA74" s="2"/>
      <c r="AB74" s="2"/>
      <c r="AC74" s="2"/>
    </row>
    <row r="75" ht="12.75" customHeight="1">
      <c r="A75" s="2"/>
      <c r="B75" s="2"/>
      <c r="C75" s="2"/>
      <c r="D75" s="3"/>
      <c r="E75" s="3"/>
      <c r="F75" s="3"/>
      <c r="G75" s="3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2"/>
      <c r="Y75" s="2"/>
      <c r="Z75" s="2"/>
      <c r="AA75" s="2"/>
      <c r="AB75" s="2"/>
      <c r="AC75" s="2"/>
    </row>
    <row r="76" ht="12.75" customHeight="1">
      <c r="A76" s="2"/>
      <c r="B76" s="2"/>
      <c r="C76" s="2"/>
      <c r="D76" s="3"/>
      <c r="E76" s="3"/>
      <c r="F76" s="3"/>
      <c r="G76" s="3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2"/>
      <c r="Y76" s="2"/>
      <c r="Z76" s="2"/>
      <c r="AA76" s="2"/>
      <c r="AB76" s="2"/>
      <c r="AC76" s="2"/>
    </row>
    <row r="77" ht="12.75" customHeight="1">
      <c r="A77" s="2"/>
      <c r="B77" s="2"/>
      <c r="C77" s="2"/>
      <c r="D77" s="3"/>
      <c r="E77" s="3"/>
      <c r="F77" s="3"/>
      <c r="G77" s="3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2"/>
      <c r="Y77" s="2"/>
      <c r="Z77" s="2"/>
      <c r="AA77" s="2"/>
      <c r="AB77" s="2"/>
      <c r="AC77" s="2"/>
    </row>
    <row r="78" ht="12.75" customHeight="1">
      <c r="A78" s="2"/>
      <c r="B78" s="2"/>
      <c r="C78" s="2"/>
      <c r="D78" s="3"/>
      <c r="E78" s="3"/>
      <c r="F78" s="3"/>
      <c r="G78" s="3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2"/>
      <c r="Y78" s="2"/>
      <c r="Z78" s="2"/>
      <c r="AA78" s="2"/>
      <c r="AB78" s="2"/>
      <c r="AC78" s="2"/>
    </row>
    <row r="79" ht="12.75" customHeight="1">
      <c r="A79" s="2"/>
      <c r="B79" s="2"/>
      <c r="C79" s="2"/>
      <c r="D79" s="3"/>
      <c r="E79" s="3"/>
      <c r="F79" s="3"/>
      <c r="G79" s="3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2"/>
      <c r="Y79" s="2"/>
      <c r="Z79" s="2"/>
      <c r="AA79" s="2"/>
      <c r="AB79" s="2"/>
      <c r="AC79" s="2"/>
    </row>
    <row r="80" ht="12.75" customHeight="1">
      <c r="A80" s="2"/>
      <c r="B80" s="2"/>
      <c r="C80" s="2"/>
      <c r="D80" s="3"/>
      <c r="E80" s="3"/>
      <c r="F80" s="3"/>
      <c r="G80" s="3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2"/>
      <c r="Y80" s="2"/>
      <c r="Z80" s="2"/>
      <c r="AA80" s="2"/>
      <c r="AB80" s="2"/>
      <c r="AC80" s="2"/>
    </row>
    <row r="81" ht="12.75" customHeight="1">
      <c r="A81" s="2"/>
      <c r="B81" s="2"/>
      <c r="C81" s="2"/>
      <c r="D81" s="3"/>
      <c r="E81" s="3"/>
      <c r="F81" s="3"/>
      <c r="G81" s="3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2"/>
      <c r="Y81" s="2"/>
      <c r="Z81" s="2"/>
      <c r="AA81" s="2"/>
      <c r="AB81" s="2"/>
      <c r="AC81" s="2"/>
    </row>
    <row r="82" ht="12.75" customHeight="1">
      <c r="A82" s="2"/>
      <c r="B82" s="2"/>
      <c r="C82" s="2"/>
      <c r="D82" s="3"/>
      <c r="E82" s="3"/>
      <c r="F82" s="3"/>
      <c r="G82" s="3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2"/>
      <c r="Y82" s="2"/>
      <c r="Z82" s="2"/>
      <c r="AA82" s="2"/>
      <c r="AB82" s="2"/>
      <c r="AC82" s="2"/>
    </row>
    <row r="83" ht="12.75" customHeight="1">
      <c r="A83" s="2"/>
      <c r="B83" s="2"/>
      <c r="C83" s="2"/>
      <c r="D83" s="3"/>
      <c r="E83" s="3"/>
      <c r="F83" s="3"/>
      <c r="G83" s="3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2"/>
      <c r="Y83" s="2"/>
      <c r="Z83" s="2"/>
      <c r="AA83" s="2"/>
      <c r="AB83" s="2"/>
      <c r="AC83" s="2"/>
    </row>
    <row r="84" ht="12.75" customHeight="1">
      <c r="A84" s="2"/>
      <c r="B84" s="2"/>
      <c r="C84" s="2"/>
      <c r="D84" s="3"/>
      <c r="E84" s="3"/>
      <c r="F84" s="3"/>
      <c r="G84" s="3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2"/>
      <c r="Y84" s="2"/>
      <c r="Z84" s="2"/>
      <c r="AA84" s="2"/>
      <c r="AB84" s="2"/>
      <c r="AC84" s="2"/>
    </row>
    <row r="85" ht="12.75" customHeight="1">
      <c r="A85" s="2"/>
      <c r="B85" s="2"/>
      <c r="C85" s="2"/>
      <c r="D85" s="3"/>
      <c r="E85" s="3"/>
      <c r="F85" s="3"/>
      <c r="G85" s="3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2"/>
      <c r="Y85" s="2"/>
      <c r="Z85" s="2"/>
      <c r="AA85" s="2"/>
      <c r="AB85" s="2"/>
      <c r="AC85" s="2"/>
    </row>
    <row r="86" ht="12.75" customHeight="1">
      <c r="A86" s="2"/>
      <c r="B86" s="2"/>
      <c r="C86" s="2"/>
      <c r="D86" s="3"/>
      <c r="E86" s="3"/>
      <c r="F86" s="3"/>
      <c r="G86" s="3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2"/>
      <c r="Y86" s="2"/>
      <c r="Z86" s="2"/>
      <c r="AA86" s="2"/>
      <c r="AB86" s="2"/>
      <c r="AC86" s="2"/>
    </row>
    <row r="87" ht="12.75" customHeight="1">
      <c r="A87" s="2"/>
      <c r="B87" s="2"/>
      <c r="C87" s="2"/>
      <c r="D87" s="3"/>
      <c r="E87" s="3"/>
      <c r="F87" s="3"/>
      <c r="G87" s="3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2"/>
      <c r="Y87" s="2"/>
      <c r="Z87" s="2"/>
      <c r="AA87" s="2"/>
      <c r="AB87" s="2"/>
      <c r="AC87" s="2"/>
    </row>
    <row r="88" ht="12.75" customHeight="1">
      <c r="A88" s="2"/>
      <c r="B88" s="2"/>
      <c r="C88" s="2"/>
      <c r="D88" s="3"/>
      <c r="E88" s="3"/>
      <c r="F88" s="3"/>
      <c r="G88" s="3"/>
      <c r="H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2"/>
      <c r="Y88" s="2"/>
      <c r="Z88" s="2"/>
      <c r="AA88" s="2"/>
      <c r="AB88" s="2"/>
      <c r="AC88" s="2"/>
    </row>
    <row r="89" ht="12.75" customHeight="1">
      <c r="A89" s="2"/>
      <c r="B89" s="2"/>
      <c r="C89" s="2"/>
      <c r="D89" s="3"/>
      <c r="E89" s="3"/>
      <c r="F89" s="3"/>
      <c r="G89" s="3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2"/>
      <c r="Y89" s="2"/>
      <c r="Z89" s="2"/>
      <c r="AA89" s="2"/>
      <c r="AB89" s="2"/>
      <c r="AC89" s="2"/>
    </row>
    <row r="90" ht="12.75" customHeight="1">
      <c r="A90" s="2"/>
      <c r="B90" s="2"/>
      <c r="C90" s="2"/>
      <c r="D90" s="3"/>
      <c r="E90" s="3"/>
      <c r="F90" s="3"/>
      <c r="G90" s="3"/>
      <c r="H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2"/>
      <c r="Y90" s="2"/>
      <c r="Z90" s="2"/>
      <c r="AA90" s="2"/>
      <c r="AB90" s="2"/>
      <c r="AC90" s="2"/>
    </row>
    <row r="91" ht="12.75" customHeight="1">
      <c r="A91" s="2"/>
      <c r="B91" s="2"/>
      <c r="C91" s="2"/>
      <c r="D91" s="3"/>
      <c r="E91" s="3"/>
      <c r="F91" s="3"/>
      <c r="G91" s="3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2"/>
      <c r="Y91" s="2"/>
      <c r="Z91" s="2"/>
      <c r="AA91" s="2"/>
      <c r="AB91" s="2"/>
      <c r="AC91" s="2"/>
    </row>
    <row r="92" ht="12.75" customHeight="1">
      <c r="A92" s="2"/>
      <c r="B92" s="2"/>
      <c r="C92" s="2"/>
      <c r="D92" s="3"/>
      <c r="E92" s="3"/>
      <c r="F92" s="3"/>
      <c r="G92" s="3"/>
      <c r="H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2"/>
      <c r="Y92" s="2"/>
      <c r="Z92" s="2"/>
      <c r="AA92" s="2"/>
      <c r="AB92" s="2"/>
      <c r="AC92" s="2"/>
    </row>
    <row r="93" ht="12.75" customHeight="1">
      <c r="A93" s="2"/>
      <c r="B93" s="2"/>
      <c r="C93" s="2"/>
      <c r="D93" s="3"/>
      <c r="E93" s="3"/>
      <c r="F93" s="3"/>
      <c r="G93" s="3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2"/>
      <c r="Y93" s="2"/>
      <c r="Z93" s="2"/>
      <c r="AA93" s="2"/>
      <c r="AB93" s="2"/>
      <c r="AC93" s="2"/>
    </row>
    <row r="94" ht="12.75" customHeight="1">
      <c r="A94" s="2"/>
      <c r="B94" s="2"/>
      <c r="C94" s="2"/>
      <c r="D94" s="3"/>
      <c r="E94" s="3"/>
      <c r="F94" s="3"/>
      <c r="G94" s="3"/>
      <c r="H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2"/>
      <c r="Y94" s="2"/>
      <c r="Z94" s="2"/>
      <c r="AA94" s="2"/>
      <c r="AB94" s="2"/>
      <c r="AC94" s="2"/>
    </row>
    <row r="95" ht="12.75" customHeight="1">
      <c r="A95" s="2"/>
      <c r="B95" s="2"/>
      <c r="C95" s="2"/>
      <c r="D95" s="3"/>
      <c r="E95" s="3"/>
      <c r="F95" s="3"/>
      <c r="G95" s="3"/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2"/>
      <c r="Y95" s="2"/>
      <c r="Z95" s="2"/>
      <c r="AA95" s="2"/>
      <c r="AB95" s="2"/>
      <c r="AC95" s="2"/>
    </row>
    <row r="96" ht="12.75" customHeight="1">
      <c r="A96" s="2"/>
      <c r="B96" s="2"/>
      <c r="C96" s="2"/>
      <c r="D96" s="3"/>
      <c r="E96" s="3"/>
      <c r="F96" s="3"/>
      <c r="G96" s="3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2"/>
      <c r="Y96" s="2"/>
      <c r="Z96" s="2"/>
      <c r="AA96" s="2"/>
      <c r="AB96" s="2"/>
      <c r="AC96" s="2"/>
    </row>
    <row r="97" ht="12.75" customHeight="1">
      <c r="A97" s="2"/>
      <c r="B97" s="2"/>
      <c r="C97" s="2"/>
      <c r="D97" s="3"/>
      <c r="E97" s="3"/>
      <c r="F97" s="3"/>
      <c r="G97" s="3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2"/>
      <c r="Y97" s="2"/>
      <c r="Z97" s="2"/>
      <c r="AA97" s="2"/>
      <c r="AB97" s="2"/>
      <c r="AC97" s="2"/>
    </row>
    <row r="98" ht="12.75" customHeight="1">
      <c r="A98" s="2"/>
      <c r="B98" s="2"/>
      <c r="C98" s="2"/>
      <c r="D98" s="3"/>
      <c r="E98" s="3"/>
      <c r="F98" s="3"/>
      <c r="G98" s="3"/>
      <c r="H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2"/>
      <c r="Y98" s="2"/>
      <c r="Z98" s="2"/>
      <c r="AA98" s="2"/>
      <c r="AB98" s="2"/>
      <c r="AC98" s="2"/>
    </row>
    <row r="99" ht="12.75" customHeight="1">
      <c r="A99" s="2"/>
      <c r="B99" s="2"/>
      <c r="C99" s="2"/>
      <c r="D99" s="3"/>
      <c r="E99" s="3"/>
      <c r="F99" s="3"/>
      <c r="G99" s="3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2"/>
      <c r="Y99" s="2"/>
      <c r="Z99" s="2"/>
      <c r="AA99" s="2"/>
      <c r="AB99" s="2"/>
      <c r="AC99" s="2"/>
    </row>
    <row r="100" ht="12.75" customHeight="1">
      <c r="A100" s="2"/>
      <c r="B100" s="2"/>
      <c r="C100" s="2"/>
      <c r="D100" s="3"/>
      <c r="E100" s="3"/>
      <c r="F100" s="3"/>
      <c r="G100" s="3"/>
      <c r="H100" s="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2"/>
      <c r="Y100" s="2"/>
      <c r="Z100" s="2"/>
      <c r="AA100" s="2"/>
      <c r="AB100" s="2"/>
      <c r="AC100" s="2"/>
    </row>
    <row r="101" ht="12.75" customHeight="1">
      <c r="A101" s="2"/>
      <c r="B101" s="2"/>
      <c r="C101" s="2"/>
      <c r="D101" s="3"/>
      <c r="E101" s="3"/>
      <c r="F101" s="3"/>
      <c r="G101" s="3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2"/>
      <c r="Y101" s="2"/>
      <c r="Z101" s="2"/>
      <c r="AA101" s="2"/>
      <c r="AB101" s="2"/>
      <c r="AC101" s="2"/>
    </row>
    <row r="102" ht="12.75" customHeight="1">
      <c r="A102" s="2"/>
      <c r="B102" s="2"/>
      <c r="C102" s="2"/>
      <c r="D102" s="3"/>
      <c r="E102" s="3"/>
      <c r="F102" s="3"/>
      <c r="G102" s="3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2"/>
      <c r="Y102" s="2"/>
      <c r="Z102" s="2"/>
      <c r="AA102" s="2"/>
      <c r="AB102" s="2"/>
      <c r="AC102" s="2"/>
    </row>
    <row r="103" ht="12.75" customHeight="1">
      <c r="A103" s="2"/>
      <c r="B103" s="2"/>
      <c r="C103" s="2"/>
      <c r="D103" s="3"/>
      <c r="E103" s="3"/>
      <c r="F103" s="3"/>
      <c r="G103" s="3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2"/>
      <c r="Y103" s="2"/>
      <c r="Z103" s="2"/>
      <c r="AA103" s="2"/>
      <c r="AB103" s="2"/>
      <c r="AC103" s="2"/>
    </row>
    <row r="104" ht="12.75" customHeight="1">
      <c r="A104" s="2"/>
      <c r="B104" s="2"/>
      <c r="C104" s="2"/>
      <c r="D104" s="3"/>
      <c r="E104" s="3"/>
      <c r="F104" s="3"/>
      <c r="G104" s="3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2"/>
      <c r="Y104" s="2"/>
      <c r="Z104" s="2"/>
      <c r="AA104" s="2"/>
      <c r="AB104" s="2"/>
      <c r="AC104" s="2"/>
    </row>
    <row r="105" ht="12.75" customHeight="1">
      <c r="A105" s="2"/>
      <c r="B105" s="2"/>
      <c r="C105" s="2"/>
      <c r="D105" s="3"/>
      <c r="E105" s="3"/>
      <c r="F105" s="3"/>
      <c r="G105" s="3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2"/>
      <c r="Y105" s="2"/>
      <c r="Z105" s="2"/>
      <c r="AA105" s="2"/>
      <c r="AB105" s="2"/>
      <c r="AC105" s="2"/>
    </row>
    <row r="106" ht="12.75" customHeight="1">
      <c r="A106" s="2"/>
      <c r="B106" s="2"/>
      <c r="C106" s="2"/>
      <c r="D106" s="3"/>
      <c r="E106" s="3"/>
      <c r="F106" s="3"/>
      <c r="G106" s="3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2"/>
      <c r="Y106" s="2"/>
      <c r="Z106" s="2"/>
      <c r="AA106" s="2"/>
      <c r="AB106" s="2"/>
      <c r="AC106" s="2"/>
    </row>
    <row r="107" ht="12.75" customHeight="1">
      <c r="A107" s="2"/>
      <c r="B107" s="2"/>
      <c r="C107" s="2"/>
      <c r="D107" s="3"/>
      <c r="E107" s="3"/>
      <c r="F107" s="3"/>
      <c r="G107" s="3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2"/>
      <c r="Y107" s="2"/>
      <c r="Z107" s="2"/>
      <c r="AA107" s="2"/>
      <c r="AB107" s="2"/>
      <c r="AC107" s="2"/>
    </row>
    <row r="108" ht="12.75" customHeight="1">
      <c r="A108" s="2"/>
      <c r="B108" s="2"/>
      <c r="C108" s="2"/>
      <c r="D108" s="3"/>
      <c r="E108" s="3"/>
      <c r="F108" s="3"/>
      <c r="G108" s="3"/>
      <c r="H108" s="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2"/>
      <c r="Y108" s="2"/>
      <c r="Z108" s="2"/>
      <c r="AA108" s="2"/>
      <c r="AB108" s="2"/>
      <c r="AC108" s="2"/>
    </row>
    <row r="109" ht="12.75" customHeight="1">
      <c r="A109" s="2"/>
      <c r="B109" s="2"/>
      <c r="C109" s="2"/>
      <c r="D109" s="3"/>
      <c r="E109" s="3"/>
      <c r="F109" s="3"/>
      <c r="G109" s="3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2"/>
      <c r="Y109" s="2"/>
      <c r="Z109" s="2"/>
      <c r="AA109" s="2"/>
      <c r="AB109" s="2"/>
      <c r="AC109" s="2"/>
    </row>
    <row r="110" ht="12.75" customHeight="1">
      <c r="A110" s="2"/>
      <c r="B110" s="2"/>
      <c r="C110" s="2"/>
      <c r="D110" s="3"/>
      <c r="E110" s="3"/>
      <c r="F110" s="3"/>
      <c r="G110" s="3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2"/>
      <c r="Y110" s="2"/>
      <c r="Z110" s="2"/>
      <c r="AA110" s="2"/>
      <c r="AB110" s="2"/>
      <c r="AC110" s="2"/>
    </row>
    <row r="111" ht="12.75" customHeight="1">
      <c r="A111" s="2"/>
      <c r="B111" s="2"/>
      <c r="C111" s="2"/>
      <c r="D111" s="3"/>
      <c r="E111" s="3"/>
      <c r="F111" s="3"/>
      <c r="G111" s="3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2"/>
      <c r="Y111" s="2"/>
      <c r="Z111" s="2"/>
      <c r="AA111" s="2"/>
      <c r="AB111" s="2"/>
      <c r="AC111" s="2"/>
    </row>
    <row r="112" ht="12.75" customHeight="1">
      <c r="A112" s="2"/>
      <c r="B112" s="2"/>
      <c r="C112" s="2"/>
      <c r="D112" s="3"/>
      <c r="E112" s="3"/>
      <c r="F112" s="3"/>
      <c r="G112" s="3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2"/>
      <c r="Y112" s="2"/>
      <c r="Z112" s="2"/>
      <c r="AA112" s="2"/>
      <c r="AB112" s="2"/>
      <c r="AC112" s="2"/>
    </row>
    <row r="113" ht="12.75" customHeight="1">
      <c r="A113" s="2"/>
      <c r="B113" s="2"/>
      <c r="C113" s="2"/>
      <c r="D113" s="3"/>
      <c r="E113" s="3"/>
      <c r="F113" s="3"/>
      <c r="G113" s="3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2"/>
      <c r="Y113" s="2"/>
      <c r="Z113" s="2"/>
      <c r="AA113" s="2"/>
      <c r="AB113" s="2"/>
      <c r="AC113" s="2"/>
    </row>
    <row r="114" ht="12.75" customHeight="1">
      <c r="A114" s="2"/>
      <c r="B114" s="2"/>
      <c r="C114" s="2"/>
      <c r="D114" s="3"/>
      <c r="E114" s="3"/>
      <c r="F114" s="3"/>
      <c r="G114" s="3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2"/>
      <c r="Y114" s="2"/>
      <c r="Z114" s="2"/>
      <c r="AA114" s="2"/>
      <c r="AB114" s="2"/>
      <c r="AC114" s="2"/>
    </row>
    <row r="115" ht="12.75" customHeight="1">
      <c r="A115" s="2"/>
      <c r="B115" s="2"/>
      <c r="C115" s="2"/>
      <c r="D115" s="3"/>
      <c r="E115" s="3"/>
      <c r="F115" s="3"/>
      <c r="G115" s="3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2"/>
      <c r="Y115" s="2"/>
      <c r="Z115" s="2"/>
      <c r="AA115" s="2"/>
      <c r="AB115" s="2"/>
      <c r="AC115" s="2"/>
    </row>
    <row r="116" ht="12.75" customHeight="1">
      <c r="A116" s="2"/>
      <c r="B116" s="2"/>
      <c r="C116" s="2"/>
      <c r="D116" s="3"/>
      <c r="E116" s="3"/>
      <c r="F116" s="3"/>
      <c r="G116" s="3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2"/>
      <c r="Y116" s="2"/>
      <c r="Z116" s="2"/>
      <c r="AA116" s="2"/>
      <c r="AB116" s="2"/>
      <c r="AC116" s="2"/>
    </row>
    <row r="117" ht="12.75" customHeight="1">
      <c r="A117" s="2"/>
      <c r="B117" s="2"/>
      <c r="C117" s="2"/>
      <c r="D117" s="3"/>
      <c r="E117" s="3"/>
      <c r="F117" s="3"/>
      <c r="G117" s="3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2"/>
      <c r="Y117" s="2"/>
      <c r="Z117" s="2"/>
      <c r="AA117" s="2"/>
      <c r="AB117" s="2"/>
      <c r="AC117" s="2"/>
    </row>
    <row r="118" ht="12.75" customHeight="1">
      <c r="A118" s="2"/>
      <c r="B118" s="2"/>
      <c r="C118" s="2"/>
      <c r="D118" s="3"/>
      <c r="E118" s="3"/>
      <c r="F118" s="3"/>
      <c r="G118" s="3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2"/>
      <c r="Y118" s="2"/>
      <c r="Z118" s="2"/>
      <c r="AA118" s="2"/>
      <c r="AB118" s="2"/>
      <c r="AC118" s="2"/>
    </row>
    <row r="119" ht="12.75" customHeight="1">
      <c r="A119" s="2"/>
      <c r="B119" s="2"/>
      <c r="C119" s="2"/>
      <c r="D119" s="3"/>
      <c r="E119" s="3"/>
      <c r="F119" s="3"/>
      <c r="G119" s="3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2"/>
      <c r="Y119" s="2"/>
      <c r="Z119" s="2"/>
      <c r="AA119" s="2"/>
      <c r="AB119" s="2"/>
      <c r="AC119" s="2"/>
    </row>
    <row r="120" ht="12.75" customHeight="1">
      <c r="A120" s="2"/>
      <c r="B120" s="2"/>
      <c r="C120" s="2"/>
      <c r="D120" s="3"/>
      <c r="E120" s="3"/>
      <c r="F120" s="3"/>
      <c r="G120" s="3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2"/>
      <c r="Y120" s="2"/>
      <c r="Z120" s="2"/>
      <c r="AA120" s="2"/>
      <c r="AB120" s="2"/>
      <c r="AC120" s="2"/>
    </row>
    <row r="121" ht="12.75" customHeight="1">
      <c r="A121" s="2"/>
      <c r="B121" s="2"/>
      <c r="C121" s="2"/>
      <c r="D121" s="3"/>
      <c r="E121" s="3"/>
      <c r="F121" s="3"/>
      <c r="G121" s="3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2"/>
      <c r="Y121" s="2"/>
      <c r="Z121" s="2"/>
      <c r="AA121" s="2"/>
      <c r="AB121" s="2"/>
      <c r="AC121" s="2"/>
    </row>
    <row r="122" ht="12.75" customHeight="1">
      <c r="A122" s="2"/>
      <c r="B122" s="2"/>
      <c r="C122" s="2"/>
      <c r="D122" s="3"/>
      <c r="E122" s="3"/>
      <c r="F122" s="3"/>
      <c r="G122" s="3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2"/>
      <c r="Y122" s="2"/>
      <c r="Z122" s="2"/>
      <c r="AA122" s="2"/>
      <c r="AB122" s="2"/>
      <c r="AC122" s="2"/>
    </row>
    <row r="123" ht="12.75" customHeight="1">
      <c r="A123" s="2"/>
      <c r="B123" s="2"/>
      <c r="C123" s="2"/>
      <c r="D123" s="3"/>
      <c r="E123" s="3"/>
      <c r="F123" s="3"/>
      <c r="G123" s="3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2"/>
      <c r="Y123" s="2"/>
      <c r="Z123" s="2"/>
      <c r="AA123" s="2"/>
      <c r="AB123" s="2"/>
      <c r="AC123" s="2"/>
    </row>
    <row r="124" ht="12.75" customHeight="1">
      <c r="A124" s="2"/>
      <c r="B124" s="2"/>
      <c r="C124" s="2"/>
      <c r="D124" s="3"/>
      <c r="E124" s="3"/>
      <c r="F124" s="3"/>
      <c r="G124" s="3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2"/>
      <c r="Y124" s="2"/>
      <c r="Z124" s="2"/>
      <c r="AA124" s="2"/>
      <c r="AB124" s="2"/>
      <c r="AC124" s="2"/>
    </row>
    <row r="125" ht="12.75" customHeight="1">
      <c r="A125" s="2"/>
      <c r="B125" s="2"/>
      <c r="C125" s="2"/>
      <c r="D125" s="3"/>
      <c r="E125" s="3"/>
      <c r="F125" s="3"/>
      <c r="G125" s="3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2"/>
      <c r="Y125" s="2"/>
      <c r="Z125" s="2"/>
      <c r="AA125" s="2"/>
      <c r="AB125" s="2"/>
      <c r="AC125" s="2"/>
    </row>
    <row r="126" ht="12.75" customHeight="1">
      <c r="A126" s="2"/>
      <c r="B126" s="2"/>
      <c r="C126" s="2"/>
      <c r="D126" s="3"/>
      <c r="E126" s="3"/>
      <c r="F126" s="3"/>
      <c r="G126" s="3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2"/>
      <c r="Y126" s="2"/>
      <c r="Z126" s="2"/>
      <c r="AA126" s="2"/>
      <c r="AB126" s="2"/>
      <c r="AC126" s="2"/>
    </row>
    <row r="127" ht="12.75" customHeight="1">
      <c r="A127" s="2"/>
      <c r="B127" s="2"/>
      <c r="C127" s="2"/>
      <c r="D127" s="3"/>
      <c r="E127" s="3"/>
      <c r="F127" s="3"/>
      <c r="G127" s="3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2"/>
      <c r="Y127" s="2"/>
      <c r="Z127" s="2"/>
      <c r="AA127" s="2"/>
      <c r="AB127" s="2"/>
      <c r="AC127" s="2"/>
    </row>
    <row r="128" ht="12.75" customHeight="1">
      <c r="A128" s="2"/>
      <c r="B128" s="2"/>
      <c r="C128" s="2"/>
      <c r="D128" s="3"/>
      <c r="E128" s="3"/>
      <c r="F128" s="3"/>
      <c r="G128" s="3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2"/>
      <c r="Y128" s="2"/>
      <c r="Z128" s="2"/>
      <c r="AA128" s="2"/>
      <c r="AB128" s="2"/>
      <c r="AC128" s="2"/>
    </row>
    <row r="129" ht="12.75" customHeight="1">
      <c r="A129" s="2"/>
      <c r="B129" s="2"/>
      <c r="C129" s="2"/>
      <c r="D129" s="3"/>
      <c r="E129" s="3"/>
      <c r="F129" s="3"/>
      <c r="G129" s="3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2"/>
      <c r="Y129" s="2"/>
      <c r="Z129" s="2"/>
      <c r="AA129" s="2"/>
      <c r="AB129" s="2"/>
      <c r="AC129" s="2"/>
    </row>
    <row r="130" ht="12.75" customHeight="1">
      <c r="A130" s="2"/>
      <c r="B130" s="2"/>
      <c r="C130" s="2"/>
      <c r="D130" s="3"/>
      <c r="E130" s="3"/>
      <c r="F130" s="3"/>
      <c r="G130" s="3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2"/>
      <c r="Y130" s="2"/>
      <c r="Z130" s="2"/>
      <c r="AA130" s="2"/>
      <c r="AB130" s="2"/>
      <c r="AC130" s="2"/>
    </row>
    <row r="131" ht="12.75" customHeight="1">
      <c r="A131" s="2"/>
      <c r="B131" s="2"/>
      <c r="C131" s="2"/>
      <c r="D131" s="3"/>
      <c r="E131" s="3"/>
      <c r="F131" s="3"/>
      <c r="G131" s="3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2"/>
      <c r="Y131" s="2"/>
      <c r="Z131" s="2"/>
      <c r="AA131" s="2"/>
      <c r="AB131" s="2"/>
      <c r="AC131" s="2"/>
    </row>
    <row r="132" ht="12.75" customHeight="1">
      <c r="A132" s="2"/>
      <c r="B132" s="2"/>
      <c r="C132" s="2"/>
      <c r="D132" s="3"/>
      <c r="E132" s="3"/>
      <c r="F132" s="3"/>
      <c r="G132" s="3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2"/>
      <c r="Y132" s="2"/>
      <c r="Z132" s="2"/>
      <c r="AA132" s="2"/>
      <c r="AB132" s="2"/>
      <c r="AC132" s="2"/>
    </row>
    <row r="133" ht="12.75" customHeight="1">
      <c r="A133" s="2"/>
      <c r="B133" s="2"/>
      <c r="C133" s="2"/>
      <c r="D133" s="3"/>
      <c r="E133" s="3"/>
      <c r="F133" s="3"/>
      <c r="G133" s="3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2"/>
      <c r="Y133" s="2"/>
      <c r="Z133" s="2"/>
      <c r="AA133" s="2"/>
      <c r="AB133" s="2"/>
      <c r="AC133" s="2"/>
    </row>
    <row r="134" ht="12.75" customHeight="1">
      <c r="A134" s="2"/>
      <c r="B134" s="2"/>
      <c r="C134" s="2"/>
      <c r="D134" s="3"/>
      <c r="E134" s="3"/>
      <c r="F134" s="3"/>
      <c r="G134" s="3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2"/>
      <c r="Y134" s="2"/>
      <c r="Z134" s="2"/>
      <c r="AA134" s="2"/>
      <c r="AB134" s="2"/>
      <c r="AC134" s="2"/>
    </row>
    <row r="135" ht="12.75" customHeight="1">
      <c r="A135" s="2"/>
      <c r="B135" s="2"/>
      <c r="C135" s="2"/>
      <c r="D135" s="3"/>
      <c r="E135" s="3"/>
      <c r="F135" s="3"/>
      <c r="G135" s="3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2"/>
      <c r="Y135" s="2"/>
      <c r="Z135" s="2"/>
      <c r="AA135" s="2"/>
      <c r="AB135" s="2"/>
      <c r="AC135" s="2"/>
    </row>
    <row r="136" ht="12.75" customHeight="1">
      <c r="A136" s="2"/>
      <c r="B136" s="2"/>
      <c r="C136" s="2"/>
      <c r="D136" s="3"/>
      <c r="E136" s="3"/>
      <c r="F136" s="3"/>
      <c r="G136" s="3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2"/>
      <c r="Y136" s="2"/>
      <c r="Z136" s="2"/>
      <c r="AA136" s="2"/>
      <c r="AB136" s="2"/>
      <c r="AC136" s="2"/>
    </row>
    <row r="137" ht="12.75" customHeight="1">
      <c r="A137" s="2"/>
      <c r="B137" s="2"/>
      <c r="C137" s="2"/>
      <c r="D137" s="3"/>
      <c r="E137" s="3"/>
      <c r="F137" s="3"/>
      <c r="G137" s="3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2"/>
      <c r="Y137" s="2"/>
      <c r="Z137" s="2"/>
      <c r="AA137" s="2"/>
      <c r="AB137" s="2"/>
      <c r="AC137" s="2"/>
    </row>
    <row r="138" ht="12.75" customHeight="1">
      <c r="A138" s="2"/>
      <c r="B138" s="2"/>
      <c r="C138" s="2"/>
      <c r="D138" s="3"/>
      <c r="E138" s="3"/>
      <c r="F138" s="3"/>
      <c r="G138" s="3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2"/>
      <c r="Y138" s="2"/>
      <c r="Z138" s="2"/>
      <c r="AA138" s="2"/>
      <c r="AB138" s="2"/>
      <c r="AC138" s="2"/>
    </row>
    <row r="139" ht="12.75" customHeight="1">
      <c r="A139" s="2"/>
      <c r="B139" s="2"/>
      <c r="C139" s="2"/>
      <c r="D139" s="3"/>
      <c r="E139" s="3"/>
      <c r="F139" s="3"/>
      <c r="G139" s="3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2"/>
      <c r="Y139" s="2"/>
      <c r="Z139" s="2"/>
      <c r="AA139" s="2"/>
      <c r="AB139" s="2"/>
      <c r="AC139" s="2"/>
    </row>
    <row r="140" ht="12.75" customHeight="1">
      <c r="A140" s="2"/>
      <c r="B140" s="2"/>
      <c r="C140" s="2"/>
      <c r="D140" s="3"/>
      <c r="E140" s="3"/>
      <c r="F140" s="3"/>
      <c r="G140" s="3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2"/>
      <c r="Y140" s="2"/>
      <c r="Z140" s="2"/>
      <c r="AA140" s="2"/>
      <c r="AB140" s="2"/>
      <c r="AC140" s="2"/>
    </row>
    <row r="141" ht="12.75" customHeight="1">
      <c r="A141" s="2"/>
      <c r="B141" s="2"/>
      <c r="C141" s="2"/>
      <c r="D141" s="3"/>
      <c r="E141" s="3"/>
      <c r="F141" s="3"/>
      <c r="G141" s="3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2"/>
      <c r="Y141" s="2"/>
      <c r="Z141" s="2"/>
      <c r="AA141" s="2"/>
      <c r="AB141" s="2"/>
      <c r="AC141" s="2"/>
    </row>
    <row r="142" ht="12.75" customHeight="1">
      <c r="A142" s="2"/>
      <c r="B142" s="2"/>
      <c r="C142" s="2"/>
      <c r="D142" s="3"/>
      <c r="E142" s="3"/>
      <c r="F142" s="3"/>
      <c r="G142" s="3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2"/>
      <c r="Y142" s="2"/>
      <c r="Z142" s="2"/>
      <c r="AA142" s="2"/>
      <c r="AB142" s="2"/>
      <c r="AC142" s="2"/>
    </row>
    <row r="143" ht="12.75" customHeight="1">
      <c r="A143" s="2"/>
      <c r="B143" s="2"/>
      <c r="C143" s="2"/>
      <c r="D143" s="3"/>
      <c r="E143" s="3"/>
      <c r="F143" s="3"/>
      <c r="G143" s="3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2"/>
      <c r="Y143" s="2"/>
      <c r="Z143" s="2"/>
      <c r="AA143" s="2"/>
      <c r="AB143" s="2"/>
      <c r="AC143" s="2"/>
    </row>
    <row r="144" ht="12.75" customHeight="1">
      <c r="A144" s="2"/>
      <c r="B144" s="2"/>
      <c r="C144" s="2"/>
      <c r="D144" s="3"/>
      <c r="E144" s="3"/>
      <c r="F144" s="3"/>
      <c r="G144" s="3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2"/>
      <c r="Y144" s="2"/>
      <c r="Z144" s="2"/>
      <c r="AA144" s="2"/>
      <c r="AB144" s="2"/>
      <c r="AC144" s="2"/>
    </row>
    <row r="145" ht="12.75" customHeight="1">
      <c r="A145" s="2"/>
      <c r="B145" s="2"/>
      <c r="C145" s="2"/>
      <c r="D145" s="3"/>
      <c r="E145" s="3"/>
      <c r="F145" s="3"/>
      <c r="G145" s="3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2"/>
      <c r="Y145" s="2"/>
      <c r="Z145" s="2"/>
      <c r="AA145" s="2"/>
      <c r="AB145" s="2"/>
      <c r="AC145" s="2"/>
    </row>
    <row r="146" ht="12.75" customHeight="1">
      <c r="A146" s="2"/>
      <c r="B146" s="2"/>
      <c r="C146" s="2"/>
      <c r="D146" s="3"/>
      <c r="E146" s="3"/>
      <c r="F146" s="3"/>
      <c r="G146" s="3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2"/>
      <c r="Y146" s="2"/>
      <c r="Z146" s="2"/>
      <c r="AA146" s="2"/>
      <c r="AB146" s="2"/>
      <c r="AC146" s="2"/>
    </row>
    <row r="147" ht="12.75" customHeight="1">
      <c r="A147" s="2"/>
      <c r="B147" s="2"/>
      <c r="C147" s="2"/>
      <c r="D147" s="3"/>
      <c r="E147" s="3"/>
      <c r="F147" s="3"/>
      <c r="G147" s="3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2"/>
      <c r="Y147" s="2"/>
      <c r="Z147" s="2"/>
      <c r="AA147" s="2"/>
      <c r="AB147" s="2"/>
      <c r="AC147" s="2"/>
    </row>
    <row r="148" ht="12.75" customHeight="1">
      <c r="A148" s="2"/>
      <c r="B148" s="2"/>
      <c r="C148" s="2"/>
      <c r="D148" s="3"/>
      <c r="E148" s="3"/>
      <c r="F148" s="3"/>
      <c r="G148" s="3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2"/>
      <c r="Y148" s="2"/>
      <c r="Z148" s="2"/>
      <c r="AA148" s="2"/>
      <c r="AB148" s="2"/>
      <c r="AC148" s="2"/>
    </row>
    <row r="149" ht="12.75" customHeight="1">
      <c r="A149" s="2"/>
      <c r="B149" s="2"/>
      <c r="C149" s="2"/>
      <c r="D149" s="3"/>
      <c r="E149" s="3"/>
      <c r="F149" s="3"/>
      <c r="G149" s="3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2"/>
      <c r="Y149" s="2"/>
      <c r="Z149" s="2"/>
      <c r="AA149" s="2"/>
      <c r="AB149" s="2"/>
      <c r="AC149" s="2"/>
    </row>
    <row r="150" ht="12.75" customHeight="1">
      <c r="A150" s="2"/>
      <c r="B150" s="2"/>
      <c r="C150" s="2"/>
      <c r="D150" s="3"/>
      <c r="E150" s="3"/>
      <c r="F150" s="3"/>
      <c r="G150" s="3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2"/>
      <c r="Y150" s="2"/>
      <c r="Z150" s="2"/>
      <c r="AA150" s="2"/>
      <c r="AB150" s="2"/>
      <c r="AC150" s="2"/>
    </row>
    <row r="151" ht="12.75" customHeight="1">
      <c r="A151" s="2"/>
      <c r="B151" s="2"/>
      <c r="C151" s="2"/>
      <c r="D151" s="3"/>
      <c r="E151" s="3"/>
      <c r="F151" s="3"/>
      <c r="G151" s="3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2"/>
      <c r="Y151" s="2"/>
      <c r="Z151" s="2"/>
      <c r="AA151" s="2"/>
      <c r="AB151" s="2"/>
      <c r="AC151" s="2"/>
    </row>
    <row r="152" ht="12.75" customHeight="1">
      <c r="A152" s="2"/>
      <c r="B152" s="2"/>
      <c r="C152" s="2"/>
      <c r="D152" s="3"/>
      <c r="E152" s="3"/>
      <c r="F152" s="3"/>
      <c r="G152" s="3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2"/>
      <c r="Y152" s="2"/>
      <c r="Z152" s="2"/>
      <c r="AA152" s="2"/>
      <c r="AB152" s="2"/>
      <c r="AC152" s="2"/>
    </row>
    <row r="153" ht="12.75" customHeight="1">
      <c r="A153" s="2"/>
      <c r="B153" s="2"/>
      <c r="C153" s="2"/>
      <c r="D153" s="3"/>
      <c r="E153" s="3"/>
      <c r="F153" s="3"/>
      <c r="G153" s="3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2"/>
      <c r="Y153" s="2"/>
      <c r="Z153" s="2"/>
      <c r="AA153" s="2"/>
      <c r="AB153" s="2"/>
      <c r="AC153" s="2"/>
    </row>
    <row r="154" ht="12.75" customHeight="1">
      <c r="A154" s="2"/>
      <c r="B154" s="2"/>
      <c r="C154" s="2"/>
      <c r="D154" s="3"/>
      <c r="E154" s="3"/>
      <c r="F154" s="3"/>
      <c r="G154" s="3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2"/>
      <c r="Y154" s="2"/>
      <c r="Z154" s="2"/>
      <c r="AA154" s="2"/>
      <c r="AB154" s="2"/>
      <c r="AC154" s="2"/>
    </row>
    <row r="155" ht="12.75" customHeight="1">
      <c r="A155" s="2"/>
      <c r="B155" s="2"/>
      <c r="C155" s="2"/>
      <c r="D155" s="3"/>
      <c r="E155" s="3"/>
      <c r="F155" s="3"/>
      <c r="G155" s="3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2"/>
      <c r="Y155" s="2"/>
      <c r="Z155" s="2"/>
      <c r="AA155" s="2"/>
      <c r="AB155" s="2"/>
      <c r="AC155" s="2"/>
    </row>
    <row r="156" ht="12.75" customHeight="1">
      <c r="A156" s="2"/>
      <c r="B156" s="2"/>
      <c r="C156" s="2"/>
      <c r="D156" s="3"/>
      <c r="E156" s="3"/>
      <c r="F156" s="3"/>
      <c r="G156" s="3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2"/>
      <c r="Y156" s="2"/>
      <c r="Z156" s="2"/>
      <c r="AA156" s="2"/>
      <c r="AB156" s="2"/>
      <c r="AC156" s="2"/>
    </row>
    <row r="157" ht="12.75" customHeight="1">
      <c r="A157" s="2"/>
      <c r="B157" s="2"/>
      <c r="C157" s="2"/>
      <c r="D157" s="3"/>
      <c r="E157" s="3"/>
      <c r="F157" s="3"/>
      <c r="G157" s="3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2"/>
      <c r="Y157" s="2"/>
      <c r="Z157" s="2"/>
      <c r="AA157" s="2"/>
      <c r="AB157" s="2"/>
      <c r="AC157" s="2"/>
    </row>
    <row r="158" ht="12.75" customHeight="1">
      <c r="A158" s="2"/>
      <c r="B158" s="2"/>
      <c r="C158" s="2"/>
      <c r="D158" s="3"/>
      <c r="E158" s="3"/>
      <c r="F158" s="3"/>
      <c r="G158" s="3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2"/>
      <c r="Y158" s="2"/>
      <c r="Z158" s="2"/>
      <c r="AA158" s="2"/>
      <c r="AB158" s="2"/>
      <c r="AC158" s="2"/>
    </row>
    <row r="159" ht="12.75" customHeight="1">
      <c r="A159" s="2"/>
      <c r="B159" s="2"/>
      <c r="C159" s="2"/>
      <c r="D159" s="3"/>
      <c r="E159" s="3"/>
      <c r="F159" s="3"/>
      <c r="G159" s="3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2"/>
      <c r="Y159" s="2"/>
      <c r="Z159" s="2"/>
      <c r="AA159" s="2"/>
      <c r="AB159" s="2"/>
      <c r="AC159" s="2"/>
    </row>
    <row r="160" ht="12.75" customHeight="1">
      <c r="A160" s="2"/>
      <c r="B160" s="2"/>
      <c r="C160" s="2"/>
      <c r="D160" s="3"/>
      <c r="E160" s="3"/>
      <c r="F160" s="3"/>
      <c r="G160" s="3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2"/>
      <c r="Y160" s="2"/>
      <c r="Z160" s="2"/>
      <c r="AA160" s="2"/>
      <c r="AB160" s="2"/>
      <c r="AC160" s="2"/>
    </row>
    <row r="161" ht="12.75" customHeight="1">
      <c r="A161" s="2"/>
      <c r="B161" s="2"/>
      <c r="C161" s="2"/>
      <c r="D161" s="3"/>
      <c r="E161" s="3"/>
      <c r="F161" s="3"/>
      <c r="G161" s="3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2"/>
      <c r="Y161" s="2"/>
      <c r="Z161" s="2"/>
      <c r="AA161" s="2"/>
      <c r="AB161" s="2"/>
      <c r="AC161" s="2"/>
    </row>
    <row r="162" ht="12.75" customHeight="1">
      <c r="A162" s="2"/>
      <c r="B162" s="2"/>
      <c r="C162" s="2"/>
      <c r="D162" s="3"/>
      <c r="E162" s="3"/>
      <c r="F162" s="3"/>
      <c r="G162" s="3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2"/>
      <c r="Y162" s="2"/>
      <c r="Z162" s="2"/>
      <c r="AA162" s="2"/>
      <c r="AB162" s="2"/>
      <c r="AC162" s="2"/>
    </row>
    <row r="163" ht="12.75" customHeight="1">
      <c r="A163" s="2"/>
      <c r="B163" s="2"/>
      <c r="C163" s="2"/>
      <c r="D163" s="3"/>
      <c r="E163" s="3"/>
      <c r="F163" s="3"/>
      <c r="G163" s="3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2"/>
      <c r="Y163" s="2"/>
      <c r="Z163" s="2"/>
      <c r="AA163" s="2"/>
      <c r="AB163" s="2"/>
      <c r="AC163" s="2"/>
    </row>
    <row r="164" ht="12.75" customHeight="1">
      <c r="A164" s="2"/>
      <c r="B164" s="2"/>
      <c r="C164" s="2"/>
      <c r="D164" s="3"/>
      <c r="E164" s="3"/>
      <c r="F164" s="3"/>
      <c r="G164" s="3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2"/>
      <c r="Y164" s="2"/>
      <c r="Z164" s="2"/>
      <c r="AA164" s="2"/>
      <c r="AB164" s="2"/>
      <c r="AC164" s="2"/>
    </row>
    <row r="165" ht="12.75" customHeight="1">
      <c r="A165" s="2"/>
      <c r="B165" s="2"/>
      <c r="C165" s="2"/>
      <c r="D165" s="3"/>
      <c r="E165" s="3"/>
      <c r="F165" s="3"/>
      <c r="G165" s="3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2"/>
      <c r="Y165" s="2"/>
      <c r="Z165" s="2"/>
      <c r="AA165" s="2"/>
      <c r="AB165" s="2"/>
      <c r="AC165" s="2"/>
    </row>
    <row r="166" ht="12.75" customHeight="1">
      <c r="A166" s="2"/>
      <c r="B166" s="2"/>
      <c r="C166" s="2"/>
      <c r="D166" s="3"/>
      <c r="E166" s="3"/>
      <c r="F166" s="3"/>
      <c r="G166" s="3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2"/>
      <c r="Y166" s="2"/>
      <c r="Z166" s="2"/>
      <c r="AA166" s="2"/>
      <c r="AB166" s="2"/>
      <c r="AC166" s="2"/>
    </row>
    <row r="167" ht="12.75" customHeight="1">
      <c r="A167" s="2"/>
      <c r="B167" s="2"/>
      <c r="C167" s="2"/>
      <c r="D167" s="3"/>
      <c r="E167" s="3"/>
      <c r="F167" s="3"/>
      <c r="G167" s="3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2"/>
      <c r="Y167" s="2"/>
      <c r="Z167" s="2"/>
      <c r="AA167" s="2"/>
      <c r="AB167" s="2"/>
      <c r="AC167" s="2"/>
    </row>
    <row r="168" ht="12.75" customHeight="1">
      <c r="A168" s="2"/>
      <c r="B168" s="2"/>
      <c r="C168" s="2"/>
      <c r="D168" s="3"/>
      <c r="E168" s="3"/>
      <c r="F168" s="3"/>
      <c r="G168" s="3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2"/>
      <c r="Y168" s="2"/>
      <c r="Z168" s="2"/>
      <c r="AA168" s="2"/>
      <c r="AB168" s="2"/>
      <c r="AC168" s="2"/>
    </row>
    <row r="169" ht="12.75" customHeight="1">
      <c r="A169" s="2"/>
      <c r="B169" s="2"/>
      <c r="C169" s="2"/>
      <c r="D169" s="3"/>
      <c r="E169" s="3"/>
      <c r="F169" s="3"/>
      <c r="G169" s="3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2"/>
      <c r="Y169" s="2"/>
      <c r="Z169" s="2"/>
      <c r="AA169" s="2"/>
      <c r="AB169" s="2"/>
      <c r="AC169" s="2"/>
    </row>
    <row r="170" ht="12.75" customHeight="1">
      <c r="A170" s="2"/>
      <c r="B170" s="2"/>
      <c r="C170" s="2"/>
      <c r="D170" s="3"/>
      <c r="E170" s="3"/>
      <c r="F170" s="3"/>
      <c r="G170" s="3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2"/>
      <c r="Y170" s="2"/>
      <c r="Z170" s="2"/>
      <c r="AA170" s="2"/>
      <c r="AB170" s="2"/>
      <c r="AC170" s="2"/>
    </row>
    <row r="171" ht="12.75" customHeight="1">
      <c r="A171" s="2"/>
      <c r="B171" s="2"/>
      <c r="C171" s="2"/>
      <c r="D171" s="3"/>
      <c r="E171" s="3"/>
      <c r="F171" s="3"/>
      <c r="G171" s="3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2"/>
      <c r="Y171" s="2"/>
      <c r="Z171" s="2"/>
      <c r="AA171" s="2"/>
      <c r="AB171" s="2"/>
      <c r="AC171" s="2"/>
    </row>
    <row r="172" ht="12.75" customHeight="1">
      <c r="A172" s="2"/>
      <c r="B172" s="2"/>
      <c r="C172" s="2"/>
      <c r="D172" s="3"/>
      <c r="E172" s="3"/>
      <c r="F172" s="3"/>
      <c r="G172" s="3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"/>
      <c r="Y172" s="2"/>
      <c r="Z172" s="2"/>
      <c r="AA172" s="2"/>
      <c r="AB172" s="2"/>
      <c r="AC172" s="2"/>
    </row>
    <row r="173" ht="12.75" customHeight="1">
      <c r="A173" s="2"/>
      <c r="B173" s="2"/>
      <c r="C173" s="2"/>
      <c r="D173" s="3"/>
      <c r="E173" s="3"/>
      <c r="F173" s="3"/>
      <c r="G173" s="3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"/>
      <c r="Y173" s="2"/>
      <c r="Z173" s="2"/>
      <c r="AA173" s="2"/>
      <c r="AB173" s="2"/>
      <c r="AC173" s="2"/>
    </row>
    <row r="174" ht="12.75" customHeight="1">
      <c r="A174" s="2"/>
      <c r="B174" s="2"/>
      <c r="C174" s="2"/>
      <c r="D174" s="3"/>
      <c r="E174" s="3"/>
      <c r="F174" s="3"/>
      <c r="G174" s="3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"/>
      <c r="Y174" s="2"/>
      <c r="Z174" s="2"/>
      <c r="AA174" s="2"/>
      <c r="AB174" s="2"/>
      <c r="AC174" s="2"/>
    </row>
    <row r="175" ht="12.75" customHeight="1">
      <c r="A175" s="2"/>
      <c r="B175" s="2"/>
      <c r="C175" s="2"/>
      <c r="D175" s="3"/>
      <c r="E175" s="3"/>
      <c r="F175" s="3"/>
      <c r="G175" s="3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"/>
      <c r="Y175" s="2"/>
      <c r="Z175" s="2"/>
      <c r="AA175" s="2"/>
      <c r="AB175" s="2"/>
      <c r="AC175" s="2"/>
    </row>
    <row r="176" ht="12.75" customHeight="1">
      <c r="A176" s="2"/>
      <c r="B176" s="2"/>
      <c r="C176" s="2"/>
      <c r="D176" s="3"/>
      <c r="E176" s="3"/>
      <c r="F176" s="3"/>
      <c r="G176" s="3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"/>
      <c r="Y176" s="2"/>
      <c r="Z176" s="2"/>
      <c r="AA176" s="2"/>
      <c r="AB176" s="2"/>
      <c r="AC176" s="2"/>
    </row>
    <row r="177" ht="12.75" customHeight="1">
      <c r="A177" s="2"/>
      <c r="B177" s="2"/>
      <c r="C177" s="2"/>
      <c r="D177" s="3"/>
      <c r="E177" s="3"/>
      <c r="F177" s="3"/>
      <c r="G177" s="3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"/>
      <c r="Y177" s="2"/>
      <c r="Z177" s="2"/>
      <c r="AA177" s="2"/>
      <c r="AB177" s="2"/>
      <c r="AC177" s="2"/>
    </row>
    <row r="178" ht="12.75" customHeight="1">
      <c r="A178" s="2"/>
      <c r="B178" s="2"/>
      <c r="C178" s="2"/>
      <c r="D178" s="3"/>
      <c r="E178" s="3"/>
      <c r="F178" s="3"/>
      <c r="G178" s="3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2"/>
      <c r="Y178" s="2"/>
      <c r="Z178" s="2"/>
      <c r="AA178" s="2"/>
      <c r="AB178" s="2"/>
      <c r="AC178" s="2"/>
    </row>
    <row r="179" ht="12.75" customHeight="1">
      <c r="A179" s="2"/>
      <c r="B179" s="2"/>
      <c r="C179" s="2"/>
      <c r="D179" s="3"/>
      <c r="E179" s="3"/>
      <c r="F179" s="3"/>
      <c r="G179" s="3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2"/>
      <c r="Y179" s="2"/>
      <c r="Z179" s="2"/>
      <c r="AA179" s="2"/>
      <c r="AB179" s="2"/>
      <c r="AC179" s="2"/>
    </row>
    <row r="180" ht="12.75" customHeight="1">
      <c r="A180" s="2"/>
      <c r="B180" s="2"/>
      <c r="C180" s="2"/>
      <c r="D180" s="3"/>
      <c r="E180" s="3"/>
      <c r="F180" s="3"/>
      <c r="G180" s="3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2"/>
      <c r="Y180" s="2"/>
      <c r="Z180" s="2"/>
      <c r="AA180" s="2"/>
      <c r="AB180" s="2"/>
      <c r="AC180" s="2"/>
    </row>
    <row r="181" ht="12.75" customHeight="1">
      <c r="A181" s="2"/>
      <c r="B181" s="2"/>
      <c r="C181" s="2"/>
      <c r="D181" s="3"/>
      <c r="E181" s="3"/>
      <c r="F181" s="3"/>
      <c r="G181" s="3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2"/>
      <c r="Y181" s="2"/>
      <c r="Z181" s="2"/>
      <c r="AA181" s="2"/>
      <c r="AB181" s="2"/>
      <c r="AC181" s="2"/>
    </row>
    <row r="182" ht="12.75" customHeight="1">
      <c r="A182" s="2"/>
      <c r="B182" s="2"/>
      <c r="C182" s="2"/>
      <c r="D182" s="3"/>
      <c r="E182" s="3"/>
      <c r="F182" s="3"/>
      <c r="G182" s="3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2"/>
      <c r="Y182" s="2"/>
      <c r="Z182" s="2"/>
      <c r="AA182" s="2"/>
      <c r="AB182" s="2"/>
      <c r="AC182" s="2"/>
    </row>
    <row r="183" ht="12.75" customHeight="1">
      <c r="A183" s="2"/>
      <c r="B183" s="2"/>
      <c r="C183" s="2"/>
      <c r="D183" s="3"/>
      <c r="E183" s="3"/>
      <c r="F183" s="3"/>
      <c r="G183" s="3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2"/>
      <c r="Y183" s="2"/>
      <c r="Z183" s="2"/>
      <c r="AA183" s="2"/>
      <c r="AB183" s="2"/>
      <c r="AC183" s="2"/>
    </row>
    <row r="184" ht="12.75" customHeight="1">
      <c r="A184" s="2"/>
      <c r="B184" s="2"/>
      <c r="C184" s="2"/>
      <c r="D184" s="3"/>
      <c r="E184" s="3"/>
      <c r="F184" s="3"/>
      <c r="G184" s="3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2"/>
      <c r="Y184" s="2"/>
      <c r="Z184" s="2"/>
      <c r="AA184" s="2"/>
      <c r="AB184" s="2"/>
      <c r="AC184" s="2"/>
    </row>
    <row r="185" ht="12.75" customHeight="1">
      <c r="A185" s="2"/>
      <c r="B185" s="2"/>
      <c r="C185" s="2"/>
      <c r="D185" s="3"/>
      <c r="E185" s="3"/>
      <c r="F185" s="3"/>
      <c r="G185" s="3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2"/>
      <c r="Y185" s="2"/>
      <c r="Z185" s="2"/>
      <c r="AA185" s="2"/>
      <c r="AB185" s="2"/>
      <c r="AC185" s="2"/>
    </row>
    <row r="186" ht="12.75" customHeight="1">
      <c r="A186" s="2"/>
      <c r="B186" s="2"/>
      <c r="C186" s="2"/>
      <c r="D186" s="3"/>
      <c r="E186" s="3"/>
      <c r="F186" s="3"/>
      <c r="G186" s="3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2"/>
      <c r="Y186" s="2"/>
      <c r="Z186" s="2"/>
      <c r="AA186" s="2"/>
      <c r="AB186" s="2"/>
      <c r="AC186" s="2"/>
    </row>
    <row r="187" ht="12.75" customHeight="1">
      <c r="A187" s="2"/>
      <c r="B187" s="2"/>
      <c r="C187" s="2"/>
      <c r="D187" s="3"/>
      <c r="E187" s="3"/>
      <c r="F187" s="3"/>
      <c r="G187" s="3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2"/>
      <c r="Y187" s="2"/>
      <c r="Z187" s="2"/>
      <c r="AA187" s="2"/>
      <c r="AB187" s="2"/>
      <c r="AC187" s="2"/>
    </row>
    <row r="188" ht="12.75" customHeight="1">
      <c r="A188" s="2"/>
      <c r="B188" s="2"/>
      <c r="C188" s="2"/>
      <c r="D188" s="3"/>
      <c r="E188" s="3"/>
      <c r="F188" s="3"/>
      <c r="G188" s="3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2"/>
      <c r="Y188" s="2"/>
      <c r="Z188" s="2"/>
      <c r="AA188" s="2"/>
      <c r="AB188" s="2"/>
      <c r="AC188" s="2"/>
    </row>
    <row r="189" ht="12.75" customHeight="1">
      <c r="A189" s="2"/>
      <c r="B189" s="2"/>
      <c r="C189" s="2"/>
      <c r="D189" s="3"/>
      <c r="E189" s="3"/>
      <c r="F189" s="3"/>
      <c r="G189" s="3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2"/>
      <c r="Y189" s="2"/>
      <c r="Z189" s="2"/>
      <c r="AA189" s="2"/>
      <c r="AB189" s="2"/>
      <c r="AC189" s="2"/>
    </row>
    <row r="190" ht="12.75" customHeight="1">
      <c r="A190" s="2"/>
      <c r="B190" s="2"/>
      <c r="C190" s="2"/>
      <c r="D190" s="3"/>
      <c r="E190" s="3"/>
      <c r="F190" s="3"/>
      <c r="G190" s="3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2"/>
      <c r="Y190" s="2"/>
      <c r="Z190" s="2"/>
      <c r="AA190" s="2"/>
      <c r="AB190" s="2"/>
      <c r="AC190" s="2"/>
    </row>
    <row r="191" ht="12.75" customHeight="1">
      <c r="A191" s="2"/>
      <c r="B191" s="2"/>
      <c r="C191" s="2"/>
      <c r="D191" s="3"/>
      <c r="E191" s="3"/>
      <c r="F191" s="3"/>
      <c r="G191" s="3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2"/>
      <c r="Y191" s="2"/>
      <c r="Z191" s="2"/>
      <c r="AA191" s="2"/>
      <c r="AB191" s="2"/>
      <c r="AC191" s="2"/>
    </row>
    <row r="192" ht="12.75" customHeight="1">
      <c r="A192" s="2"/>
      <c r="B192" s="2"/>
      <c r="C192" s="2"/>
      <c r="D192" s="3"/>
      <c r="E192" s="3"/>
      <c r="F192" s="3"/>
      <c r="G192" s="3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2"/>
      <c r="Y192" s="2"/>
      <c r="Z192" s="2"/>
      <c r="AA192" s="2"/>
      <c r="AB192" s="2"/>
      <c r="AC192" s="2"/>
    </row>
    <row r="193" ht="12.75" customHeight="1">
      <c r="A193" s="2"/>
      <c r="B193" s="2"/>
      <c r="C193" s="2"/>
      <c r="D193" s="3"/>
      <c r="E193" s="3"/>
      <c r="F193" s="3"/>
      <c r="G193" s="3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2"/>
      <c r="Y193" s="2"/>
      <c r="Z193" s="2"/>
      <c r="AA193" s="2"/>
      <c r="AB193" s="2"/>
      <c r="AC193" s="2"/>
    </row>
    <row r="194" ht="12.75" customHeight="1">
      <c r="A194" s="2"/>
      <c r="B194" s="2"/>
      <c r="C194" s="2"/>
      <c r="D194" s="3"/>
      <c r="E194" s="3"/>
      <c r="F194" s="3"/>
      <c r="G194" s="3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2"/>
      <c r="Y194" s="2"/>
      <c r="Z194" s="2"/>
      <c r="AA194" s="2"/>
      <c r="AB194" s="2"/>
      <c r="AC194" s="2"/>
    </row>
    <row r="195" ht="12.75" customHeight="1">
      <c r="A195" s="2"/>
      <c r="B195" s="2"/>
      <c r="C195" s="2"/>
      <c r="D195" s="3"/>
      <c r="E195" s="3"/>
      <c r="F195" s="3"/>
      <c r="G195" s="3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2"/>
      <c r="Y195" s="2"/>
      <c r="Z195" s="2"/>
      <c r="AA195" s="2"/>
      <c r="AB195" s="2"/>
      <c r="AC195" s="2"/>
    </row>
    <row r="196" ht="12.75" customHeight="1">
      <c r="A196" s="2"/>
      <c r="B196" s="2"/>
      <c r="C196" s="2"/>
      <c r="D196" s="3"/>
      <c r="E196" s="3"/>
      <c r="F196" s="3"/>
      <c r="G196" s="3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2"/>
      <c r="Y196" s="2"/>
      <c r="Z196" s="2"/>
      <c r="AA196" s="2"/>
      <c r="AB196" s="2"/>
      <c r="AC196" s="2"/>
    </row>
    <row r="197" ht="12.75" customHeight="1">
      <c r="A197" s="2"/>
      <c r="B197" s="2"/>
      <c r="C197" s="2"/>
      <c r="D197" s="3"/>
      <c r="E197" s="3"/>
      <c r="F197" s="3"/>
      <c r="G197" s="3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2"/>
      <c r="Y197" s="2"/>
      <c r="Z197" s="2"/>
      <c r="AA197" s="2"/>
      <c r="AB197" s="2"/>
      <c r="AC197" s="2"/>
    </row>
    <row r="198" ht="12.75" customHeight="1">
      <c r="A198" s="2"/>
      <c r="B198" s="2"/>
      <c r="C198" s="2"/>
      <c r="D198" s="3"/>
      <c r="E198" s="3"/>
      <c r="F198" s="3"/>
      <c r="G198" s="3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2"/>
      <c r="Y198" s="2"/>
      <c r="Z198" s="2"/>
      <c r="AA198" s="2"/>
      <c r="AB198" s="2"/>
      <c r="AC198" s="2"/>
    </row>
    <row r="199" ht="12.75" customHeight="1">
      <c r="A199" s="2"/>
      <c r="B199" s="2"/>
      <c r="C199" s="2"/>
      <c r="D199" s="3"/>
      <c r="E199" s="3"/>
      <c r="F199" s="3"/>
      <c r="G199" s="3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2"/>
      <c r="Y199" s="2"/>
      <c r="Z199" s="2"/>
      <c r="AA199" s="2"/>
      <c r="AB199" s="2"/>
      <c r="AC199" s="2"/>
    </row>
    <row r="200" ht="12.75" customHeight="1">
      <c r="A200" s="2"/>
      <c r="B200" s="2"/>
      <c r="C200" s="2"/>
      <c r="D200" s="3"/>
      <c r="E200" s="3"/>
      <c r="F200" s="3"/>
      <c r="G200" s="3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2"/>
      <c r="Y200" s="2"/>
      <c r="Z200" s="2"/>
      <c r="AA200" s="2"/>
      <c r="AB200" s="2"/>
      <c r="AC200" s="2"/>
    </row>
    <row r="201" ht="12.75" customHeight="1">
      <c r="A201" s="2"/>
      <c r="B201" s="2"/>
      <c r="C201" s="2"/>
      <c r="D201" s="3"/>
      <c r="E201" s="3"/>
      <c r="F201" s="3"/>
      <c r="G201" s="3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2"/>
      <c r="Y201" s="2"/>
      <c r="Z201" s="2"/>
      <c r="AA201" s="2"/>
      <c r="AB201" s="2"/>
      <c r="AC201" s="2"/>
    </row>
    <row r="202" ht="12.75" customHeight="1">
      <c r="A202" s="2"/>
      <c r="B202" s="2"/>
      <c r="C202" s="2"/>
      <c r="D202" s="3"/>
      <c r="E202" s="3"/>
      <c r="F202" s="3"/>
      <c r="G202" s="3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2"/>
      <c r="Y202" s="2"/>
      <c r="Z202" s="2"/>
      <c r="AA202" s="2"/>
      <c r="AB202" s="2"/>
      <c r="AC202" s="2"/>
    </row>
    <row r="203" ht="12.75" customHeight="1">
      <c r="A203" s="2"/>
      <c r="B203" s="2"/>
      <c r="C203" s="2"/>
      <c r="D203" s="3"/>
      <c r="E203" s="3"/>
      <c r="F203" s="3"/>
      <c r="G203" s="3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2"/>
      <c r="Y203" s="2"/>
      <c r="Z203" s="2"/>
      <c r="AA203" s="2"/>
      <c r="AB203" s="2"/>
      <c r="AC203" s="2"/>
    </row>
    <row r="204" ht="12.75" customHeight="1">
      <c r="A204" s="2"/>
      <c r="B204" s="2"/>
      <c r="C204" s="2"/>
      <c r="D204" s="3"/>
      <c r="E204" s="3"/>
      <c r="F204" s="3"/>
      <c r="G204" s="3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2"/>
      <c r="Y204" s="2"/>
      <c r="Z204" s="2"/>
      <c r="AA204" s="2"/>
      <c r="AB204" s="2"/>
      <c r="AC204" s="2"/>
    </row>
    <row r="205" ht="12.75" customHeight="1">
      <c r="A205" s="2"/>
      <c r="B205" s="2"/>
      <c r="C205" s="2"/>
      <c r="D205" s="3"/>
      <c r="E205" s="3"/>
      <c r="F205" s="3"/>
      <c r="G205" s="3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2"/>
      <c r="Y205" s="2"/>
      <c r="Z205" s="2"/>
      <c r="AA205" s="2"/>
      <c r="AB205" s="2"/>
      <c r="AC205" s="2"/>
    </row>
    <row r="206" ht="12.75" customHeight="1">
      <c r="A206" s="2"/>
      <c r="B206" s="2"/>
      <c r="C206" s="2"/>
      <c r="D206" s="3"/>
      <c r="E206" s="3"/>
      <c r="F206" s="3"/>
      <c r="G206" s="3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2"/>
      <c r="Y206" s="2"/>
      <c r="Z206" s="2"/>
      <c r="AA206" s="2"/>
      <c r="AB206" s="2"/>
      <c r="AC206" s="2"/>
    </row>
    <row r="207" ht="12.75" customHeight="1">
      <c r="A207" s="2"/>
      <c r="B207" s="2"/>
      <c r="C207" s="2"/>
      <c r="D207" s="3"/>
      <c r="E207" s="3"/>
      <c r="F207" s="3"/>
      <c r="G207" s="3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2"/>
      <c r="Y207" s="2"/>
      <c r="Z207" s="2"/>
      <c r="AA207" s="2"/>
      <c r="AB207" s="2"/>
      <c r="AC207" s="2"/>
    </row>
    <row r="208" ht="12.75" customHeight="1">
      <c r="A208" s="2"/>
      <c r="B208" s="2"/>
      <c r="C208" s="2"/>
      <c r="D208" s="3"/>
      <c r="E208" s="3"/>
      <c r="F208" s="3"/>
      <c r="G208" s="3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2"/>
      <c r="Y208" s="2"/>
      <c r="Z208" s="2"/>
      <c r="AA208" s="2"/>
      <c r="AB208" s="2"/>
      <c r="AC208" s="2"/>
    </row>
    <row r="209" ht="12.75" customHeight="1">
      <c r="A209" s="2"/>
      <c r="B209" s="2"/>
      <c r="C209" s="2"/>
      <c r="D209" s="3"/>
      <c r="E209" s="3"/>
      <c r="F209" s="3"/>
      <c r="G209" s="3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2"/>
      <c r="Y209" s="2"/>
      <c r="Z209" s="2"/>
      <c r="AA209" s="2"/>
      <c r="AB209" s="2"/>
      <c r="AC209" s="2"/>
    </row>
    <row r="210" ht="12.75" customHeight="1">
      <c r="A210" s="2"/>
      <c r="B210" s="2"/>
      <c r="C210" s="2"/>
      <c r="D210" s="3"/>
      <c r="E210" s="3"/>
      <c r="F210" s="3"/>
      <c r="G210" s="3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2"/>
      <c r="Y210" s="2"/>
      <c r="Z210" s="2"/>
      <c r="AA210" s="2"/>
      <c r="AB210" s="2"/>
      <c r="AC210" s="2"/>
    </row>
    <row r="211" ht="12.75" customHeight="1">
      <c r="A211" s="2"/>
      <c r="B211" s="2"/>
      <c r="C211" s="2"/>
      <c r="D211" s="3"/>
      <c r="E211" s="3"/>
      <c r="F211" s="3"/>
      <c r="G211" s="3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2"/>
      <c r="Y211" s="2"/>
      <c r="Z211" s="2"/>
      <c r="AA211" s="2"/>
      <c r="AB211" s="2"/>
      <c r="AC211" s="2"/>
    </row>
    <row r="212" ht="12.75" customHeight="1">
      <c r="A212" s="2"/>
      <c r="B212" s="2"/>
      <c r="C212" s="2"/>
      <c r="D212" s="3"/>
      <c r="E212" s="3"/>
      <c r="F212" s="3"/>
      <c r="G212" s="3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2"/>
      <c r="Y212" s="2"/>
      <c r="Z212" s="2"/>
      <c r="AA212" s="2"/>
      <c r="AB212" s="2"/>
      <c r="AC212" s="2"/>
    </row>
    <row r="213" ht="12.75" customHeight="1">
      <c r="A213" s="2"/>
      <c r="B213" s="2"/>
      <c r="C213" s="2"/>
      <c r="D213" s="3"/>
      <c r="E213" s="3"/>
      <c r="F213" s="3"/>
      <c r="G213" s="3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2"/>
      <c r="Y213" s="2"/>
      <c r="Z213" s="2"/>
      <c r="AA213" s="2"/>
      <c r="AB213" s="2"/>
      <c r="AC213" s="2"/>
    </row>
    <row r="214" ht="12.75" customHeight="1">
      <c r="A214" s="2"/>
      <c r="B214" s="2"/>
      <c r="C214" s="2"/>
      <c r="D214" s="3"/>
      <c r="E214" s="3"/>
      <c r="F214" s="3"/>
      <c r="G214" s="3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2"/>
      <c r="Y214" s="2"/>
      <c r="Z214" s="2"/>
      <c r="AA214" s="2"/>
      <c r="AB214" s="2"/>
      <c r="AC214" s="2"/>
    </row>
    <row r="215" ht="12.75" customHeight="1">
      <c r="A215" s="2"/>
      <c r="B215" s="2"/>
      <c r="C215" s="2"/>
      <c r="D215" s="3"/>
      <c r="E215" s="3"/>
      <c r="F215" s="3"/>
      <c r="G215" s="3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2"/>
      <c r="Y215" s="2"/>
      <c r="Z215" s="2"/>
      <c r="AA215" s="2"/>
      <c r="AB215" s="2"/>
      <c r="AC215" s="2"/>
    </row>
    <row r="216" ht="12.75" customHeight="1">
      <c r="A216" s="2"/>
      <c r="B216" s="2"/>
      <c r="C216" s="2"/>
      <c r="D216" s="3"/>
      <c r="E216" s="3"/>
      <c r="F216" s="3"/>
      <c r="G216" s="3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2"/>
      <c r="Y216" s="2"/>
      <c r="Z216" s="2"/>
      <c r="AA216" s="2"/>
      <c r="AB216" s="2"/>
      <c r="AC216" s="2"/>
    </row>
    <row r="217" ht="12.75" customHeight="1">
      <c r="A217" s="2"/>
      <c r="B217" s="2"/>
      <c r="C217" s="2"/>
      <c r="D217" s="3"/>
      <c r="E217" s="3"/>
      <c r="F217" s="3"/>
      <c r="G217" s="3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"/>
      <c r="Y217" s="2"/>
      <c r="Z217" s="2"/>
      <c r="AA217" s="2"/>
      <c r="AB217" s="2"/>
      <c r="AC217" s="2"/>
    </row>
    <row r="218" ht="12.75" customHeight="1">
      <c r="A218" s="2"/>
      <c r="B218" s="2"/>
      <c r="C218" s="2"/>
      <c r="D218" s="3"/>
      <c r="E218" s="3"/>
      <c r="F218" s="3"/>
      <c r="G218" s="3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2"/>
      <c r="Y218" s="2"/>
      <c r="Z218" s="2"/>
      <c r="AA218" s="2"/>
      <c r="AB218" s="2"/>
      <c r="AC218" s="2"/>
    </row>
    <row r="219" ht="12.75" customHeight="1">
      <c r="A219" s="2"/>
      <c r="B219" s="2"/>
      <c r="C219" s="2"/>
      <c r="D219" s="3"/>
      <c r="E219" s="3"/>
      <c r="F219" s="3"/>
      <c r="G219" s="3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2"/>
      <c r="Y219" s="2"/>
      <c r="Z219" s="2"/>
      <c r="AA219" s="2"/>
      <c r="AB219" s="2"/>
      <c r="AC219" s="2"/>
    </row>
    <row r="220" ht="12.75" customHeight="1">
      <c r="A220" s="2"/>
      <c r="B220" s="2"/>
      <c r="C220" s="2"/>
      <c r="D220" s="3"/>
      <c r="E220" s="3"/>
      <c r="F220" s="3"/>
      <c r="G220" s="3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2"/>
      <c r="Y220" s="2"/>
      <c r="Z220" s="2"/>
      <c r="AA220" s="2"/>
      <c r="AB220" s="2"/>
      <c r="AC220" s="2"/>
    </row>
    <row r="221" ht="12.75" customHeight="1">
      <c r="A221" s="2"/>
      <c r="B221" s="2"/>
      <c r="C221" s="2"/>
      <c r="D221" s="3"/>
      <c r="E221" s="3"/>
      <c r="F221" s="3"/>
      <c r="G221" s="3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2"/>
      <c r="Y221" s="2"/>
      <c r="Z221" s="2"/>
      <c r="AA221" s="2"/>
      <c r="AB221" s="2"/>
      <c r="AC221" s="2"/>
    </row>
    <row r="222" ht="12.75" customHeight="1">
      <c r="A222" s="2"/>
      <c r="B222" s="2"/>
      <c r="C222" s="2"/>
      <c r="D222" s="3"/>
      <c r="E222" s="3"/>
      <c r="F222" s="3"/>
      <c r="G222" s="3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2"/>
      <c r="Y222" s="2"/>
      <c r="Z222" s="2"/>
      <c r="AA222" s="2"/>
      <c r="AB222" s="2"/>
      <c r="AC222" s="2"/>
    </row>
    <row r="223" ht="12.75" customHeight="1">
      <c r="A223" s="2"/>
      <c r="B223" s="2"/>
      <c r="C223" s="2"/>
      <c r="D223" s="3"/>
      <c r="E223" s="3"/>
      <c r="F223" s="3"/>
      <c r="G223" s="3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2"/>
      <c r="Y223" s="2"/>
      <c r="Z223" s="2"/>
      <c r="AA223" s="2"/>
      <c r="AB223" s="2"/>
      <c r="AC223" s="2"/>
    </row>
    <row r="224" ht="12.75" customHeight="1">
      <c r="A224" s="2"/>
      <c r="B224" s="2"/>
      <c r="C224" s="2"/>
      <c r="D224" s="3"/>
      <c r="E224" s="3"/>
      <c r="F224" s="3"/>
      <c r="G224" s="3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2"/>
      <c r="Y224" s="2"/>
      <c r="Z224" s="2"/>
      <c r="AA224" s="2"/>
      <c r="AB224" s="2"/>
      <c r="AC224" s="2"/>
    </row>
    <row r="225" ht="12.75" customHeight="1">
      <c r="A225" s="2"/>
      <c r="B225" s="2"/>
      <c r="C225" s="2"/>
      <c r="D225" s="3"/>
      <c r="E225" s="3"/>
      <c r="F225" s="3"/>
      <c r="G225" s="3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2"/>
      <c r="Y225" s="2"/>
      <c r="Z225" s="2"/>
      <c r="AA225" s="2"/>
      <c r="AB225" s="2"/>
      <c r="AC225" s="2"/>
    </row>
    <row r="226" ht="12.75" customHeight="1">
      <c r="A226" s="2"/>
      <c r="B226" s="2"/>
      <c r="C226" s="2"/>
      <c r="D226" s="3"/>
      <c r="E226" s="3"/>
      <c r="F226" s="3"/>
      <c r="G226" s="3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2"/>
      <c r="Y226" s="2"/>
      <c r="Z226" s="2"/>
      <c r="AA226" s="2"/>
      <c r="AB226" s="2"/>
      <c r="AC226" s="2"/>
    </row>
    <row r="227" ht="12.75" customHeight="1">
      <c r="A227" s="2"/>
      <c r="B227" s="2"/>
      <c r="C227" s="2"/>
      <c r="D227" s="3"/>
      <c r="E227" s="3"/>
      <c r="F227" s="3"/>
      <c r="G227" s="3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2"/>
      <c r="Y227" s="2"/>
      <c r="Z227" s="2"/>
      <c r="AA227" s="2"/>
      <c r="AB227" s="2"/>
      <c r="AC227" s="2"/>
    </row>
    <row r="228" ht="12.75" customHeight="1">
      <c r="A228" s="2"/>
      <c r="B228" s="2"/>
      <c r="C228" s="2"/>
      <c r="D228" s="3"/>
      <c r="E228" s="3"/>
      <c r="F228" s="3"/>
      <c r="G228" s="3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2"/>
      <c r="Y228" s="2"/>
      <c r="Z228" s="2"/>
      <c r="AA228" s="2"/>
      <c r="AB228" s="2"/>
      <c r="AC228" s="2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</sheetData>
  <printOptions/>
  <pageMargins bottom="0.75" footer="0.0" header="0.0" left="0.7" right="0.7" top="0.75"/>
  <pageSetup paperSize="9" scale="61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0"/>
    <col customWidth="1" min="3" max="3" width="27.86"/>
    <col customWidth="1" min="4" max="4" width="10.86"/>
    <col customWidth="1" min="5" max="5" width="8.71"/>
    <col customWidth="1" min="6" max="6" width="4.43"/>
    <col customWidth="1" min="7" max="7" width="8.71"/>
    <col customWidth="1" min="8" max="8" width="3.43"/>
    <col customWidth="1" min="9" max="9" width="8.0"/>
    <col customWidth="1" min="10" max="20" width="7.86"/>
    <col customWidth="1" min="21" max="21" width="8.71"/>
    <col customWidth="1" min="22" max="22" width="9.57"/>
    <col customWidth="1" min="23" max="23" width="10.0"/>
    <col customWidth="1" min="24" max="29" width="9.0"/>
  </cols>
  <sheetData>
    <row r="1" ht="12.75" customHeight="1">
      <c r="A1" s="1" t="s">
        <v>0</v>
      </c>
      <c r="B1" s="2"/>
      <c r="C1" s="2"/>
      <c r="D1" s="3"/>
      <c r="E1" s="3"/>
      <c r="F1" s="3"/>
      <c r="G1" s="3"/>
      <c r="H1" s="4"/>
      <c r="I1" s="1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2"/>
      <c r="Y1" s="6"/>
      <c r="Z1" s="2"/>
      <c r="AA1" s="6"/>
      <c r="AB1" s="2"/>
      <c r="AC1" s="6"/>
    </row>
    <row r="2" ht="12.75" customHeight="1">
      <c r="A2" s="1"/>
      <c r="B2" s="2"/>
      <c r="C2" s="2"/>
      <c r="D2" s="3"/>
      <c r="E2" s="3"/>
      <c r="F2" s="3"/>
      <c r="G2" s="3"/>
      <c r="H2" s="4"/>
      <c r="I2" s="1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2"/>
      <c r="Y2" s="6"/>
      <c r="Z2" s="2"/>
      <c r="AA2" s="6"/>
      <c r="AB2" s="2"/>
      <c r="AC2" s="6"/>
    </row>
    <row r="3" ht="12.75" customHeight="1">
      <c r="A3" s="7" t="s">
        <v>28</v>
      </c>
      <c r="B3" s="2"/>
      <c r="C3" s="2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2"/>
      <c r="Y3" s="6"/>
      <c r="Z3" s="2"/>
      <c r="AA3" s="6"/>
      <c r="AB3" s="2"/>
      <c r="AC3" s="6"/>
    </row>
    <row r="4" ht="12.75" customHeight="1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20</v>
      </c>
      <c r="G4" s="9" t="s">
        <v>8</v>
      </c>
      <c r="H4" s="10" t="s">
        <v>9</v>
      </c>
      <c r="I4" s="11">
        <v>43190.0</v>
      </c>
      <c r="J4" s="11">
        <v>43220.0</v>
      </c>
      <c r="K4" s="11">
        <v>43251.0</v>
      </c>
      <c r="L4" s="11">
        <v>43281.0</v>
      </c>
      <c r="M4" s="11">
        <v>43312.0</v>
      </c>
      <c r="N4" s="11">
        <v>43343.0</v>
      </c>
      <c r="O4" s="11">
        <v>43373.0</v>
      </c>
      <c r="P4" s="11">
        <v>43404.0</v>
      </c>
      <c r="Q4" s="11">
        <v>43434.0</v>
      </c>
      <c r="R4" s="11">
        <v>43465.0</v>
      </c>
      <c r="S4" s="11">
        <v>43496.0</v>
      </c>
      <c r="T4" s="11">
        <v>43524.0</v>
      </c>
      <c r="U4" s="26" t="s">
        <v>10</v>
      </c>
      <c r="V4" s="11" t="s">
        <v>11</v>
      </c>
      <c r="W4" s="11" t="s">
        <v>29</v>
      </c>
      <c r="X4" s="2"/>
      <c r="Y4" s="6"/>
      <c r="Z4" s="2"/>
      <c r="AA4" s="6"/>
      <c r="AB4" s="2"/>
      <c r="AC4" s="6"/>
    </row>
    <row r="5" ht="12.75" customHeight="1">
      <c r="A5" s="12"/>
      <c r="B5" s="12"/>
      <c r="C5" s="2"/>
      <c r="D5" s="3"/>
      <c r="E5" s="3"/>
      <c r="F5" s="3"/>
      <c r="G5" s="3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2"/>
      <c r="Y5" s="6"/>
      <c r="Z5" s="2"/>
      <c r="AA5" s="6"/>
      <c r="AB5" s="2"/>
      <c r="AC5" s="6"/>
    </row>
    <row r="6" ht="12.75" customHeight="1">
      <c r="A6" s="13" t="s">
        <v>13</v>
      </c>
      <c r="B6" s="2"/>
      <c r="C6" s="2"/>
      <c r="D6" s="3"/>
      <c r="E6" s="14"/>
      <c r="F6" s="3"/>
      <c r="G6" s="3"/>
      <c r="H6" s="4"/>
      <c r="I6" s="13" t="str">
        <f>+A6</f>
        <v>6100&gt;020 (Computer Equipment&gt;Cost)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"/>
      <c r="Y6" s="6"/>
      <c r="Z6" s="2"/>
      <c r="AA6" s="6"/>
      <c r="AB6" s="2"/>
      <c r="AC6" s="6"/>
    </row>
    <row r="7" ht="12.75" customHeight="1">
      <c r="A7" s="8"/>
      <c r="B7" s="2"/>
      <c r="C7" s="2"/>
      <c r="D7" s="3"/>
      <c r="E7" s="14"/>
      <c r="F7" s="3"/>
      <c r="G7" s="3"/>
      <c r="H7" s="4">
        <v>3.0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2"/>
      <c r="Y7" s="6"/>
      <c r="Z7" s="2"/>
      <c r="AA7" s="6"/>
      <c r="AB7" s="2"/>
      <c r="AC7" s="6"/>
    </row>
    <row r="8" ht="12.75" customHeight="1">
      <c r="A8" s="15">
        <v>42825.0</v>
      </c>
      <c r="B8" s="16">
        <v>18431.0</v>
      </c>
      <c r="C8" s="7" t="s">
        <v>14</v>
      </c>
      <c r="D8" s="17">
        <v>16077.6</v>
      </c>
      <c r="E8" s="17"/>
      <c r="F8" s="3"/>
      <c r="G8" s="3">
        <f t="shared" ref="G8:G11" si="2">+D8+E8-F8</f>
        <v>16077.6</v>
      </c>
      <c r="H8" s="4"/>
      <c r="I8" s="3">
        <f t="shared" ref="I8:T8" si="1">+$G8/$H$7/12</f>
        <v>446.6</v>
      </c>
      <c r="J8" s="3">
        <f t="shared" si="1"/>
        <v>446.6</v>
      </c>
      <c r="K8" s="3">
        <f t="shared" si="1"/>
        <v>446.6</v>
      </c>
      <c r="L8" s="3">
        <f t="shared" si="1"/>
        <v>446.6</v>
      </c>
      <c r="M8" s="3">
        <f t="shared" si="1"/>
        <v>446.6</v>
      </c>
      <c r="N8" s="3">
        <f t="shared" si="1"/>
        <v>446.6</v>
      </c>
      <c r="O8" s="3">
        <f t="shared" si="1"/>
        <v>446.6</v>
      </c>
      <c r="P8" s="3">
        <f t="shared" si="1"/>
        <v>446.6</v>
      </c>
      <c r="Q8" s="3">
        <f t="shared" si="1"/>
        <v>446.6</v>
      </c>
      <c r="R8" s="3">
        <f t="shared" si="1"/>
        <v>446.6</v>
      </c>
      <c r="S8" s="3">
        <f t="shared" si="1"/>
        <v>446.6</v>
      </c>
      <c r="T8" s="3">
        <f t="shared" si="1"/>
        <v>446.6</v>
      </c>
      <c r="U8" s="3">
        <f t="shared" ref="U8:U11" si="4">SUM(I8:T8)</f>
        <v>5359.2</v>
      </c>
      <c r="V8" s="3">
        <f>U8+'FAR18'!V8</f>
        <v>10271.8</v>
      </c>
      <c r="W8" s="3">
        <f t="shared" ref="W8:W11" si="5">+G8-V8</f>
        <v>5805.8</v>
      </c>
      <c r="X8" s="2"/>
      <c r="Y8" s="6"/>
      <c r="Z8" s="2"/>
      <c r="AA8" s="6"/>
      <c r="AB8" s="2"/>
      <c r="AC8" s="6"/>
    </row>
    <row r="9" ht="12.75" customHeight="1">
      <c r="A9" s="15">
        <v>42825.0</v>
      </c>
      <c r="B9" s="16">
        <v>18431.0</v>
      </c>
      <c r="C9" s="7" t="s">
        <v>15</v>
      </c>
      <c r="D9" s="17">
        <v>10078.8</v>
      </c>
      <c r="E9" s="17"/>
      <c r="F9" s="3"/>
      <c r="G9" s="3">
        <f t="shared" si="2"/>
        <v>10078.8</v>
      </c>
      <c r="H9" s="4"/>
      <c r="I9" s="3">
        <f t="shared" ref="I9:T9" si="3">+$G9/$H$7/12</f>
        <v>279.9666667</v>
      </c>
      <c r="J9" s="3">
        <f t="shared" si="3"/>
        <v>279.9666667</v>
      </c>
      <c r="K9" s="3">
        <f t="shared" si="3"/>
        <v>279.9666667</v>
      </c>
      <c r="L9" s="3">
        <f t="shared" si="3"/>
        <v>279.9666667</v>
      </c>
      <c r="M9" s="3">
        <f t="shared" si="3"/>
        <v>279.9666667</v>
      </c>
      <c r="N9" s="3">
        <f t="shared" si="3"/>
        <v>279.9666667</v>
      </c>
      <c r="O9" s="3">
        <f t="shared" si="3"/>
        <v>279.9666667</v>
      </c>
      <c r="P9" s="3">
        <f t="shared" si="3"/>
        <v>279.9666667</v>
      </c>
      <c r="Q9" s="3">
        <f t="shared" si="3"/>
        <v>279.9666667</v>
      </c>
      <c r="R9" s="3">
        <f t="shared" si="3"/>
        <v>279.9666667</v>
      </c>
      <c r="S9" s="3">
        <f t="shared" si="3"/>
        <v>279.9666667</v>
      </c>
      <c r="T9" s="3">
        <f t="shared" si="3"/>
        <v>279.9666667</v>
      </c>
      <c r="U9" s="3">
        <f t="shared" si="4"/>
        <v>3359.6</v>
      </c>
      <c r="V9" s="3">
        <f>U9+'FAR18'!V9</f>
        <v>6439.233333</v>
      </c>
      <c r="W9" s="3">
        <f t="shared" si="5"/>
        <v>3639.566667</v>
      </c>
      <c r="X9" s="2"/>
      <c r="Y9" s="6"/>
      <c r="Z9" s="2"/>
      <c r="AA9" s="6"/>
      <c r="AB9" s="2"/>
      <c r="AC9" s="6"/>
    </row>
    <row r="10" ht="12.75" customHeight="1">
      <c r="A10" s="15">
        <v>43046.0</v>
      </c>
      <c r="B10" s="16" t="s">
        <v>16</v>
      </c>
      <c r="C10" s="7" t="s">
        <v>17</v>
      </c>
      <c r="D10" s="17">
        <v>52651.0</v>
      </c>
      <c r="E10" s="17"/>
      <c r="F10" s="3"/>
      <c r="G10" s="3">
        <f t="shared" si="2"/>
        <v>52651</v>
      </c>
      <c r="H10" s="4"/>
      <c r="I10" s="3">
        <f t="shared" ref="I10:T10" si="6">+$G10/$H$7/12</f>
        <v>1462.527778</v>
      </c>
      <c r="J10" s="3">
        <f t="shared" si="6"/>
        <v>1462.527778</v>
      </c>
      <c r="K10" s="3">
        <f t="shared" si="6"/>
        <v>1462.527778</v>
      </c>
      <c r="L10" s="3">
        <f t="shared" si="6"/>
        <v>1462.527778</v>
      </c>
      <c r="M10" s="3">
        <f t="shared" si="6"/>
        <v>1462.527778</v>
      </c>
      <c r="N10" s="3">
        <f t="shared" si="6"/>
        <v>1462.527778</v>
      </c>
      <c r="O10" s="3">
        <f t="shared" si="6"/>
        <v>1462.527778</v>
      </c>
      <c r="P10" s="3">
        <f t="shared" si="6"/>
        <v>1462.527778</v>
      </c>
      <c r="Q10" s="3">
        <f t="shared" si="6"/>
        <v>1462.527778</v>
      </c>
      <c r="R10" s="3">
        <f t="shared" si="6"/>
        <v>1462.527778</v>
      </c>
      <c r="S10" s="3">
        <f t="shared" si="6"/>
        <v>1462.527778</v>
      </c>
      <c r="T10" s="3">
        <f t="shared" si="6"/>
        <v>1462.527778</v>
      </c>
      <c r="U10" s="3">
        <f t="shared" si="4"/>
        <v>17550.33333</v>
      </c>
      <c r="V10" s="3">
        <f>U10+'FAR18'!V10</f>
        <v>23043.82808</v>
      </c>
      <c r="W10" s="3">
        <f t="shared" si="5"/>
        <v>29607.17192</v>
      </c>
      <c r="X10" s="2"/>
      <c r="Y10" s="6"/>
      <c r="Z10" s="2"/>
      <c r="AA10" s="6"/>
      <c r="AB10" s="2"/>
      <c r="AC10" s="6"/>
    </row>
    <row r="11" ht="12.75" customHeight="1">
      <c r="A11" s="15">
        <v>43160.0</v>
      </c>
      <c r="B11" s="16">
        <v>21643.0</v>
      </c>
      <c r="C11" s="7" t="s">
        <v>30</v>
      </c>
      <c r="D11" s="17"/>
      <c r="E11" s="17">
        <v>92322.7</v>
      </c>
      <c r="F11" s="3"/>
      <c r="G11" s="3">
        <f t="shared" si="2"/>
        <v>92322.7</v>
      </c>
      <c r="H11" s="4"/>
      <c r="I11" s="3">
        <f t="shared" ref="I11:T11" si="7">+$G11/$H$7/12</f>
        <v>2564.519444</v>
      </c>
      <c r="J11" s="3">
        <f t="shared" si="7"/>
        <v>2564.519444</v>
      </c>
      <c r="K11" s="3">
        <f t="shared" si="7"/>
        <v>2564.519444</v>
      </c>
      <c r="L11" s="3">
        <f t="shared" si="7"/>
        <v>2564.519444</v>
      </c>
      <c r="M11" s="3">
        <f t="shared" si="7"/>
        <v>2564.519444</v>
      </c>
      <c r="N11" s="3">
        <f t="shared" si="7"/>
        <v>2564.519444</v>
      </c>
      <c r="O11" s="3">
        <f t="shared" si="7"/>
        <v>2564.519444</v>
      </c>
      <c r="P11" s="3">
        <f t="shared" si="7"/>
        <v>2564.519444</v>
      </c>
      <c r="Q11" s="3">
        <f t="shared" si="7"/>
        <v>2564.519444</v>
      </c>
      <c r="R11" s="3">
        <f t="shared" si="7"/>
        <v>2564.519444</v>
      </c>
      <c r="S11" s="3">
        <f t="shared" si="7"/>
        <v>2564.519444</v>
      </c>
      <c r="T11" s="3">
        <f t="shared" si="7"/>
        <v>2564.519444</v>
      </c>
      <c r="U11" s="3">
        <f t="shared" si="4"/>
        <v>30774.23333</v>
      </c>
      <c r="V11" s="3">
        <f>U11</f>
        <v>30774.23333</v>
      </c>
      <c r="W11" s="3">
        <f t="shared" si="5"/>
        <v>61548.46667</v>
      </c>
      <c r="X11" s="2"/>
      <c r="Y11" s="6"/>
      <c r="Z11" s="2"/>
      <c r="AA11" s="6"/>
      <c r="AB11" s="2"/>
      <c r="AC11" s="6"/>
    </row>
    <row r="12" ht="12.75" customHeight="1">
      <c r="A12" s="15"/>
      <c r="B12" s="18"/>
      <c r="C12" s="7"/>
      <c r="D12" s="3"/>
      <c r="E12" s="17"/>
      <c r="F12" s="3"/>
      <c r="G12" s="3"/>
      <c r="H12" s="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2"/>
      <c r="Y12" s="6"/>
      <c r="Z12" s="2"/>
      <c r="AA12" s="6"/>
      <c r="AB12" s="2"/>
      <c r="AC12" s="2"/>
    </row>
    <row r="13" ht="12.75" customHeight="1">
      <c r="A13" s="19"/>
      <c r="B13" s="20"/>
      <c r="C13" s="13"/>
      <c r="D13" s="21">
        <f t="shared" ref="D13:E13" si="8">SUM(D6:D12)</f>
        <v>78807.4</v>
      </c>
      <c r="E13" s="21">
        <f t="shared" si="8"/>
        <v>92322.7</v>
      </c>
      <c r="F13" s="22"/>
      <c r="G13" s="22">
        <f>SUM(G8:G12)</f>
        <v>171130.1</v>
      </c>
      <c r="H13" s="4"/>
      <c r="I13" s="22">
        <f t="shared" ref="I13:W13" si="9">SUM(I8:I12)</f>
        <v>4753.613889</v>
      </c>
      <c r="J13" s="22">
        <f t="shared" si="9"/>
        <v>4753.613889</v>
      </c>
      <c r="K13" s="22">
        <f t="shared" si="9"/>
        <v>4753.613889</v>
      </c>
      <c r="L13" s="22">
        <f t="shared" si="9"/>
        <v>4753.613889</v>
      </c>
      <c r="M13" s="22">
        <f t="shared" si="9"/>
        <v>4753.613889</v>
      </c>
      <c r="N13" s="22">
        <f t="shared" si="9"/>
        <v>4753.613889</v>
      </c>
      <c r="O13" s="22">
        <f t="shared" si="9"/>
        <v>4753.613889</v>
      </c>
      <c r="P13" s="22">
        <f t="shared" si="9"/>
        <v>4753.613889</v>
      </c>
      <c r="Q13" s="22">
        <f t="shared" si="9"/>
        <v>4753.613889</v>
      </c>
      <c r="R13" s="22">
        <f t="shared" si="9"/>
        <v>4753.613889</v>
      </c>
      <c r="S13" s="22">
        <f t="shared" si="9"/>
        <v>4753.613889</v>
      </c>
      <c r="T13" s="22">
        <f t="shared" si="9"/>
        <v>4753.613889</v>
      </c>
      <c r="U13" s="22">
        <f t="shared" si="9"/>
        <v>57043.36667</v>
      </c>
      <c r="V13" s="22">
        <f t="shared" si="9"/>
        <v>70529.09475</v>
      </c>
      <c r="W13" s="22">
        <f t="shared" si="9"/>
        <v>100601.0053</v>
      </c>
      <c r="X13" s="2"/>
      <c r="Y13" s="6"/>
      <c r="Z13" s="2"/>
      <c r="AA13" s="6"/>
      <c r="AB13" s="23"/>
      <c r="AC13" s="23"/>
    </row>
    <row r="14" ht="12.75" customHeight="1">
      <c r="A14" s="15"/>
      <c r="B14" s="18"/>
      <c r="C14" s="7"/>
      <c r="D14" s="3"/>
      <c r="E14" s="17"/>
      <c r="F14" s="3"/>
      <c r="G14" s="3"/>
      <c r="H14" s="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"/>
      <c r="Y14" s="6"/>
      <c r="Z14" s="2"/>
      <c r="AA14" s="6"/>
      <c r="AB14" s="2"/>
      <c r="AC14" s="2"/>
    </row>
    <row r="15" ht="12.75" customHeight="1">
      <c r="A15" s="8" t="s">
        <v>2</v>
      </c>
      <c r="B15" s="8" t="s">
        <v>3</v>
      </c>
      <c r="C15" s="8" t="s">
        <v>4</v>
      </c>
      <c r="D15" s="9" t="s">
        <v>18</v>
      </c>
      <c r="E15" s="9" t="s">
        <v>6</v>
      </c>
      <c r="F15" s="9" t="s">
        <v>20</v>
      </c>
      <c r="G15" s="9" t="s">
        <v>8</v>
      </c>
      <c r="H15" s="10" t="s">
        <v>9</v>
      </c>
      <c r="I15" s="11">
        <v>43190.0</v>
      </c>
      <c r="J15" s="11">
        <v>43220.0</v>
      </c>
      <c r="K15" s="11">
        <v>43251.0</v>
      </c>
      <c r="L15" s="11">
        <v>43281.0</v>
      </c>
      <c r="M15" s="11">
        <v>43312.0</v>
      </c>
      <c r="N15" s="11">
        <v>43343.0</v>
      </c>
      <c r="O15" s="11">
        <v>43373.0</v>
      </c>
      <c r="P15" s="11">
        <v>43404.0</v>
      </c>
      <c r="Q15" s="11">
        <v>43434.0</v>
      </c>
      <c r="R15" s="11">
        <v>43465.0</v>
      </c>
      <c r="S15" s="11">
        <v>43496.0</v>
      </c>
      <c r="T15" s="11">
        <v>43524.0</v>
      </c>
      <c r="U15" s="11" t="s">
        <v>10</v>
      </c>
      <c r="V15" s="11" t="s">
        <v>11</v>
      </c>
      <c r="W15" s="11" t="s">
        <v>29</v>
      </c>
      <c r="X15" s="2"/>
      <c r="Y15" s="6"/>
      <c r="Z15" s="2"/>
      <c r="AA15" s="6"/>
      <c r="AB15" s="2"/>
      <c r="AC15" s="6"/>
    </row>
    <row r="16" ht="12.75" customHeight="1">
      <c r="A16" s="13" t="s">
        <v>21</v>
      </c>
      <c r="B16" s="2"/>
      <c r="C16" s="2"/>
      <c r="D16" s="14"/>
      <c r="E16" s="3"/>
      <c r="F16" s="3"/>
      <c r="G16" s="3"/>
      <c r="H16" s="4" t="s">
        <v>22</v>
      </c>
      <c r="I16" s="13" t="str">
        <f>+A16</f>
        <v>6200&gt;020 (Furniture &amp; Fittings&gt;Cost)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2"/>
      <c r="Z16" s="2"/>
      <c r="AA16" s="2"/>
      <c r="AB16" s="2"/>
      <c r="AC16" s="2"/>
    </row>
    <row r="17" ht="12.75" customHeight="1">
      <c r="A17" s="8"/>
      <c r="B17" s="2"/>
      <c r="C17" s="2"/>
      <c r="D17" s="14"/>
      <c r="E17" s="3"/>
      <c r="F17" s="3"/>
      <c r="G17" s="3"/>
      <c r="H17" s="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2"/>
      <c r="Z17" s="2"/>
      <c r="AA17" s="2"/>
      <c r="AB17" s="2"/>
      <c r="AC17" s="2"/>
    </row>
    <row r="18" ht="12.75" customHeight="1">
      <c r="A18" s="15">
        <v>42836.0</v>
      </c>
      <c r="B18" s="16">
        <v>30110.0</v>
      </c>
      <c r="C18" s="7" t="s">
        <v>23</v>
      </c>
      <c r="D18" s="17">
        <v>52250.0</v>
      </c>
      <c r="E18" s="3"/>
      <c r="F18" s="3"/>
      <c r="G18" s="3">
        <f t="shared" ref="G18:G20" si="11">+D18+E18-F18</f>
        <v>52250</v>
      </c>
      <c r="H18" s="4"/>
      <c r="I18" s="3">
        <f t="shared" ref="I18:T18" si="10">+$G18/$H$16/12</f>
        <v>725.6944444</v>
      </c>
      <c r="J18" s="3">
        <f t="shared" si="10"/>
        <v>725.6944444</v>
      </c>
      <c r="K18" s="3">
        <f t="shared" si="10"/>
        <v>725.6944444</v>
      </c>
      <c r="L18" s="3">
        <f t="shared" si="10"/>
        <v>725.6944444</v>
      </c>
      <c r="M18" s="3">
        <f t="shared" si="10"/>
        <v>725.6944444</v>
      </c>
      <c r="N18" s="3">
        <f t="shared" si="10"/>
        <v>725.6944444</v>
      </c>
      <c r="O18" s="3">
        <f t="shared" si="10"/>
        <v>725.6944444</v>
      </c>
      <c r="P18" s="3">
        <f t="shared" si="10"/>
        <v>725.6944444</v>
      </c>
      <c r="Q18" s="3">
        <f t="shared" si="10"/>
        <v>725.6944444</v>
      </c>
      <c r="R18" s="3">
        <f t="shared" si="10"/>
        <v>725.6944444</v>
      </c>
      <c r="S18" s="3">
        <f t="shared" si="10"/>
        <v>725.6944444</v>
      </c>
      <c r="T18" s="3">
        <f t="shared" si="10"/>
        <v>725.6944444</v>
      </c>
      <c r="U18" s="3">
        <f t="shared" ref="U18:U20" si="13">SUM(I18:T18)</f>
        <v>8708.333333</v>
      </c>
      <c r="V18" s="3">
        <f>U18+'FAR18'!V17</f>
        <v>16418.58828</v>
      </c>
      <c r="W18" s="3">
        <f t="shared" ref="W18:W20" si="14">+G18-V18</f>
        <v>35831.41172</v>
      </c>
      <c r="X18" s="2"/>
      <c r="Y18" s="2"/>
      <c r="Z18" s="2"/>
      <c r="AA18" s="2"/>
      <c r="AB18" s="2"/>
      <c r="AC18" s="2"/>
    </row>
    <row r="19" ht="12.75" customHeight="1">
      <c r="A19" s="15">
        <v>43165.0</v>
      </c>
      <c r="B19" s="16" t="s">
        <v>31</v>
      </c>
      <c r="C19" s="7" t="s">
        <v>32</v>
      </c>
      <c r="D19" s="17"/>
      <c r="E19" s="3">
        <v>44144.0</v>
      </c>
      <c r="F19" s="3"/>
      <c r="G19" s="3">
        <f t="shared" si="11"/>
        <v>44144</v>
      </c>
      <c r="H19" s="4"/>
      <c r="I19" s="3">
        <f>+$G19/$H$16/365*(31-6)</f>
        <v>503.9269406</v>
      </c>
      <c r="J19" s="3">
        <f t="shared" ref="J19:T19" si="12">+$G19/$H$16/12</f>
        <v>613.1111111</v>
      </c>
      <c r="K19" s="3">
        <f t="shared" si="12"/>
        <v>613.1111111</v>
      </c>
      <c r="L19" s="3">
        <f t="shared" si="12"/>
        <v>613.1111111</v>
      </c>
      <c r="M19" s="3">
        <f t="shared" si="12"/>
        <v>613.1111111</v>
      </c>
      <c r="N19" s="3">
        <f t="shared" si="12"/>
        <v>613.1111111</v>
      </c>
      <c r="O19" s="3">
        <f t="shared" si="12"/>
        <v>613.1111111</v>
      </c>
      <c r="P19" s="3">
        <f t="shared" si="12"/>
        <v>613.1111111</v>
      </c>
      <c r="Q19" s="3">
        <f t="shared" si="12"/>
        <v>613.1111111</v>
      </c>
      <c r="R19" s="3">
        <f t="shared" si="12"/>
        <v>613.1111111</v>
      </c>
      <c r="S19" s="3">
        <f t="shared" si="12"/>
        <v>613.1111111</v>
      </c>
      <c r="T19" s="3">
        <f t="shared" si="12"/>
        <v>613.1111111</v>
      </c>
      <c r="U19" s="3">
        <f t="shared" si="13"/>
        <v>7248.149163</v>
      </c>
      <c r="V19" s="3">
        <f t="shared" ref="V19:V20" si="16">U19</f>
        <v>7248.149163</v>
      </c>
      <c r="W19" s="3">
        <f t="shared" si="14"/>
        <v>36895.85084</v>
      </c>
      <c r="X19" s="2"/>
      <c r="Y19" s="2"/>
      <c r="Z19" s="2"/>
      <c r="AA19" s="2"/>
      <c r="AB19" s="2"/>
      <c r="AC19" s="2"/>
    </row>
    <row r="20" ht="12.75" customHeight="1">
      <c r="A20" s="15">
        <v>43179.0</v>
      </c>
      <c r="B20" s="16">
        <v>32006.0</v>
      </c>
      <c r="C20" s="7" t="s">
        <v>33</v>
      </c>
      <c r="D20" s="17"/>
      <c r="E20" s="3">
        <f>9715*2</f>
        <v>19430</v>
      </c>
      <c r="F20" s="3"/>
      <c r="G20" s="3">
        <f t="shared" si="11"/>
        <v>19430</v>
      </c>
      <c r="H20" s="4"/>
      <c r="I20" s="3">
        <f>+$G20/$H$16/365*(31-20)</f>
        <v>97.59360731</v>
      </c>
      <c r="J20" s="3">
        <f t="shared" ref="J20:T20" si="15">+$G20/$H$16/12</f>
        <v>269.8611111</v>
      </c>
      <c r="K20" s="3">
        <f t="shared" si="15"/>
        <v>269.8611111</v>
      </c>
      <c r="L20" s="3">
        <f t="shared" si="15"/>
        <v>269.8611111</v>
      </c>
      <c r="M20" s="3">
        <f t="shared" si="15"/>
        <v>269.8611111</v>
      </c>
      <c r="N20" s="3">
        <f t="shared" si="15"/>
        <v>269.8611111</v>
      </c>
      <c r="O20" s="3">
        <f t="shared" si="15"/>
        <v>269.8611111</v>
      </c>
      <c r="P20" s="3">
        <f t="shared" si="15"/>
        <v>269.8611111</v>
      </c>
      <c r="Q20" s="3">
        <f t="shared" si="15"/>
        <v>269.8611111</v>
      </c>
      <c r="R20" s="3">
        <f t="shared" si="15"/>
        <v>269.8611111</v>
      </c>
      <c r="S20" s="3">
        <f t="shared" si="15"/>
        <v>269.8611111</v>
      </c>
      <c r="T20" s="3">
        <f t="shared" si="15"/>
        <v>269.8611111</v>
      </c>
      <c r="U20" s="3">
        <f t="shared" si="13"/>
        <v>3066.06583</v>
      </c>
      <c r="V20" s="3">
        <f t="shared" si="16"/>
        <v>3066.06583</v>
      </c>
      <c r="W20" s="3">
        <f t="shared" si="14"/>
        <v>16363.93417</v>
      </c>
      <c r="X20" s="2"/>
      <c r="Y20" s="2"/>
      <c r="Z20" s="2"/>
      <c r="AA20" s="2"/>
      <c r="AB20" s="2"/>
      <c r="AC20" s="2"/>
    </row>
    <row r="21" ht="12.75" customHeight="1">
      <c r="A21" s="15"/>
      <c r="B21" s="7"/>
      <c r="C21" s="7"/>
      <c r="D21" s="3"/>
      <c r="E21" s="17"/>
      <c r="F21" s="3"/>
      <c r="G21" s="3"/>
      <c r="H21" s="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/>
      <c r="Y21" s="2"/>
      <c r="Z21" s="2"/>
      <c r="AA21" s="2"/>
      <c r="AB21" s="2"/>
      <c r="AC21" s="2"/>
    </row>
    <row r="22" ht="12.75" customHeight="1">
      <c r="A22" s="23"/>
      <c r="B22" s="23"/>
      <c r="C22" s="23"/>
      <c r="D22" s="22">
        <f t="shared" ref="D22:F22" si="17">SUM(D16:D21)</f>
        <v>52250</v>
      </c>
      <c r="E22" s="22">
        <f t="shared" si="17"/>
        <v>63574</v>
      </c>
      <c r="F22" s="22">
        <f t="shared" si="17"/>
        <v>0</v>
      </c>
      <c r="G22" s="22">
        <f>SUM(D22:F22)</f>
        <v>115824</v>
      </c>
      <c r="H22" s="4"/>
      <c r="I22" s="22">
        <f t="shared" ref="I22:W22" si="18">SUM(I18:I21)</f>
        <v>1327.214992</v>
      </c>
      <c r="J22" s="22">
        <f t="shared" si="18"/>
        <v>1608.666667</v>
      </c>
      <c r="K22" s="22">
        <f t="shared" si="18"/>
        <v>1608.666667</v>
      </c>
      <c r="L22" s="22">
        <f t="shared" si="18"/>
        <v>1608.666667</v>
      </c>
      <c r="M22" s="22">
        <f t="shared" si="18"/>
        <v>1608.666667</v>
      </c>
      <c r="N22" s="22">
        <f t="shared" si="18"/>
        <v>1608.666667</v>
      </c>
      <c r="O22" s="22">
        <f t="shared" si="18"/>
        <v>1608.666667</v>
      </c>
      <c r="P22" s="22">
        <f t="shared" si="18"/>
        <v>1608.666667</v>
      </c>
      <c r="Q22" s="22">
        <f t="shared" si="18"/>
        <v>1608.666667</v>
      </c>
      <c r="R22" s="22">
        <f t="shared" si="18"/>
        <v>1608.666667</v>
      </c>
      <c r="S22" s="22">
        <f t="shared" si="18"/>
        <v>1608.666667</v>
      </c>
      <c r="T22" s="22">
        <f t="shared" si="18"/>
        <v>1608.666667</v>
      </c>
      <c r="U22" s="22">
        <f t="shared" si="18"/>
        <v>19022.54833</v>
      </c>
      <c r="V22" s="22">
        <f t="shared" si="18"/>
        <v>26732.80327</v>
      </c>
      <c r="W22" s="22">
        <f t="shared" si="18"/>
        <v>89091.19673</v>
      </c>
      <c r="X22" s="2"/>
      <c r="Y22" s="2"/>
      <c r="Z22" s="23"/>
      <c r="AA22" s="23"/>
      <c r="AB22" s="23"/>
      <c r="AC22" s="23"/>
    </row>
    <row r="23" ht="12.75" customHeight="1">
      <c r="A23" s="23"/>
      <c r="B23" s="23"/>
      <c r="C23" s="23"/>
      <c r="D23" s="24"/>
      <c r="E23" s="24"/>
      <c r="F23" s="24"/>
      <c r="G23" s="24"/>
      <c r="H23" s="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"/>
      <c r="Y23" s="2"/>
      <c r="Z23" s="23"/>
      <c r="AA23" s="23"/>
      <c r="AB23" s="23"/>
      <c r="AC23" s="23"/>
    </row>
    <row r="24" ht="12.75" customHeight="1">
      <c r="A24" s="8" t="s">
        <v>2</v>
      </c>
      <c r="B24" s="8" t="s">
        <v>3</v>
      </c>
      <c r="C24" s="8" t="s">
        <v>4</v>
      </c>
      <c r="D24" s="9" t="s">
        <v>18</v>
      </c>
      <c r="E24" s="9" t="s">
        <v>6</v>
      </c>
      <c r="F24" s="9" t="s">
        <v>20</v>
      </c>
      <c r="G24" s="9" t="s">
        <v>8</v>
      </c>
      <c r="H24" s="10" t="s">
        <v>9</v>
      </c>
      <c r="I24" s="11">
        <v>43190.0</v>
      </c>
      <c r="J24" s="11">
        <v>43220.0</v>
      </c>
      <c r="K24" s="11">
        <v>43251.0</v>
      </c>
      <c r="L24" s="11">
        <v>43281.0</v>
      </c>
      <c r="M24" s="11">
        <v>43312.0</v>
      </c>
      <c r="N24" s="11">
        <v>43343.0</v>
      </c>
      <c r="O24" s="11">
        <v>43373.0</v>
      </c>
      <c r="P24" s="11">
        <v>43404.0</v>
      </c>
      <c r="Q24" s="11">
        <v>43434.0</v>
      </c>
      <c r="R24" s="11">
        <v>43465.0</v>
      </c>
      <c r="S24" s="11">
        <v>43496.0</v>
      </c>
      <c r="T24" s="11">
        <v>43524.0</v>
      </c>
      <c r="U24" s="11" t="s">
        <v>10</v>
      </c>
      <c r="V24" s="11" t="s">
        <v>11</v>
      </c>
      <c r="W24" s="11" t="s">
        <v>29</v>
      </c>
      <c r="X24" s="2"/>
      <c r="Y24" s="6"/>
      <c r="Z24" s="2"/>
      <c r="AA24" s="6"/>
      <c r="AB24" s="2"/>
      <c r="AC24" s="6"/>
    </row>
    <row r="25" ht="12.75" customHeight="1">
      <c r="A25" s="13" t="s">
        <v>24</v>
      </c>
      <c r="B25" s="2"/>
      <c r="C25" s="2"/>
      <c r="D25" s="3"/>
      <c r="E25" s="14"/>
      <c r="F25" s="3"/>
      <c r="G25" s="3"/>
      <c r="H25" s="4" t="s">
        <v>25</v>
      </c>
      <c r="I25" s="13" t="str">
        <f>+A25</f>
        <v>6300&gt;020 (Motor Vehicles&gt;Cost)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2"/>
      <c r="Z25" s="2"/>
      <c r="AA25" s="2"/>
      <c r="AB25" s="2"/>
      <c r="AC25" s="2"/>
    </row>
    <row r="26" ht="12.75" customHeight="1">
      <c r="A26" s="8"/>
      <c r="B26" s="2"/>
      <c r="C26" s="2"/>
      <c r="D26" s="3"/>
      <c r="E26" s="14"/>
      <c r="F26" s="3"/>
      <c r="G26" s="3"/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2"/>
      <c r="Y26" s="2"/>
      <c r="Z26" s="2"/>
      <c r="AA26" s="2"/>
      <c r="AB26" s="2"/>
      <c r="AC26" s="2"/>
    </row>
    <row r="27" ht="12.75" customHeight="1">
      <c r="A27" s="15">
        <v>42860.0</v>
      </c>
      <c r="B27" s="16">
        <v>8.900964E7</v>
      </c>
      <c r="C27" s="7" t="s">
        <v>26</v>
      </c>
      <c r="D27" s="3">
        <v>255969.92</v>
      </c>
      <c r="E27" s="17"/>
      <c r="F27" s="3"/>
      <c r="G27" s="3">
        <f>+D27+E27-F27</f>
        <v>255969.92</v>
      </c>
      <c r="H27" s="4"/>
      <c r="I27" s="3">
        <f t="shared" ref="I27:T27" si="19">+$G27/$H$25/12</f>
        <v>4266.165333</v>
      </c>
      <c r="J27" s="3">
        <f t="shared" si="19"/>
        <v>4266.165333</v>
      </c>
      <c r="K27" s="3">
        <f t="shared" si="19"/>
        <v>4266.165333</v>
      </c>
      <c r="L27" s="3">
        <f t="shared" si="19"/>
        <v>4266.165333</v>
      </c>
      <c r="M27" s="3">
        <f t="shared" si="19"/>
        <v>4266.165333</v>
      </c>
      <c r="N27" s="3">
        <f t="shared" si="19"/>
        <v>4266.165333</v>
      </c>
      <c r="O27" s="3">
        <f t="shared" si="19"/>
        <v>4266.165333</v>
      </c>
      <c r="P27" s="3">
        <f t="shared" si="19"/>
        <v>4266.165333</v>
      </c>
      <c r="Q27" s="3">
        <f t="shared" si="19"/>
        <v>4266.165333</v>
      </c>
      <c r="R27" s="3">
        <f t="shared" si="19"/>
        <v>4266.165333</v>
      </c>
      <c r="S27" s="3">
        <f t="shared" si="19"/>
        <v>4266.165333</v>
      </c>
      <c r="T27" s="3">
        <f t="shared" si="19"/>
        <v>4266.165333</v>
      </c>
      <c r="U27" s="3">
        <f>SUM(I27:T27)</f>
        <v>51193.984</v>
      </c>
      <c r="V27" s="3">
        <f>U27+'FAR18'!V24</f>
        <v>93236.16675</v>
      </c>
      <c r="W27" s="3">
        <f>+G27-V27</f>
        <v>162733.7532</v>
      </c>
      <c r="X27" s="2"/>
      <c r="Y27" s="2"/>
      <c r="Z27" s="2"/>
      <c r="AA27" s="2"/>
      <c r="AB27" s="2"/>
      <c r="AC27" s="2"/>
    </row>
    <row r="28" ht="12.75" customHeight="1">
      <c r="A28" s="7"/>
      <c r="B28" s="7"/>
      <c r="C28" s="7"/>
      <c r="D28" s="3"/>
      <c r="E28" s="17"/>
      <c r="F28" s="3"/>
      <c r="G28" s="3"/>
      <c r="H28" s="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2"/>
      <c r="Y28" s="2"/>
      <c r="Z28" s="2"/>
      <c r="AA28" s="2"/>
      <c r="AB28" s="2"/>
      <c r="AC28" s="2"/>
    </row>
    <row r="29" ht="12.75" customHeight="1">
      <c r="A29" s="23"/>
      <c r="B29" s="23"/>
      <c r="C29" s="23"/>
      <c r="D29" s="22">
        <f t="shared" ref="D29:F29" si="20">SUM(D27)</f>
        <v>255969.92</v>
      </c>
      <c r="E29" s="21">
        <f t="shared" si="20"/>
        <v>0</v>
      </c>
      <c r="F29" s="22">
        <f t="shared" si="20"/>
        <v>0</v>
      </c>
      <c r="G29" s="22">
        <f>SUM(D29:F29)</f>
        <v>255969.92</v>
      </c>
      <c r="H29" s="4"/>
      <c r="I29" s="22">
        <f t="shared" ref="I29:W29" si="21">SUM(I27)</f>
        <v>4266.165333</v>
      </c>
      <c r="J29" s="22">
        <f t="shared" si="21"/>
        <v>4266.165333</v>
      </c>
      <c r="K29" s="22">
        <f t="shared" si="21"/>
        <v>4266.165333</v>
      </c>
      <c r="L29" s="22">
        <f t="shared" si="21"/>
        <v>4266.165333</v>
      </c>
      <c r="M29" s="22">
        <f t="shared" si="21"/>
        <v>4266.165333</v>
      </c>
      <c r="N29" s="22">
        <f t="shared" si="21"/>
        <v>4266.165333</v>
      </c>
      <c r="O29" s="22">
        <f t="shared" si="21"/>
        <v>4266.165333</v>
      </c>
      <c r="P29" s="22">
        <f t="shared" si="21"/>
        <v>4266.165333</v>
      </c>
      <c r="Q29" s="22">
        <f t="shared" si="21"/>
        <v>4266.165333</v>
      </c>
      <c r="R29" s="22">
        <f t="shared" si="21"/>
        <v>4266.165333</v>
      </c>
      <c r="S29" s="22">
        <f t="shared" si="21"/>
        <v>4266.165333</v>
      </c>
      <c r="T29" s="22">
        <f t="shared" si="21"/>
        <v>4266.165333</v>
      </c>
      <c r="U29" s="22">
        <f t="shared" si="21"/>
        <v>51193.984</v>
      </c>
      <c r="V29" s="22">
        <f t="shared" si="21"/>
        <v>93236.16675</v>
      </c>
      <c r="W29" s="22">
        <f t="shared" si="21"/>
        <v>162733.7532</v>
      </c>
      <c r="X29" s="23"/>
      <c r="Y29" s="23"/>
      <c r="Z29" s="23"/>
      <c r="AA29" s="23"/>
      <c r="AB29" s="23"/>
      <c r="AC29" s="23"/>
    </row>
    <row r="30" ht="12.75" customHeight="1">
      <c r="A30" s="2"/>
      <c r="B30" s="2"/>
      <c r="C30" s="2"/>
      <c r="D30" s="3"/>
      <c r="E30" s="9"/>
      <c r="F30" s="3"/>
      <c r="G30" s="3"/>
      <c r="H30" s="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  <c r="Y30" s="2"/>
      <c r="Z30" s="2"/>
      <c r="AA30" s="2"/>
      <c r="AB30" s="2"/>
      <c r="AC30" s="2"/>
    </row>
    <row r="31" ht="12.75" customHeight="1">
      <c r="A31" s="23" t="s">
        <v>27</v>
      </c>
      <c r="B31" s="2"/>
      <c r="C31" s="2"/>
      <c r="D31" s="22">
        <f t="shared" ref="D31:G31" si="22">D13+D22+D29</f>
        <v>387027.32</v>
      </c>
      <c r="E31" s="22">
        <f t="shared" si="22"/>
        <v>155896.7</v>
      </c>
      <c r="F31" s="22">
        <f t="shared" si="22"/>
        <v>0</v>
      </c>
      <c r="G31" s="22">
        <f t="shared" si="22"/>
        <v>542924.02</v>
      </c>
      <c r="H31" s="4"/>
      <c r="I31" s="22">
        <f t="shared" ref="I31:W31" si="23">I13+I22+I29</f>
        <v>10346.99421</v>
      </c>
      <c r="J31" s="22">
        <f t="shared" si="23"/>
        <v>10628.44589</v>
      </c>
      <c r="K31" s="22">
        <f t="shared" si="23"/>
        <v>10628.44589</v>
      </c>
      <c r="L31" s="22">
        <f t="shared" si="23"/>
        <v>10628.44589</v>
      </c>
      <c r="M31" s="22">
        <f t="shared" si="23"/>
        <v>10628.44589</v>
      </c>
      <c r="N31" s="22">
        <f t="shared" si="23"/>
        <v>10628.44589</v>
      </c>
      <c r="O31" s="22">
        <f t="shared" si="23"/>
        <v>10628.44589</v>
      </c>
      <c r="P31" s="22">
        <f t="shared" si="23"/>
        <v>10628.44589</v>
      </c>
      <c r="Q31" s="22">
        <f t="shared" si="23"/>
        <v>10628.44589</v>
      </c>
      <c r="R31" s="22">
        <f t="shared" si="23"/>
        <v>10628.44589</v>
      </c>
      <c r="S31" s="22">
        <f t="shared" si="23"/>
        <v>10628.44589</v>
      </c>
      <c r="T31" s="22">
        <f t="shared" si="23"/>
        <v>10628.44589</v>
      </c>
      <c r="U31" s="22">
        <f t="shared" si="23"/>
        <v>127259.899</v>
      </c>
      <c r="V31" s="22">
        <f t="shared" si="23"/>
        <v>190498.0648</v>
      </c>
      <c r="W31" s="22">
        <f t="shared" si="23"/>
        <v>352425.9552</v>
      </c>
      <c r="X31" s="2"/>
      <c r="Y31" s="2"/>
      <c r="Z31" s="2"/>
      <c r="AA31" s="2"/>
      <c r="AB31" s="2"/>
      <c r="AC31" s="2"/>
    </row>
    <row r="32" ht="12.75" customHeight="1">
      <c r="A32" s="2"/>
      <c r="B32" s="2"/>
      <c r="C32" s="2"/>
      <c r="D32" s="3"/>
      <c r="E32" s="3"/>
      <c r="F32" s="3"/>
      <c r="G32" s="3"/>
      <c r="H32" s="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2"/>
      <c r="Z32" s="2"/>
      <c r="AA32" s="2"/>
      <c r="AB32" s="2"/>
      <c r="AC32" s="2"/>
    </row>
    <row r="33" ht="12.75" customHeight="1">
      <c r="A33" s="2"/>
      <c r="B33" s="2"/>
      <c r="C33" s="2"/>
      <c r="D33" s="3"/>
      <c r="E33" s="3"/>
      <c r="F33" s="3"/>
      <c r="G33" s="3"/>
      <c r="H33" s="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2"/>
      <c r="Z33" s="2"/>
      <c r="AA33" s="2"/>
      <c r="AB33" s="2"/>
      <c r="AC33" s="2"/>
    </row>
    <row r="34" ht="12.75" customHeight="1">
      <c r="A34" s="2"/>
      <c r="B34" s="2"/>
      <c r="C34" s="2"/>
      <c r="D34" s="3"/>
      <c r="E34" s="3"/>
      <c r="F34" s="3"/>
      <c r="G34" s="3"/>
      <c r="H34" s="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2"/>
      <c r="Y34" s="2"/>
      <c r="Z34" s="2"/>
      <c r="AA34" s="2"/>
      <c r="AB34" s="2"/>
      <c r="AC34" s="2"/>
    </row>
    <row r="35" ht="12.75" customHeight="1">
      <c r="A35" s="2"/>
      <c r="B35" s="2"/>
      <c r="C35" s="2"/>
      <c r="D35" s="3"/>
      <c r="E35" s="3"/>
      <c r="F35" s="3"/>
      <c r="G35" s="3"/>
      <c r="H35" s="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2"/>
      <c r="Y35" s="2"/>
      <c r="Z35" s="2"/>
      <c r="AA35" s="2"/>
      <c r="AB35" s="2"/>
      <c r="AC35" s="2"/>
    </row>
    <row r="36" ht="12.75" customHeight="1">
      <c r="A36" s="2"/>
      <c r="B36" s="2"/>
      <c r="C36" s="2"/>
      <c r="D36" s="3"/>
      <c r="E36" s="3"/>
      <c r="F36" s="3"/>
      <c r="G36" s="3"/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2"/>
      <c r="Y36" s="2"/>
      <c r="Z36" s="2"/>
      <c r="AA36" s="2"/>
      <c r="AB36" s="2"/>
      <c r="AC36" s="2"/>
    </row>
    <row r="37" ht="12.75" customHeight="1">
      <c r="A37" s="2"/>
      <c r="B37" s="2"/>
      <c r="C37" s="2"/>
      <c r="D37" s="3"/>
      <c r="E37" s="3"/>
      <c r="F37" s="3"/>
      <c r="G37" s="3"/>
      <c r="H37" s="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2"/>
      <c r="Z37" s="2"/>
      <c r="AA37" s="2"/>
      <c r="AB37" s="2"/>
      <c r="AC37" s="2"/>
    </row>
    <row r="38" ht="12.75" customHeight="1">
      <c r="A38" s="2"/>
      <c r="B38" s="2"/>
      <c r="C38" s="2"/>
      <c r="D38" s="3"/>
      <c r="E38" s="3"/>
      <c r="F38" s="3"/>
      <c r="G38" s="3"/>
      <c r="H38" s="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2"/>
      <c r="Z38" s="2"/>
      <c r="AA38" s="2"/>
      <c r="AB38" s="2"/>
      <c r="AC38" s="2"/>
    </row>
    <row r="39" ht="12.75" customHeight="1">
      <c r="A39" s="2"/>
      <c r="B39" s="2"/>
      <c r="C39" s="2"/>
      <c r="D39" s="3"/>
      <c r="E39" s="3"/>
      <c r="F39" s="3"/>
      <c r="G39" s="3"/>
      <c r="H39" s="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2"/>
      <c r="Y39" s="2"/>
      <c r="Z39" s="2"/>
      <c r="AA39" s="2"/>
      <c r="AB39" s="2"/>
      <c r="AC39" s="2"/>
    </row>
    <row r="40" ht="12.75" customHeight="1">
      <c r="A40" s="2"/>
      <c r="B40" s="2"/>
      <c r="C40" s="2"/>
      <c r="D40" s="3"/>
      <c r="E40" s="3"/>
      <c r="F40" s="3"/>
      <c r="G40" s="3"/>
      <c r="H40" s="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2"/>
      <c r="Y40" s="2"/>
      <c r="Z40" s="2"/>
      <c r="AA40" s="2"/>
      <c r="AB40" s="2"/>
      <c r="AC40" s="2"/>
    </row>
    <row r="41" ht="12.75" customHeight="1">
      <c r="A41" s="2"/>
      <c r="B41" s="2"/>
      <c r="C41" s="2"/>
      <c r="D41" s="3"/>
      <c r="E41" s="3"/>
      <c r="F41" s="3"/>
      <c r="G41" s="3"/>
      <c r="H41" s="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2"/>
      <c r="Z41" s="2"/>
      <c r="AA41" s="2"/>
      <c r="AB41" s="2"/>
      <c r="AC41" s="2"/>
    </row>
    <row r="42" ht="12.75" customHeight="1">
      <c r="A42" s="2"/>
      <c r="B42" s="2"/>
      <c r="C42" s="2"/>
      <c r="D42" s="3"/>
      <c r="E42" s="3"/>
      <c r="F42" s="3"/>
      <c r="G42" s="3"/>
      <c r="H42" s="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2"/>
      <c r="Y42" s="2"/>
      <c r="Z42" s="2"/>
      <c r="AA42" s="2"/>
      <c r="AB42" s="2"/>
      <c r="AC42" s="2"/>
    </row>
    <row r="43" ht="12.75" customHeight="1">
      <c r="A43" s="2"/>
      <c r="B43" s="2"/>
      <c r="C43" s="2"/>
      <c r="D43" s="3"/>
      <c r="E43" s="3"/>
      <c r="F43" s="3"/>
      <c r="G43" s="3"/>
      <c r="H43" s="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2"/>
      <c r="Y43" s="2"/>
      <c r="Z43" s="2"/>
      <c r="AA43" s="2"/>
      <c r="AB43" s="2"/>
      <c r="AC43" s="2"/>
    </row>
    <row r="44" ht="12.75" customHeight="1">
      <c r="A44" s="2"/>
      <c r="B44" s="2"/>
      <c r="C44" s="2"/>
      <c r="D44" s="3"/>
      <c r="E44" s="3"/>
      <c r="F44" s="3"/>
      <c r="G44" s="3"/>
      <c r="H44" s="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2"/>
      <c r="Y44" s="2"/>
      <c r="Z44" s="2"/>
      <c r="AA44" s="2"/>
      <c r="AB44" s="2"/>
      <c r="AC44" s="2"/>
    </row>
    <row r="45" ht="12.75" customHeight="1">
      <c r="A45" s="2"/>
      <c r="B45" s="2"/>
      <c r="C45" s="2"/>
      <c r="D45" s="3"/>
      <c r="E45" s="3"/>
      <c r="F45" s="3"/>
      <c r="G45" s="3"/>
      <c r="H45" s="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2"/>
      <c r="Y45" s="2"/>
      <c r="Z45" s="2"/>
      <c r="AA45" s="2"/>
      <c r="AB45" s="2"/>
      <c r="AC45" s="2"/>
    </row>
    <row r="46" ht="12.75" customHeight="1">
      <c r="A46" s="2"/>
      <c r="B46" s="2"/>
      <c r="C46" s="2"/>
      <c r="D46" s="3"/>
      <c r="E46" s="3"/>
      <c r="F46" s="3"/>
      <c r="G46" s="3"/>
      <c r="H46" s="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2"/>
      <c r="Y46" s="2"/>
      <c r="Z46" s="2"/>
      <c r="AA46" s="2"/>
      <c r="AB46" s="2"/>
      <c r="AC46" s="2"/>
    </row>
    <row r="47" ht="12.75" customHeight="1">
      <c r="A47" s="2"/>
      <c r="B47" s="2"/>
      <c r="C47" s="2"/>
      <c r="D47" s="3"/>
      <c r="E47" s="3"/>
      <c r="F47" s="3"/>
      <c r="G47" s="3"/>
      <c r="H47" s="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2"/>
      <c r="Y47" s="2"/>
      <c r="Z47" s="2"/>
      <c r="AA47" s="2"/>
      <c r="AB47" s="2"/>
      <c r="AC47" s="2"/>
    </row>
    <row r="48" ht="12.75" customHeight="1">
      <c r="A48" s="2"/>
      <c r="B48" s="2"/>
      <c r="C48" s="2"/>
      <c r="D48" s="3"/>
      <c r="E48" s="3"/>
      <c r="F48" s="3"/>
      <c r="G48" s="3"/>
      <c r="H48" s="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2"/>
      <c r="Y48" s="2"/>
      <c r="Z48" s="2"/>
      <c r="AA48" s="2"/>
      <c r="AB48" s="2"/>
      <c r="AC48" s="2"/>
    </row>
    <row r="49" ht="12.75" customHeight="1">
      <c r="A49" s="2"/>
      <c r="B49" s="2"/>
      <c r="C49" s="2"/>
      <c r="D49" s="3"/>
      <c r="E49" s="3"/>
      <c r="F49" s="3"/>
      <c r="G49" s="3"/>
      <c r="H49" s="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2"/>
      <c r="Y49" s="2"/>
      <c r="Z49" s="2"/>
      <c r="AA49" s="2"/>
      <c r="AB49" s="2"/>
      <c r="AC49" s="2"/>
    </row>
    <row r="50" ht="12.75" customHeight="1">
      <c r="A50" s="2"/>
      <c r="B50" s="2"/>
      <c r="C50" s="2"/>
      <c r="D50" s="3"/>
      <c r="E50" s="3"/>
      <c r="F50" s="3"/>
      <c r="G50" s="3"/>
      <c r="H50" s="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2"/>
      <c r="Y50" s="2"/>
      <c r="Z50" s="2"/>
      <c r="AA50" s="2"/>
      <c r="AB50" s="2"/>
      <c r="AC50" s="2"/>
    </row>
    <row r="51" ht="12.75" customHeight="1">
      <c r="A51" s="2"/>
      <c r="B51" s="2"/>
      <c r="C51" s="2"/>
      <c r="D51" s="3"/>
      <c r="E51" s="3"/>
      <c r="F51" s="3"/>
      <c r="G51" s="3"/>
      <c r="H51" s="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2"/>
      <c r="Y51" s="2"/>
      <c r="Z51" s="2"/>
      <c r="AA51" s="2"/>
      <c r="AB51" s="2"/>
      <c r="AC51" s="2"/>
    </row>
    <row r="52" ht="12.75" customHeight="1">
      <c r="A52" s="2"/>
      <c r="B52" s="2"/>
      <c r="C52" s="2"/>
      <c r="D52" s="3"/>
      <c r="E52" s="3"/>
      <c r="F52" s="3"/>
      <c r="G52" s="3"/>
      <c r="H52" s="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2"/>
      <c r="Y52" s="2"/>
      <c r="Z52" s="2"/>
      <c r="AA52" s="2"/>
      <c r="AB52" s="2"/>
      <c r="AC52" s="2"/>
    </row>
    <row r="53" ht="12.75" customHeight="1">
      <c r="A53" s="2"/>
      <c r="B53" s="2"/>
      <c r="C53" s="2"/>
      <c r="D53" s="3"/>
      <c r="E53" s="3"/>
      <c r="F53" s="3"/>
      <c r="G53" s="3"/>
      <c r="H53" s="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2"/>
      <c r="Y53" s="2"/>
      <c r="Z53" s="2"/>
      <c r="AA53" s="2"/>
      <c r="AB53" s="2"/>
      <c r="AC53" s="2"/>
    </row>
    <row r="54" ht="12.75" customHeight="1">
      <c r="A54" s="2"/>
      <c r="B54" s="2"/>
      <c r="C54" s="2"/>
      <c r="D54" s="3"/>
      <c r="E54" s="3"/>
      <c r="F54" s="3"/>
      <c r="G54" s="3"/>
      <c r="H54" s="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2"/>
      <c r="Y54" s="2"/>
      <c r="Z54" s="2"/>
      <c r="AA54" s="2"/>
      <c r="AB54" s="2"/>
      <c r="AC54" s="2"/>
    </row>
    <row r="55" ht="12.75" customHeight="1">
      <c r="A55" s="2"/>
      <c r="B55" s="2"/>
      <c r="C55" s="2"/>
      <c r="D55" s="3"/>
      <c r="E55" s="3"/>
      <c r="F55" s="3"/>
      <c r="G55" s="3"/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2"/>
      <c r="Y55" s="2"/>
      <c r="Z55" s="2"/>
      <c r="AA55" s="2"/>
      <c r="AB55" s="2"/>
      <c r="AC55" s="2"/>
    </row>
    <row r="56" ht="12.75" customHeight="1">
      <c r="A56" s="2"/>
      <c r="B56" s="2"/>
      <c r="C56" s="2"/>
      <c r="D56" s="3"/>
      <c r="E56" s="3"/>
      <c r="F56" s="3"/>
      <c r="G56" s="3"/>
      <c r="H56" s="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2"/>
      <c r="Y56" s="2"/>
      <c r="Z56" s="2"/>
      <c r="AA56" s="2"/>
      <c r="AB56" s="2"/>
      <c r="AC56" s="2"/>
    </row>
    <row r="57" ht="12.75" customHeight="1">
      <c r="A57" s="2"/>
      <c r="B57" s="2"/>
      <c r="C57" s="2"/>
      <c r="D57" s="3"/>
      <c r="E57" s="3"/>
      <c r="F57" s="3"/>
      <c r="G57" s="3"/>
      <c r="H57" s="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2"/>
      <c r="Y57" s="2"/>
      <c r="Z57" s="2"/>
      <c r="AA57" s="2"/>
      <c r="AB57" s="2"/>
      <c r="AC57" s="2"/>
    </row>
    <row r="58" ht="12.75" customHeight="1">
      <c r="A58" s="2"/>
      <c r="B58" s="2"/>
      <c r="C58" s="2"/>
      <c r="D58" s="3"/>
      <c r="E58" s="3"/>
      <c r="F58" s="3"/>
      <c r="G58" s="3"/>
      <c r="H58" s="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2"/>
      <c r="Y58" s="2"/>
      <c r="Z58" s="2"/>
      <c r="AA58" s="2"/>
      <c r="AB58" s="2"/>
      <c r="AC58" s="2"/>
    </row>
    <row r="59" ht="12.75" customHeight="1">
      <c r="A59" s="2"/>
      <c r="B59" s="2"/>
      <c r="C59" s="2"/>
      <c r="D59" s="3"/>
      <c r="E59" s="3"/>
      <c r="F59" s="3"/>
      <c r="G59" s="3"/>
      <c r="H59" s="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2"/>
      <c r="Y59" s="2"/>
      <c r="Z59" s="2"/>
      <c r="AA59" s="2"/>
      <c r="AB59" s="2"/>
      <c r="AC59" s="2"/>
    </row>
    <row r="60" ht="12.75" customHeight="1">
      <c r="A60" s="2"/>
      <c r="B60" s="2"/>
      <c r="C60" s="2"/>
      <c r="D60" s="3"/>
      <c r="E60" s="3"/>
      <c r="F60" s="3"/>
      <c r="G60" s="3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2"/>
      <c r="Y60" s="2"/>
      <c r="Z60" s="2"/>
      <c r="AA60" s="2"/>
      <c r="AB60" s="2"/>
      <c r="AC60" s="2"/>
    </row>
    <row r="61" ht="12.75" customHeight="1">
      <c r="A61" s="2"/>
      <c r="B61" s="2"/>
      <c r="C61" s="2"/>
      <c r="D61" s="3"/>
      <c r="E61" s="3"/>
      <c r="F61" s="3"/>
      <c r="G61" s="3"/>
      <c r="H61" s="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2"/>
      <c r="Y61" s="2"/>
      <c r="Z61" s="2"/>
      <c r="AA61" s="2"/>
      <c r="AB61" s="2"/>
      <c r="AC61" s="2"/>
    </row>
    <row r="62" ht="12.75" customHeight="1">
      <c r="A62" s="2"/>
      <c r="B62" s="2"/>
      <c r="C62" s="2"/>
      <c r="D62" s="3"/>
      <c r="E62" s="3"/>
      <c r="F62" s="3"/>
      <c r="G62" s="3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2"/>
      <c r="Y62" s="2"/>
      <c r="Z62" s="2"/>
      <c r="AA62" s="2"/>
      <c r="AB62" s="2"/>
      <c r="AC62" s="2"/>
    </row>
    <row r="63" ht="12.75" customHeight="1">
      <c r="A63" s="2"/>
      <c r="B63" s="2"/>
      <c r="C63" s="2"/>
      <c r="D63" s="3"/>
      <c r="E63" s="3"/>
      <c r="F63" s="3"/>
      <c r="G63" s="3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"/>
      <c r="Y63" s="2"/>
      <c r="Z63" s="2"/>
      <c r="AA63" s="2"/>
      <c r="AB63" s="2"/>
      <c r="AC63" s="2"/>
    </row>
    <row r="64" ht="12.75" customHeight="1">
      <c r="A64" s="2"/>
      <c r="B64" s="2"/>
      <c r="C64" s="2"/>
      <c r="D64" s="3"/>
      <c r="E64" s="3"/>
      <c r="F64" s="3"/>
      <c r="G64" s="3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2"/>
      <c r="Y64" s="2"/>
      <c r="Z64" s="2"/>
      <c r="AA64" s="2"/>
      <c r="AB64" s="2"/>
      <c r="AC64" s="2"/>
    </row>
    <row r="65" ht="12.75" customHeight="1">
      <c r="A65" s="2"/>
      <c r="B65" s="2"/>
      <c r="C65" s="2"/>
      <c r="D65" s="3"/>
      <c r="E65" s="3"/>
      <c r="F65" s="3"/>
      <c r="G65" s="3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2"/>
      <c r="Y65" s="2"/>
      <c r="Z65" s="2"/>
      <c r="AA65" s="2"/>
      <c r="AB65" s="2"/>
      <c r="AC65" s="2"/>
    </row>
    <row r="66" ht="12.75" customHeight="1">
      <c r="A66" s="2"/>
      <c r="B66" s="2"/>
      <c r="C66" s="2"/>
      <c r="D66" s="3"/>
      <c r="E66" s="3"/>
      <c r="F66" s="3"/>
      <c r="G66" s="3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2"/>
      <c r="Y66" s="2"/>
      <c r="Z66" s="2"/>
      <c r="AA66" s="2"/>
      <c r="AB66" s="2"/>
      <c r="AC66" s="2"/>
    </row>
    <row r="67" ht="12.75" customHeight="1">
      <c r="A67" s="2"/>
      <c r="B67" s="2"/>
      <c r="C67" s="2"/>
      <c r="D67" s="3"/>
      <c r="E67" s="3"/>
      <c r="F67" s="3"/>
      <c r="G67" s="3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2"/>
      <c r="Y67" s="2"/>
      <c r="Z67" s="2"/>
      <c r="AA67" s="2"/>
      <c r="AB67" s="2"/>
      <c r="AC67" s="2"/>
    </row>
    <row r="68" ht="12.75" customHeight="1">
      <c r="A68" s="2"/>
      <c r="B68" s="2"/>
      <c r="C68" s="2"/>
      <c r="D68" s="3"/>
      <c r="E68" s="3"/>
      <c r="F68" s="3"/>
      <c r="G68" s="3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2"/>
      <c r="Y68" s="2"/>
      <c r="Z68" s="2"/>
      <c r="AA68" s="2"/>
      <c r="AB68" s="2"/>
      <c r="AC68" s="2"/>
    </row>
    <row r="69" ht="12.75" customHeight="1">
      <c r="A69" s="2"/>
      <c r="B69" s="2"/>
      <c r="C69" s="2"/>
      <c r="D69" s="3"/>
      <c r="E69" s="3"/>
      <c r="F69" s="3"/>
      <c r="G69" s="3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2"/>
      <c r="Y69" s="2"/>
      <c r="Z69" s="2"/>
      <c r="AA69" s="2"/>
      <c r="AB69" s="2"/>
      <c r="AC69" s="2"/>
    </row>
    <row r="70" ht="12.75" customHeight="1">
      <c r="A70" s="2"/>
      <c r="B70" s="2"/>
      <c r="C70" s="2"/>
      <c r="D70" s="3"/>
      <c r="E70" s="3"/>
      <c r="F70" s="3"/>
      <c r="G70" s="3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2"/>
      <c r="Y70" s="2"/>
      <c r="Z70" s="2"/>
      <c r="AA70" s="2"/>
      <c r="AB70" s="2"/>
      <c r="AC70" s="2"/>
    </row>
    <row r="71" ht="12.75" customHeight="1">
      <c r="A71" s="2"/>
      <c r="B71" s="2"/>
      <c r="C71" s="2"/>
      <c r="D71" s="3"/>
      <c r="E71" s="3"/>
      <c r="F71" s="3"/>
      <c r="G71" s="3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2"/>
      <c r="Y71" s="2"/>
      <c r="Z71" s="2"/>
      <c r="AA71" s="2"/>
      <c r="AB71" s="2"/>
      <c r="AC71" s="2"/>
    </row>
    <row r="72" ht="12.75" customHeight="1">
      <c r="A72" s="2"/>
      <c r="B72" s="2"/>
      <c r="C72" s="2"/>
      <c r="D72" s="3"/>
      <c r="E72" s="3"/>
      <c r="F72" s="3"/>
      <c r="G72" s="3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2"/>
      <c r="Y72" s="2"/>
      <c r="Z72" s="2"/>
      <c r="AA72" s="2"/>
      <c r="AB72" s="2"/>
      <c r="AC72" s="2"/>
    </row>
    <row r="73" ht="12.75" customHeight="1">
      <c r="A73" s="2"/>
      <c r="B73" s="2"/>
      <c r="C73" s="2"/>
      <c r="D73" s="3"/>
      <c r="E73" s="3"/>
      <c r="F73" s="3"/>
      <c r="G73" s="3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2"/>
      <c r="Y73" s="2"/>
      <c r="Z73" s="2"/>
      <c r="AA73" s="2"/>
      <c r="AB73" s="2"/>
      <c r="AC73" s="2"/>
    </row>
    <row r="74" ht="12.75" customHeight="1">
      <c r="A74" s="2"/>
      <c r="B74" s="2"/>
      <c r="C74" s="2"/>
      <c r="D74" s="3"/>
      <c r="E74" s="3"/>
      <c r="F74" s="3"/>
      <c r="G74" s="3"/>
      <c r="H74" s="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2"/>
      <c r="Y74" s="2"/>
      <c r="Z74" s="2"/>
      <c r="AA74" s="2"/>
      <c r="AB74" s="2"/>
      <c r="AC74" s="2"/>
    </row>
    <row r="75" ht="12.75" customHeight="1">
      <c r="A75" s="2"/>
      <c r="B75" s="2"/>
      <c r="C75" s="2"/>
      <c r="D75" s="3"/>
      <c r="E75" s="3"/>
      <c r="F75" s="3"/>
      <c r="G75" s="3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2"/>
      <c r="Y75" s="2"/>
      <c r="Z75" s="2"/>
      <c r="AA75" s="2"/>
      <c r="AB75" s="2"/>
      <c r="AC75" s="2"/>
    </row>
    <row r="76" ht="12.75" customHeight="1">
      <c r="A76" s="2"/>
      <c r="B76" s="2"/>
      <c r="C76" s="2"/>
      <c r="D76" s="3"/>
      <c r="E76" s="3"/>
      <c r="F76" s="3"/>
      <c r="G76" s="3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2"/>
      <c r="Y76" s="2"/>
      <c r="Z76" s="2"/>
      <c r="AA76" s="2"/>
      <c r="AB76" s="2"/>
      <c r="AC76" s="2"/>
    </row>
    <row r="77" ht="12.75" customHeight="1">
      <c r="A77" s="2"/>
      <c r="B77" s="2"/>
      <c r="C77" s="2"/>
      <c r="D77" s="3"/>
      <c r="E77" s="3"/>
      <c r="F77" s="3"/>
      <c r="G77" s="3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2"/>
      <c r="Y77" s="2"/>
      <c r="Z77" s="2"/>
      <c r="AA77" s="2"/>
      <c r="AB77" s="2"/>
      <c r="AC77" s="2"/>
    </row>
    <row r="78" ht="12.75" customHeight="1">
      <c r="A78" s="2"/>
      <c r="B78" s="2"/>
      <c r="C78" s="2"/>
      <c r="D78" s="3"/>
      <c r="E78" s="3"/>
      <c r="F78" s="3"/>
      <c r="G78" s="3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2"/>
      <c r="Y78" s="2"/>
      <c r="Z78" s="2"/>
      <c r="AA78" s="2"/>
      <c r="AB78" s="2"/>
      <c r="AC78" s="2"/>
    </row>
    <row r="79" ht="12.75" customHeight="1">
      <c r="A79" s="2"/>
      <c r="B79" s="2"/>
      <c r="C79" s="2"/>
      <c r="D79" s="3"/>
      <c r="E79" s="3"/>
      <c r="F79" s="3"/>
      <c r="G79" s="3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2"/>
      <c r="Y79" s="2"/>
      <c r="Z79" s="2"/>
      <c r="AA79" s="2"/>
      <c r="AB79" s="2"/>
      <c r="AC79" s="2"/>
    </row>
    <row r="80" ht="12.75" customHeight="1">
      <c r="A80" s="2"/>
      <c r="B80" s="2"/>
      <c r="C80" s="2"/>
      <c r="D80" s="3"/>
      <c r="E80" s="3"/>
      <c r="F80" s="3"/>
      <c r="G80" s="3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2"/>
      <c r="Y80" s="2"/>
      <c r="Z80" s="2"/>
      <c r="AA80" s="2"/>
      <c r="AB80" s="2"/>
      <c r="AC80" s="2"/>
    </row>
    <row r="81" ht="12.75" customHeight="1">
      <c r="A81" s="2"/>
      <c r="B81" s="2"/>
      <c r="C81" s="2"/>
      <c r="D81" s="3"/>
      <c r="E81" s="3"/>
      <c r="F81" s="3"/>
      <c r="G81" s="3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2"/>
      <c r="Y81" s="2"/>
      <c r="Z81" s="2"/>
      <c r="AA81" s="2"/>
      <c r="AB81" s="2"/>
      <c r="AC81" s="2"/>
    </row>
    <row r="82" ht="12.75" customHeight="1">
      <c r="A82" s="2"/>
      <c r="B82" s="2"/>
      <c r="C82" s="2"/>
      <c r="D82" s="3"/>
      <c r="E82" s="3"/>
      <c r="F82" s="3"/>
      <c r="G82" s="3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2"/>
      <c r="Y82" s="2"/>
      <c r="Z82" s="2"/>
      <c r="AA82" s="2"/>
      <c r="AB82" s="2"/>
      <c r="AC82" s="2"/>
    </row>
    <row r="83" ht="12.75" customHeight="1">
      <c r="A83" s="2"/>
      <c r="B83" s="2"/>
      <c r="C83" s="2"/>
      <c r="D83" s="3"/>
      <c r="E83" s="3"/>
      <c r="F83" s="3"/>
      <c r="G83" s="3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2"/>
      <c r="Y83" s="2"/>
      <c r="Z83" s="2"/>
      <c r="AA83" s="2"/>
      <c r="AB83" s="2"/>
      <c r="AC83" s="2"/>
    </row>
    <row r="84" ht="12.75" customHeight="1">
      <c r="A84" s="2"/>
      <c r="B84" s="2"/>
      <c r="C84" s="2"/>
      <c r="D84" s="3"/>
      <c r="E84" s="3"/>
      <c r="F84" s="3"/>
      <c r="G84" s="3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2"/>
      <c r="Y84" s="2"/>
      <c r="Z84" s="2"/>
      <c r="AA84" s="2"/>
      <c r="AB84" s="2"/>
      <c r="AC84" s="2"/>
    </row>
    <row r="85" ht="12.75" customHeight="1">
      <c r="A85" s="2"/>
      <c r="B85" s="2"/>
      <c r="C85" s="2"/>
      <c r="D85" s="3"/>
      <c r="E85" s="3"/>
      <c r="F85" s="3"/>
      <c r="G85" s="3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2"/>
      <c r="Y85" s="2"/>
      <c r="Z85" s="2"/>
      <c r="AA85" s="2"/>
      <c r="AB85" s="2"/>
      <c r="AC85" s="2"/>
    </row>
    <row r="86" ht="12.75" customHeight="1">
      <c r="A86" s="2"/>
      <c r="B86" s="2"/>
      <c r="C86" s="2"/>
      <c r="D86" s="3"/>
      <c r="E86" s="3"/>
      <c r="F86" s="3"/>
      <c r="G86" s="3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2"/>
      <c r="Y86" s="2"/>
      <c r="Z86" s="2"/>
      <c r="AA86" s="2"/>
      <c r="AB86" s="2"/>
      <c r="AC86" s="2"/>
    </row>
    <row r="87" ht="12.75" customHeight="1">
      <c r="A87" s="2"/>
      <c r="B87" s="2"/>
      <c r="C87" s="2"/>
      <c r="D87" s="3"/>
      <c r="E87" s="3"/>
      <c r="F87" s="3"/>
      <c r="G87" s="3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2"/>
      <c r="Y87" s="2"/>
      <c r="Z87" s="2"/>
      <c r="AA87" s="2"/>
      <c r="AB87" s="2"/>
      <c r="AC87" s="2"/>
    </row>
    <row r="88" ht="12.75" customHeight="1">
      <c r="A88" s="2"/>
      <c r="B88" s="2"/>
      <c r="C88" s="2"/>
      <c r="D88" s="3"/>
      <c r="E88" s="3"/>
      <c r="F88" s="3"/>
      <c r="G88" s="3"/>
      <c r="H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2"/>
      <c r="Y88" s="2"/>
      <c r="Z88" s="2"/>
      <c r="AA88" s="2"/>
      <c r="AB88" s="2"/>
      <c r="AC88" s="2"/>
    </row>
    <row r="89" ht="12.75" customHeight="1">
      <c r="A89" s="2"/>
      <c r="B89" s="2"/>
      <c r="C89" s="2"/>
      <c r="D89" s="3"/>
      <c r="E89" s="3"/>
      <c r="F89" s="3"/>
      <c r="G89" s="3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2"/>
      <c r="Y89" s="2"/>
      <c r="Z89" s="2"/>
      <c r="AA89" s="2"/>
      <c r="AB89" s="2"/>
      <c r="AC89" s="2"/>
    </row>
    <row r="90" ht="12.75" customHeight="1">
      <c r="A90" s="2"/>
      <c r="B90" s="2"/>
      <c r="C90" s="2"/>
      <c r="D90" s="3"/>
      <c r="E90" s="3"/>
      <c r="F90" s="3"/>
      <c r="G90" s="3"/>
      <c r="H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2"/>
      <c r="Y90" s="2"/>
      <c r="Z90" s="2"/>
      <c r="AA90" s="2"/>
      <c r="AB90" s="2"/>
      <c r="AC90" s="2"/>
    </row>
    <row r="91" ht="12.75" customHeight="1">
      <c r="A91" s="2"/>
      <c r="B91" s="2"/>
      <c r="C91" s="2"/>
      <c r="D91" s="3"/>
      <c r="E91" s="3"/>
      <c r="F91" s="3"/>
      <c r="G91" s="3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2"/>
      <c r="Y91" s="2"/>
      <c r="Z91" s="2"/>
      <c r="AA91" s="2"/>
      <c r="AB91" s="2"/>
      <c r="AC91" s="2"/>
    </row>
    <row r="92" ht="12.75" customHeight="1">
      <c r="A92" s="2"/>
      <c r="B92" s="2"/>
      <c r="C92" s="2"/>
      <c r="D92" s="3"/>
      <c r="E92" s="3"/>
      <c r="F92" s="3"/>
      <c r="G92" s="3"/>
      <c r="H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2"/>
      <c r="Y92" s="2"/>
      <c r="Z92" s="2"/>
      <c r="AA92" s="2"/>
      <c r="AB92" s="2"/>
      <c r="AC92" s="2"/>
    </row>
    <row r="93" ht="12.75" customHeight="1">
      <c r="A93" s="2"/>
      <c r="B93" s="2"/>
      <c r="C93" s="2"/>
      <c r="D93" s="3"/>
      <c r="E93" s="3"/>
      <c r="F93" s="3"/>
      <c r="G93" s="3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2"/>
      <c r="Y93" s="2"/>
      <c r="Z93" s="2"/>
      <c r="AA93" s="2"/>
      <c r="AB93" s="2"/>
      <c r="AC93" s="2"/>
    </row>
    <row r="94" ht="12.75" customHeight="1">
      <c r="A94" s="2"/>
      <c r="B94" s="2"/>
      <c r="C94" s="2"/>
      <c r="D94" s="3"/>
      <c r="E94" s="3"/>
      <c r="F94" s="3"/>
      <c r="G94" s="3"/>
      <c r="H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2"/>
      <c r="Y94" s="2"/>
      <c r="Z94" s="2"/>
      <c r="AA94" s="2"/>
      <c r="AB94" s="2"/>
      <c r="AC94" s="2"/>
    </row>
    <row r="95" ht="12.75" customHeight="1">
      <c r="A95" s="2"/>
      <c r="B95" s="2"/>
      <c r="C95" s="2"/>
      <c r="D95" s="3"/>
      <c r="E95" s="3"/>
      <c r="F95" s="3"/>
      <c r="G95" s="3"/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2"/>
      <c r="Y95" s="2"/>
      <c r="Z95" s="2"/>
      <c r="AA95" s="2"/>
      <c r="AB95" s="2"/>
      <c r="AC95" s="2"/>
    </row>
    <row r="96" ht="12.75" customHeight="1">
      <c r="A96" s="2"/>
      <c r="B96" s="2"/>
      <c r="C96" s="2"/>
      <c r="D96" s="3"/>
      <c r="E96" s="3"/>
      <c r="F96" s="3"/>
      <c r="G96" s="3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2"/>
      <c r="Y96" s="2"/>
      <c r="Z96" s="2"/>
      <c r="AA96" s="2"/>
      <c r="AB96" s="2"/>
      <c r="AC96" s="2"/>
    </row>
    <row r="97" ht="12.75" customHeight="1">
      <c r="A97" s="2"/>
      <c r="B97" s="2"/>
      <c r="C97" s="2"/>
      <c r="D97" s="3"/>
      <c r="E97" s="3"/>
      <c r="F97" s="3"/>
      <c r="G97" s="3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2"/>
      <c r="Y97" s="2"/>
      <c r="Z97" s="2"/>
      <c r="AA97" s="2"/>
      <c r="AB97" s="2"/>
      <c r="AC97" s="2"/>
    </row>
    <row r="98" ht="12.75" customHeight="1">
      <c r="A98" s="2"/>
      <c r="B98" s="2"/>
      <c r="C98" s="2"/>
      <c r="D98" s="3"/>
      <c r="E98" s="3"/>
      <c r="F98" s="3"/>
      <c r="G98" s="3"/>
      <c r="H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2"/>
      <c r="Y98" s="2"/>
      <c r="Z98" s="2"/>
      <c r="AA98" s="2"/>
      <c r="AB98" s="2"/>
      <c r="AC98" s="2"/>
    </row>
    <row r="99" ht="12.75" customHeight="1">
      <c r="A99" s="2"/>
      <c r="B99" s="2"/>
      <c r="C99" s="2"/>
      <c r="D99" s="3"/>
      <c r="E99" s="3"/>
      <c r="F99" s="3"/>
      <c r="G99" s="3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2"/>
      <c r="Y99" s="2"/>
      <c r="Z99" s="2"/>
      <c r="AA99" s="2"/>
      <c r="AB99" s="2"/>
      <c r="AC99" s="2"/>
    </row>
    <row r="100" ht="12.75" customHeight="1">
      <c r="A100" s="2"/>
      <c r="B100" s="2"/>
      <c r="C100" s="2"/>
      <c r="D100" s="3"/>
      <c r="E100" s="3"/>
      <c r="F100" s="3"/>
      <c r="G100" s="3"/>
      <c r="H100" s="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2"/>
      <c r="Y100" s="2"/>
      <c r="Z100" s="2"/>
      <c r="AA100" s="2"/>
      <c r="AB100" s="2"/>
      <c r="AC100" s="2"/>
    </row>
    <row r="101" ht="12.75" customHeight="1">
      <c r="A101" s="2"/>
      <c r="B101" s="2"/>
      <c r="C101" s="2"/>
      <c r="D101" s="3"/>
      <c r="E101" s="3"/>
      <c r="F101" s="3"/>
      <c r="G101" s="3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2"/>
      <c r="Y101" s="2"/>
      <c r="Z101" s="2"/>
      <c r="AA101" s="2"/>
      <c r="AB101" s="2"/>
      <c r="AC101" s="2"/>
    </row>
    <row r="102" ht="12.75" customHeight="1">
      <c r="A102" s="2"/>
      <c r="B102" s="2"/>
      <c r="C102" s="2"/>
      <c r="D102" s="3"/>
      <c r="E102" s="3"/>
      <c r="F102" s="3"/>
      <c r="G102" s="3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2"/>
      <c r="Y102" s="2"/>
      <c r="Z102" s="2"/>
      <c r="AA102" s="2"/>
      <c r="AB102" s="2"/>
      <c r="AC102" s="2"/>
    </row>
    <row r="103" ht="12.75" customHeight="1">
      <c r="A103" s="2"/>
      <c r="B103" s="2"/>
      <c r="C103" s="2"/>
      <c r="D103" s="3"/>
      <c r="E103" s="3"/>
      <c r="F103" s="3"/>
      <c r="G103" s="3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2"/>
      <c r="Y103" s="2"/>
      <c r="Z103" s="2"/>
      <c r="AA103" s="2"/>
      <c r="AB103" s="2"/>
      <c r="AC103" s="2"/>
    </row>
    <row r="104" ht="12.75" customHeight="1">
      <c r="A104" s="2"/>
      <c r="B104" s="2"/>
      <c r="C104" s="2"/>
      <c r="D104" s="3"/>
      <c r="E104" s="3"/>
      <c r="F104" s="3"/>
      <c r="G104" s="3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2"/>
      <c r="Y104" s="2"/>
      <c r="Z104" s="2"/>
      <c r="AA104" s="2"/>
      <c r="AB104" s="2"/>
      <c r="AC104" s="2"/>
    </row>
    <row r="105" ht="12.75" customHeight="1">
      <c r="A105" s="2"/>
      <c r="B105" s="2"/>
      <c r="C105" s="2"/>
      <c r="D105" s="3"/>
      <c r="E105" s="3"/>
      <c r="F105" s="3"/>
      <c r="G105" s="3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2"/>
      <c r="Y105" s="2"/>
      <c r="Z105" s="2"/>
      <c r="AA105" s="2"/>
      <c r="AB105" s="2"/>
      <c r="AC105" s="2"/>
    </row>
    <row r="106" ht="12.75" customHeight="1">
      <c r="A106" s="2"/>
      <c r="B106" s="2"/>
      <c r="C106" s="2"/>
      <c r="D106" s="3"/>
      <c r="E106" s="3"/>
      <c r="F106" s="3"/>
      <c r="G106" s="3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2"/>
      <c r="Y106" s="2"/>
      <c r="Z106" s="2"/>
      <c r="AA106" s="2"/>
      <c r="AB106" s="2"/>
      <c r="AC106" s="2"/>
    </row>
    <row r="107" ht="12.75" customHeight="1">
      <c r="A107" s="2"/>
      <c r="B107" s="2"/>
      <c r="C107" s="2"/>
      <c r="D107" s="3"/>
      <c r="E107" s="3"/>
      <c r="F107" s="3"/>
      <c r="G107" s="3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2"/>
      <c r="Y107" s="2"/>
      <c r="Z107" s="2"/>
      <c r="AA107" s="2"/>
      <c r="AB107" s="2"/>
      <c r="AC107" s="2"/>
    </row>
    <row r="108" ht="12.75" customHeight="1">
      <c r="A108" s="2"/>
      <c r="B108" s="2"/>
      <c r="C108" s="2"/>
      <c r="D108" s="3"/>
      <c r="E108" s="3"/>
      <c r="F108" s="3"/>
      <c r="G108" s="3"/>
      <c r="H108" s="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2"/>
      <c r="Y108" s="2"/>
      <c r="Z108" s="2"/>
      <c r="AA108" s="2"/>
      <c r="AB108" s="2"/>
      <c r="AC108" s="2"/>
    </row>
    <row r="109" ht="12.75" customHeight="1">
      <c r="A109" s="2"/>
      <c r="B109" s="2"/>
      <c r="C109" s="2"/>
      <c r="D109" s="3"/>
      <c r="E109" s="3"/>
      <c r="F109" s="3"/>
      <c r="G109" s="3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2"/>
      <c r="Y109" s="2"/>
      <c r="Z109" s="2"/>
      <c r="AA109" s="2"/>
      <c r="AB109" s="2"/>
      <c r="AC109" s="2"/>
    </row>
    <row r="110" ht="12.75" customHeight="1">
      <c r="A110" s="2"/>
      <c r="B110" s="2"/>
      <c r="C110" s="2"/>
      <c r="D110" s="3"/>
      <c r="E110" s="3"/>
      <c r="F110" s="3"/>
      <c r="G110" s="3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2"/>
      <c r="Y110" s="2"/>
      <c r="Z110" s="2"/>
      <c r="AA110" s="2"/>
      <c r="AB110" s="2"/>
      <c r="AC110" s="2"/>
    </row>
    <row r="111" ht="12.75" customHeight="1">
      <c r="A111" s="2"/>
      <c r="B111" s="2"/>
      <c r="C111" s="2"/>
      <c r="D111" s="3"/>
      <c r="E111" s="3"/>
      <c r="F111" s="3"/>
      <c r="G111" s="3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2"/>
      <c r="Y111" s="2"/>
      <c r="Z111" s="2"/>
      <c r="AA111" s="2"/>
      <c r="AB111" s="2"/>
      <c r="AC111" s="2"/>
    </row>
    <row r="112" ht="12.75" customHeight="1">
      <c r="A112" s="2"/>
      <c r="B112" s="2"/>
      <c r="C112" s="2"/>
      <c r="D112" s="3"/>
      <c r="E112" s="3"/>
      <c r="F112" s="3"/>
      <c r="G112" s="3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2"/>
      <c r="Y112" s="2"/>
      <c r="Z112" s="2"/>
      <c r="AA112" s="2"/>
      <c r="AB112" s="2"/>
      <c r="AC112" s="2"/>
    </row>
    <row r="113" ht="12.75" customHeight="1">
      <c r="A113" s="2"/>
      <c r="B113" s="2"/>
      <c r="C113" s="2"/>
      <c r="D113" s="3"/>
      <c r="E113" s="3"/>
      <c r="F113" s="3"/>
      <c r="G113" s="3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2"/>
      <c r="Y113" s="2"/>
      <c r="Z113" s="2"/>
      <c r="AA113" s="2"/>
      <c r="AB113" s="2"/>
      <c r="AC113" s="2"/>
    </row>
    <row r="114" ht="12.75" customHeight="1">
      <c r="A114" s="2"/>
      <c r="B114" s="2"/>
      <c r="C114" s="2"/>
      <c r="D114" s="3"/>
      <c r="E114" s="3"/>
      <c r="F114" s="3"/>
      <c r="G114" s="3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2"/>
      <c r="Y114" s="2"/>
      <c r="Z114" s="2"/>
      <c r="AA114" s="2"/>
      <c r="AB114" s="2"/>
      <c r="AC114" s="2"/>
    </row>
    <row r="115" ht="12.75" customHeight="1">
      <c r="A115" s="2"/>
      <c r="B115" s="2"/>
      <c r="C115" s="2"/>
      <c r="D115" s="3"/>
      <c r="E115" s="3"/>
      <c r="F115" s="3"/>
      <c r="G115" s="3"/>
      <c r="H115" s="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2"/>
      <c r="Y115" s="2"/>
      <c r="Z115" s="2"/>
      <c r="AA115" s="2"/>
      <c r="AB115" s="2"/>
      <c r="AC115" s="2"/>
    </row>
    <row r="116" ht="12.75" customHeight="1">
      <c r="A116" s="2"/>
      <c r="B116" s="2"/>
      <c r="C116" s="2"/>
      <c r="D116" s="3"/>
      <c r="E116" s="3"/>
      <c r="F116" s="3"/>
      <c r="G116" s="3"/>
      <c r="H116" s="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2"/>
      <c r="Y116" s="2"/>
      <c r="Z116" s="2"/>
      <c r="AA116" s="2"/>
      <c r="AB116" s="2"/>
      <c r="AC116" s="2"/>
    </row>
    <row r="117" ht="12.75" customHeight="1">
      <c r="A117" s="2"/>
      <c r="B117" s="2"/>
      <c r="C117" s="2"/>
      <c r="D117" s="3"/>
      <c r="E117" s="3"/>
      <c r="F117" s="3"/>
      <c r="G117" s="3"/>
      <c r="H117" s="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2"/>
      <c r="Y117" s="2"/>
      <c r="Z117" s="2"/>
      <c r="AA117" s="2"/>
      <c r="AB117" s="2"/>
      <c r="AC117" s="2"/>
    </row>
    <row r="118" ht="12.75" customHeight="1">
      <c r="A118" s="2"/>
      <c r="B118" s="2"/>
      <c r="C118" s="2"/>
      <c r="D118" s="3"/>
      <c r="E118" s="3"/>
      <c r="F118" s="3"/>
      <c r="G118" s="3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2"/>
      <c r="Y118" s="2"/>
      <c r="Z118" s="2"/>
      <c r="AA118" s="2"/>
      <c r="AB118" s="2"/>
      <c r="AC118" s="2"/>
    </row>
    <row r="119" ht="12.75" customHeight="1">
      <c r="A119" s="2"/>
      <c r="B119" s="2"/>
      <c r="C119" s="2"/>
      <c r="D119" s="3"/>
      <c r="E119" s="3"/>
      <c r="F119" s="3"/>
      <c r="G119" s="3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2"/>
      <c r="Y119" s="2"/>
      <c r="Z119" s="2"/>
      <c r="AA119" s="2"/>
      <c r="AB119" s="2"/>
      <c r="AC119" s="2"/>
    </row>
    <row r="120" ht="12.75" customHeight="1">
      <c r="A120" s="2"/>
      <c r="B120" s="2"/>
      <c r="C120" s="2"/>
      <c r="D120" s="3"/>
      <c r="E120" s="3"/>
      <c r="F120" s="3"/>
      <c r="G120" s="3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2"/>
      <c r="Y120" s="2"/>
      <c r="Z120" s="2"/>
      <c r="AA120" s="2"/>
      <c r="AB120" s="2"/>
      <c r="AC120" s="2"/>
    </row>
    <row r="121" ht="12.75" customHeight="1">
      <c r="A121" s="2"/>
      <c r="B121" s="2"/>
      <c r="C121" s="2"/>
      <c r="D121" s="3"/>
      <c r="E121" s="3"/>
      <c r="F121" s="3"/>
      <c r="G121" s="3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2"/>
      <c r="Y121" s="2"/>
      <c r="Z121" s="2"/>
      <c r="AA121" s="2"/>
      <c r="AB121" s="2"/>
      <c r="AC121" s="2"/>
    </row>
    <row r="122" ht="12.75" customHeight="1">
      <c r="A122" s="2"/>
      <c r="B122" s="2"/>
      <c r="C122" s="2"/>
      <c r="D122" s="3"/>
      <c r="E122" s="3"/>
      <c r="F122" s="3"/>
      <c r="G122" s="3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2"/>
      <c r="Y122" s="2"/>
      <c r="Z122" s="2"/>
      <c r="AA122" s="2"/>
      <c r="AB122" s="2"/>
      <c r="AC122" s="2"/>
    </row>
    <row r="123" ht="12.75" customHeight="1">
      <c r="A123" s="2"/>
      <c r="B123" s="2"/>
      <c r="C123" s="2"/>
      <c r="D123" s="3"/>
      <c r="E123" s="3"/>
      <c r="F123" s="3"/>
      <c r="G123" s="3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2"/>
      <c r="Y123" s="2"/>
      <c r="Z123" s="2"/>
      <c r="AA123" s="2"/>
      <c r="AB123" s="2"/>
      <c r="AC123" s="2"/>
    </row>
    <row r="124" ht="12.75" customHeight="1">
      <c r="A124" s="2"/>
      <c r="B124" s="2"/>
      <c r="C124" s="2"/>
      <c r="D124" s="3"/>
      <c r="E124" s="3"/>
      <c r="F124" s="3"/>
      <c r="G124" s="3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2"/>
      <c r="Y124" s="2"/>
      <c r="Z124" s="2"/>
      <c r="AA124" s="2"/>
      <c r="AB124" s="2"/>
      <c r="AC124" s="2"/>
    </row>
    <row r="125" ht="12.75" customHeight="1">
      <c r="A125" s="2"/>
      <c r="B125" s="2"/>
      <c r="C125" s="2"/>
      <c r="D125" s="3"/>
      <c r="E125" s="3"/>
      <c r="F125" s="3"/>
      <c r="G125" s="3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2"/>
      <c r="Y125" s="2"/>
      <c r="Z125" s="2"/>
      <c r="AA125" s="2"/>
      <c r="AB125" s="2"/>
      <c r="AC125" s="2"/>
    </row>
    <row r="126" ht="12.75" customHeight="1">
      <c r="A126" s="2"/>
      <c r="B126" s="2"/>
      <c r="C126" s="2"/>
      <c r="D126" s="3"/>
      <c r="E126" s="3"/>
      <c r="F126" s="3"/>
      <c r="G126" s="3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2"/>
      <c r="Y126" s="2"/>
      <c r="Z126" s="2"/>
      <c r="AA126" s="2"/>
      <c r="AB126" s="2"/>
      <c r="AC126" s="2"/>
    </row>
    <row r="127" ht="12.75" customHeight="1">
      <c r="A127" s="2"/>
      <c r="B127" s="2"/>
      <c r="C127" s="2"/>
      <c r="D127" s="3"/>
      <c r="E127" s="3"/>
      <c r="F127" s="3"/>
      <c r="G127" s="3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2"/>
      <c r="Y127" s="2"/>
      <c r="Z127" s="2"/>
      <c r="AA127" s="2"/>
      <c r="AB127" s="2"/>
      <c r="AC127" s="2"/>
    </row>
    <row r="128" ht="12.75" customHeight="1">
      <c r="A128" s="2"/>
      <c r="B128" s="2"/>
      <c r="C128" s="2"/>
      <c r="D128" s="3"/>
      <c r="E128" s="3"/>
      <c r="F128" s="3"/>
      <c r="G128" s="3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2"/>
      <c r="Y128" s="2"/>
      <c r="Z128" s="2"/>
      <c r="AA128" s="2"/>
      <c r="AB128" s="2"/>
      <c r="AC128" s="2"/>
    </row>
    <row r="129" ht="12.75" customHeight="1">
      <c r="A129" s="2"/>
      <c r="B129" s="2"/>
      <c r="C129" s="2"/>
      <c r="D129" s="3"/>
      <c r="E129" s="3"/>
      <c r="F129" s="3"/>
      <c r="G129" s="3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2"/>
      <c r="Y129" s="2"/>
      <c r="Z129" s="2"/>
      <c r="AA129" s="2"/>
      <c r="AB129" s="2"/>
      <c r="AC129" s="2"/>
    </row>
    <row r="130" ht="12.75" customHeight="1">
      <c r="A130" s="2"/>
      <c r="B130" s="2"/>
      <c r="C130" s="2"/>
      <c r="D130" s="3"/>
      <c r="E130" s="3"/>
      <c r="F130" s="3"/>
      <c r="G130" s="3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2"/>
      <c r="Y130" s="2"/>
      <c r="Z130" s="2"/>
      <c r="AA130" s="2"/>
      <c r="AB130" s="2"/>
      <c r="AC130" s="2"/>
    </row>
    <row r="131" ht="12.75" customHeight="1">
      <c r="A131" s="2"/>
      <c r="B131" s="2"/>
      <c r="C131" s="2"/>
      <c r="D131" s="3"/>
      <c r="E131" s="3"/>
      <c r="F131" s="3"/>
      <c r="G131" s="3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2"/>
      <c r="Y131" s="2"/>
      <c r="Z131" s="2"/>
      <c r="AA131" s="2"/>
      <c r="AB131" s="2"/>
      <c r="AC131" s="2"/>
    </row>
    <row r="132" ht="12.75" customHeight="1">
      <c r="A132" s="2"/>
      <c r="B132" s="2"/>
      <c r="C132" s="2"/>
      <c r="D132" s="3"/>
      <c r="E132" s="3"/>
      <c r="F132" s="3"/>
      <c r="G132" s="3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2"/>
      <c r="Y132" s="2"/>
      <c r="Z132" s="2"/>
      <c r="AA132" s="2"/>
      <c r="AB132" s="2"/>
      <c r="AC132" s="2"/>
    </row>
    <row r="133" ht="12.75" customHeight="1">
      <c r="A133" s="2"/>
      <c r="B133" s="2"/>
      <c r="C133" s="2"/>
      <c r="D133" s="3"/>
      <c r="E133" s="3"/>
      <c r="F133" s="3"/>
      <c r="G133" s="3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2"/>
      <c r="Y133" s="2"/>
      <c r="Z133" s="2"/>
      <c r="AA133" s="2"/>
      <c r="AB133" s="2"/>
      <c r="AC133" s="2"/>
    </row>
    <row r="134" ht="12.75" customHeight="1">
      <c r="A134" s="2"/>
      <c r="B134" s="2"/>
      <c r="C134" s="2"/>
      <c r="D134" s="3"/>
      <c r="E134" s="3"/>
      <c r="F134" s="3"/>
      <c r="G134" s="3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2"/>
      <c r="Y134" s="2"/>
      <c r="Z134" s="2"/>
      <c r="AA134" s="2"/>
      <c r="AB134" s="2"/>
      <c r="AC134" s="2"/>
    </row>
    <row r="135" ht="12.75" customHeight="1">
      <c r="A135" s="2"/>
      <c r="B135" s="2"/>
      <c r="C135" s="2"/>
      <c r="D135" s="3"/>
      <c r="E135" s="3"/>
      <c r="F135" s="3"/>
      <c r="G135" s="3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2"/>
      <c r="Y135" s="2"/>
      <c r="Z135" s="2"/>
      <c r="AA135" s="2"/>
      <c r="AB135" s="2"/>
      <c r="AC135" s="2"/>
    </row>
    <row r="136" ht="12.75" customHeight="1">
      <c r="A136" s="2"/>
      <c r="B136" s="2"/>
      <c r="C136" s="2"/>
      <c r="D136" s="3"/>
      <c r="E136" s="3"/>
      <c r="F136" s="3"/>
      <c r="G136" s="3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2"/>
      <c r="Y136" s="2"/>
      <c r="Z136" s="2"/>
      <c r="AA136" s="2"/>
      <c r="AB136" s="2"/>
      <c r="AC136" s="2"/>
    </row>
    <row r="137" ht="12.75" customHeight="1">
      <c r="A137" s="2"/>
      <c r="B137" s="2"/>
      <c r="C137" s="2"/>
      <c r="D137" s="3"/>
      <c r="E137" s="3"/>
      <c r="F137" s="3"/>
      <c r="G137" s="3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2"/>
      <c r="Y137" s="2"/>
      <c r="Z137" s="2"/>
      <c r="AA137" s="2"/>
      <c r="AB137" s="2"/>
      <c r="AC137" s="2"/>
    </row>
    <row r="138" ht="12.75" customHeight="1">
      <c r="A138" s="2"/>
      <c r="B138" s="2"/>
      <c r="C138" s="2"/>
      <c r="D138" s="3"/>
      <c r="E138" s="3"/>
      <c r="F138" s="3"/>
      <c r="G138" s="3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2"/>
      <c r="Y138" s="2"/>
      <c r="Z138" s="2"/>
      <c r="AA138" s="2"/>
      <c r="AB138" s="2"/>
      <c r="AC138" s="2"/>
    </row>
    <row r="139" ht="12.75" customHeight="1">
      <c r="A139" s="2"/>
      <c r="B139" s="2"/>
      <c r="C139" s="2"/>
      <c r="D139" s="3"/>
      <c r="E139" s="3"/>
      <c r="F139" s="3"/>
      <c r="G139" s="3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2"/>
      <c r="Y139" s="2"/>
      <c r="Z139" s="2"/>
      <c r="AA139" s="2"/>
      <c r="AB139" s="2"/>
      <c r="AC139" s="2"/>
    </row>
    <row r="140" ht="12.75" customHeight="1">
      <c r="A140" s="2"/>
      <c r="B140" s="2"/>
      <c r="C140" s="2"/>
      <c r="D140" s="3"/>
      <c r="E140" s="3"/>
      <c r="F140" s="3"/>
      <c r="G140" s="3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2"/>
      <c r="Y140" s="2"/>
      <c r="Z140" s="2"/>
      <c r="AA140" s="2"/>
      <c r="AB140" s="2"/>
      <c r="AC140" s="2"/>
    </row>
    <row r="141" ht="12.75" customHeight="1">
      <c r="A141" s="2"/>
      <c r="B141" s="2"/>
      <c r="C141" s="2"/>
      <c r="D141" s="3"/>
      <c r="E141" s="3"/>
      <c r="F141" s="3"/>
      <c r="G141" s="3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2"/>
      <c r="Y141" s="2"/>
      <c r="Z141" s="2"/>
      <c r="AA141" s="2"/>
      <c r="AB141" s="2"/>
      <c r="AC141" s="2"/>
    </row>
    <row r="142" ht="12.75" customHeight="1">
      <c r="A142" s="2"/>
      <c r="B142" s="2"/>
      <c r="C142" s="2"/>
      <c r="D142" s="3"/>
      <c r="E142" s="3"/>
      <c r="F142" s="3"/>
      <c r="G142" s="3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2"/>
      <c r="Y142" s="2"/>
      <c r="Z142" s="2"/>
      <c r="AA142" s="2"/>
      <c r="AB142" s="2"/>
      <c r="AC142" s="2"/>
    </row>
    <row r="143" ht="12.75" customHeight="1">
      <c r="A143" s="2"/>
      <c r="B143" s="2"/>
      <c r="C143" s="2"/>
      <c r="D143" s="3"/>
      <c r="E143" s="3"/>
      <c r="F143" s="3"/>
      <c r="G143" s="3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2"/>
      <c r="Y143" s="2"/>
      <c r="Z143" s="2"/>
      <c r="AA143" s="2"/>
      <c r="AB143" s="2"/>
      <c r="AC143" s="2"/>
    </row>
    <row r="144" ht="12.75" customHeight="1">
      <c r="A144" s="2"/>
      <c r="B144" s="2"/>
      <c r="C144" s="2"/>
      <c r="D144" s="3"/>
      <c r="E144" s="3"/>
      <c r="F144" s="3"/>
      <c r="G144" s="3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2"/>
      <c r="Y144" s="2"/>
      <c r="Z144" s="2"/>
      <c r="AA144" s="2"/>
      <c r="AB144" s="2"/>
      <c r="AC144" s="2"/>
    </row>
    <row r="145" ht="12.75" customHeight="1">
      <c r="A145" s="2"/>
      <c r="B145" s="2"/>
      <c r="C145" s="2"/>
      <c r="D145" s="3"/>
      <c r="E145" s="3"/>
      <c r="F145" s="3"/>
      <c r="G145" s="3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2"/>
      <c r="Y145" s="2"/>
      <c r="Z145" s="2"/>
      <c r="AA145" s="2"/>
      <c r="AB145" s="2"/>
      <c r="AC145" s="2"/>
    </row>
    <row r="146" ht="12.75" customHeight="1">
      <c r="A146" s="2"/>
      <c r="B146" s="2"/>
      <c r="C146" s="2"/>
      <c r="D146" s="3"/>
      <c r="E146" s="3"/>
      <c r="F146" s="3"/>
      <c r="G146" s="3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2"/>
      <c r="Y146" s="2"/>
      <c r="Z146" s="2"/>
      <c r="AA146" s="2"/>
      <c r="AB146" s="2"/>
      <c r="AC146" s="2"/>
    </row>
    <row r="147" ht="12.75" customHeight="1">
      <c r="A147" s="2"/>
      <c r="B147" s="2"/>
      <c r="C147" s="2"/>
      <c r="D147" s="3"/>
      <c r="E147" s="3"/>
      <c r="F147" s="3"/>
      <c r="G147" s="3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2"/>
      <c r="Y147" s="2"/>
      <c r="Z147" s="2"/>
      <c r="AA147" s="2"/>
      <c r="AB147" s="2"/>
      <c r="AC147" s="2"/>
    </row>
    <row r="148" ht="12.75" customHeight="1">
      <c r="A148" s="2"/>
      <c r="B148" s="2"/>
      <c r="C148" s="2"/>
      <c r="D148" s="3"/>
      <c r="E148" s="3"/>
      <c r="F148" s="3"/>
      <c r="G148" s="3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2"/>
      <c r="Y148" s="2"/>
      <c r="Z148" s="2"/>
      <c r="AA148" s="2"/>
      <c r="AB148" s="2"/>
      <c r="AC148" s="2"/>
    </row>
    <row r="149" ht="12.75" customHeight="1">
      <c r="A149" s="2"/>
      <c r="B149" s="2"/>
      <c r="C149" s="2"/>
      <c r="D149" s="3"/>
      <c r="E149" s="3"/>
      <c r="F149" s="3"/>
      <c r="G149" s="3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2"/>
      <c r="Y149" s="2"/>
      <c r="Z149" s="2"/>
      <c r="AA149" s="2"/>
      <c r="AB149" s="2"/>
      <c r="AC149" s="2"/>
    </row>
    <row r="150" ht="12.75" customHeight="1">
      <c r="A150" s="2"/>
      <c r="B150" s="2"/>
      <c r="C150" s="2"/>
      <c r="D150" s="3"/>
      <c r="E150" s="3"/>
      <c r="F150" s="3"/>
      <c r="G150" s="3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2"/>
      <c r="Y150" s="2"/>
      <c r="Z150" s="2"/>
      <c r="AA150" s="2"/>
      <c r="AB150" s="2"/>
      <c r="AC150" s="2"/>
    </row>
    <row r="151" ht="12.75" customHeight="1">
      <c r="A151" s="2"/>
      <c r="B151" s="2"/>
      <c r="C151" s="2"/>
      <c r="D151" s="3"/>
      <c r="E151" s="3"/>
      <c r="F151" s="3"/>
      <c r="G151" s="3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2"/>
      <c r="Y151" s="2"/>
      <c r="Z151" s="2"/>
      <c r="AA151" s="2"/>
      <c r="AB151" s="2"/>
      <c r="AC151" s="2"/>
    </row>
    <row r="152" ht="12.75" customHeight="1">
      <c r="A152" s="2"/>
      <c r="B152" s="2"/>
      <c r="C152" s="2"/>
      <c r="D152" s="3"/>
      <c r="E152" s="3"/>
      <c r="F152" s="3"/>
      <c r="G152" s="3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2"/>
      <c r="Y152" s="2"/>
      <c r="Z152" s="2"/>
      <c r="AA152" s="2"/>
      <c r="AB152" s="2"/>
      <c r="AC152" s="2"/>
    </row>
    <row r="153" ht="12.75" customHeight="1">
      <c r="A153" s="2"/>
      <c r="B153" s="2"/>
      <c r="C153" s="2"/>
      <c r="D153" s="3"/>
      <c r="E153" s="3"/>
      <c r="F153" s="3"/>
      <c r="G153" s="3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2"/>
      <c r="Y153" s="2"/>
      <c r="Z153" s="2"/>
      <c r="AA153" s="2"/>
      <c r="AB153" s="2"/>
      <c r="AC153" s="2"/>
    </row>
    <row r="154" ht="12.75" customHeight="1">
      <c r="A154" s="2"/>
      <c r="B154" s="2"/>
      <c r="C154" s="2"/>
      <c r="D154" s="3"/>
      <c r="E154" s="3"/>
      <c r="F154" s="3"/>
      <c r="G154" s="3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2"/>
      <c r="Y154" s="2"/>
      <c r="Z154" s="2"/>
      <c r="AA154" s="2"/>
      <c r="AB154" s="2"/>
      <c r="AC154" s="2"/>
    </row>
    <row r="155" ht="12.75" customHeight="1">
      <c r="A155" s="2"/>
      <c r="B155" s="2"/>
      <c r="C155" s="2"/>
      <c r="D155" s="3"/>
      <c r="E155" s="3"/>
      <c r="F155" s="3"/>
      <c r="G155" s="3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2"/>
      <c r="Y155" s="2"/>
      <c r="Z155" s="2"/>
      <c r="AA155" s="2"/>
      <c r="AB155" s="2"/>
      <c r="AC155" s="2"/>
    </row>
    <row r="156" ht="12.75" customHeight="1">
      <c r="A156" s="2"/>
      <c r="B156" s="2"/>
      <c r="C156" s="2"/>
      <c r="D156" s="3"/>
      <c r="E156" s="3"/>
      <c r="F156" s="3"/>
      <c r="G156" s="3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2"/>
      <c r="Y156" s="2"/>
      <c r="Z156" s="2"/>
      <c r="AA156" s="2"/>
      <c r="AB156" s="2"/>
      <c r="AC156" s="2"/>
    </row>
    <row r="157" ht="12.75" customHeight="1">
      <c r="A157" s="2"/>
      <c r="B157" s="2"/>
      <c r="C157" s="2"/>
      <c r="D157" s="3"/>
      <c r="E157" s="3"/>
      <c r="F157" s="3"/>
      <c r="G157" s="3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2"/>
      <c r="Y157" s="2"/>
      <c r="Z157" s="2"/>
      <c r="AA157" s="2"/>
      <c r="AB157" s="2"/>
      <c r="AC157" s="2"/>
    </row>
    <row r="158" ht="12.75" customHeight="1">
      <c r="A158" s="2"/>
      <c r="B158" s="2"/>
      <c r="C158" s="2"/>
      <c r="D158" s="3"/>
      <c r="E158" s="3"/>
      <c r="F158" s="3"/>
      <c r="G158" s="3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2"/>
      <c r="Y158" s="2"/>
      <c r="Z158" s="2"/>
      <c r="AA158" s="2"/>
      <c r="AB158" s="2"/>
      <c r="AC158" s="2"/>
    </row>
    <row r="159" ht="12.75" customHeight="1">
      <c r="A159" s="2"/>
      <c r="B159" s="2"/>
      <c r="C159" s="2"/>
      <c r="D159" s="3"/>
      <c r="E159" s="3"/>
      <c r="F159" s="3"/>
      <c r="G159" s="3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2"/>
      <c r="Y159" s="2"/>
      <c r="Z159" s="2"/>
      <c r="AA159" s="2"/>
      <c r="AB159" s="2"/>
      <c r="AC159" s="2"/>
    </row>
    <row r="160" ht="12.75" customHeight="1">
      <c r="A160" s="2"/>
      <c r="B160" s="2"/>
      <c r="C160" s="2"/>
      <c r="D160" s="3"/>
      <c r="E160" s="3"/>
      <c r="F160" s="3"/>
      <c r="G160" s="3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2"/>
      <c r="Y160" s="2"/>
      <c r="Z160" s="2"/>
      <c r="AA160" s="2"/>
      <c r="AB160" s="2"/>
      <c r="AC160" s="2"/>
    </row>
    <row r="161" ht="12.75" customHeight="1">
      <c r="A161" s="2"/>
      <c r="B161" s="2"/>
      <c r="C161" s="2"/>
      <c r="D161" s="3"/>
      <c r="E161" s="3"/>
      <c r="F161" s="3"/>
      <c r="G161" s="3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2"/>
      <c r="Y161" s="2"/>
      <c r="Z161" s="2"/>
      <c r="AA161" s="2"/>
      <c r="AB161" s="2"/>
      <c r="AC161" s="2"/>
    </row>
    <row r="162" ht="12.75" customHeight="1">
      <c r="A162" s="2"/>
      <c r="B162" s="2"/>
      <c r="C162" s="2"/>
      <c r="D162" s="3"/>
      <c r="E162" s="3"/>
      <c r="F162" s="3"/>
      <c r="G162" s="3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2"/>
      <c r="Y162" s="2"/>
      <c r="Z162" s="2"/>
      <c r="AA162" s="2"/>
      <c r="AB162" s="2"/>
      <c r="AC162" s="2"/>
    </row>
    <row r="163" ht="12.75" customHeight="1">
      <c r="A163" s="2"/>
      <c r="B163" s="2"/>
      <c r="C163" s="2"/>
      <c r="D163" s="3"/>
      <c r="E163" s="3"/>
      <c r="F163" s="3"/>
      <c r="G163" s="3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2"/>
      <c r="Y163" s="2"/>
      <c r="Z163" s="2"/>
      <c r="AA163" s="2"/>
      <c r="AB163" s="2"/>
      <c r="AC163" s="2"/>
    </row>
    <row r="164" ht="12.75" customHeight="1">
      <c r="A164" s="2"/>
      <c r="B164" s="2"/>
      <c r="C164" s="2"/>
      <c r="D164" s="3"/>
      <c r="E164" s="3"/>
      <c r="F164" s="3"/>
      <c r="G164" s="3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2"/>
      <c r="Y164" s="2"/>
      <c r="Z164" s="2"/>
      <c r="AA164" s="2"/>
      <c r="AB164" s="2"/>
      <c r="AC164" s="2"/>
    </row>
    <row r="165" ht="12.75" customHeight="1">
      <c r="A165" s="2"/>
      <c r="B165" s="2"/>
      <c r="C165" s="2"/>
      <c r="D165" s="3"/>
      <c r="E165" s="3"/>
      <c r="F165" s="3"/>
      <c r="G165" s="3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2"/>
      <c r="Y165" s="2"/>
      <c r="Z165" s="2"/>
      <c r="AA165" s="2"/>
      <c r="AB165" s="2"/>
      <c r="AC165" s="2"/>
    </row>
    <row r="166" ht="12.75" customHeight="1">
      <c r="A166" s="2"/>
      <c r="B166" s="2"/>
      <c r="C166" s="2"/>
      <c r="D166" s="3"/>
      <c r="E166" s="3"/>
      <c r="F166" s="3"/>
      <c r="G166" s="3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2"/>
      <c r="Y166" s="2"/>
      <c r="Z166" s="2"/>
      <c r="AA166" s="2"/>
      <c r="AB166" s="2"/>
      <c r="AC166" s="2"/>
    </row>
    <row r="167" ht="12.75" customHeight="1">
      <c r="A167" s="2"/>
      <c r="B167" s="2"/>
      <c r="C167" s="2"/>
      <c r="D167" s="3"/>
      <c r="E167" s="3"/>
      <c r="F167" s="3"/>
      <c r="G167" s="3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2"/>
      <c r="Y167" s="2"/>
      <c r="Z167" s="2"/>
      <c r="AA167" s="2"/>
      <c r="AB167" s="2"/>
      <c r="AC167" s="2"/>
    </row>
    <row r="168" ht="12.75" customHeight="1">
      <c r="A168" s="2"/>
      <c r="B168" s="2"/>
      <c r="C168" s="2"/>
      <c r="D168" s="3"/>
      <c r="E168" s="3"/>
      <c r="F168" s="3"/>
      <c r="G168" s="3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2"/>
      <c r="Y168" s="2"/>
      <c r="Z168" s="2"/>
      <c r="AA168" s="2"/>
      <c r="AB168" s="2"/>
      <c r="AC168" s="2"/>
    </row>
    <row r="169" ht="12.75" customHeight="1">
      <c r="A169" s="2"/>
      <c r="B169" s="2"/>
      <c r="C169" s="2"/>
      <c r="D169" s="3"/>
      <c r="E169" s="3"/>
      <c r="F169" s="3"/>
      <c r="G169" s="3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2"/>
      <c r="Y169" s="2"/>
      <c r="Z169" s="2"/>
      <c r="AA169" s="2"/>
      <c r="AB169" s="2"/>
      <c r="AC169" s="2"/>
    </row>
    <row r="170" ht="12.75" customHeight="1">
      <c r="A170" s="2"/>
      <c r="B170" s="2"/>
      <c r="C170" s="2"/>
      <c r="D170" s="3"/>
      <c r="E170" s="3"/>
      <c r="F170" s="3"/>
      <c r="G170" s="3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2"/>
      <c r="Y170" s="2"/>
      <c r="Z170" s="2"/>
      <c r="AA170" s="2"/>
      <c r="AB170" s="2"/>
      <c r="AC170" s="2"/>
    </row>
    <row r="171" ht="12.75" customHeight="1">
      <c r="A171" s="2"/>
      <c r="B171" s="2"/>
      <c r="C171" s="2"/>
      <c r="D171" s="3"/>
      <c r="E171" s="3"/>
      <c r="F171" s="3"/>
      <c r="G171" s="3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2"/>
      <c r="Y171" s="2"/>
      <c r="Z171" s="2"/>
      <c r="AA171" s="2"/>
      <c r="AB171" s="2"/>
      <c r="AC171" s="2"/>
    </row>
    <row r="172" ht="12.75" customHeight="1">
      <c r="A172" s="2"/>
      <c r="B172" s="2"/>
      <c r="C172" s="2"/>
      <c r="D172" s="3"/>
      <c r="E172" s="3"/>
      <c r="F172" s="3"/>
      <c r="G172" s="3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"/>
      <c r="Y172" s="2"/>
      <c r="Z172" s="2"/>
      <c r="AA172" s="2"/>
      <c r="AB172" s="2"/>
      <c r="AC172" s="2"/>
    </row>
    <row r="173" ht="12.75" customHeight="1">
      <c r="A173" s="2"/>
      <c r="B173" s="2"/>
      <c r="C173" s="2"/>
      <c r="D173" s="3"/>
      <c r="E173" s="3"/>
      <c r="F173" s="3"/>
      <c r="G173" s="3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"/>
      <c r="Y173" s="2"/>
      <c r="Z173" s="2"/>
      <c r="AA173" s="2"/>
      <c r="AB173" s="2"/>
      <c r="AC173" s="2"/>
    </row>
    <row r="174" ht="12.75" customHeight="1">
      <c r="A174" s="2"/>
      <c r="B174" s="2"/>
      <c r="C174" s="2"/>
      <c r="D174" s="3"/>
      <c r="E174" s="3"/>
      <c r="F174" s="3"/>
      <c r="G174" s="3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"/>
      <c r="Y174" s="2"/>
      <c r="Z174" s="2"/>
      <c r="AA174" s="2"/>
      <c r="AB174" s="2"/>
      <c r="AC174" s="2"/>
    </row>
    <row r="175" ht="12.75" customHeight="1">
      <c r="A175" s="2"/>
      <c r="B175" s="2"/>
      <c r="C175" s="2"/>
      <c r="D175" s="3"/>
      <c r="E175" s="3"/>
      <c r="F175" s="3"/>
      <c r="G175" s="3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"/>
      <c r="Y175" s="2"/>
      <c r="Z175" s="2"/>
      <c r="AA175" s="2"/>
      <c r="AB175" s="2"/>
      <c r="AC175" s="2"/>
    </row>
    <row r="176" ht="12.75" customHeight="1">
      <c r="A176" s="2"/>
      <c r="B176" s="2"/>
      <c r="C176" s="2"/>
      <c r="D176" s="3"/>
      <c r="E176" s="3"/>
      <c r="F176" s="3"/>
      <c r="G176" s="3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"/>
      <c r="Y176" s="2"/>
      <c r="Z176" s="2"/>
      <c r="AA176" s="2"/>
      <c r="AB176" s="2"/>
      <c r="AC176" s="2"/>
    </row>
    <row r="177" ht="12.75" customHeight="1">
      <c r="A177" s="2"/>
      <c r="B177" s="2"/>
      <c r="C177" s="2"/>
      <c r="D177" s="3"/>
      <c r="E177" s="3"/>
      <c r="F177" s="3"/>
      <c r="G177" s="3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"/>
      <c r="Y177" s="2"/>
      <c r="Z177" s="2"/>
      <c r="AA177" s="2"/>
      <c r="AB177" s="2"/>
      <c r="AC177" s="2"/>
    </row>
    <row r="178" ht="12.75" customHeight="1">
      <c r="A178" s="2"/>
      <c r="B178" s="2"/>
      <c r="C178" s="2"/>
      <c r="D178" s="3"/>
      <c r="E178" s="3"/>
      <c r="F178" s="3"/>
      <c r="G178" s="3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2"/>
      <c r="Y178" s="2"/>
      <c r="Z178" s="2"/>
      <c r="AA178" s="2"/>
      <c r="AB178" s="2"/>
      <c r="AC178" s="2"/>
    </row>
    <row r="179" ht="12.75" customHeight="1">
      <c r="A179" s="2"/>
      <c r="B179" s="2"/>
      <c r="C179" s="2"/>
      <c r="D179" s="3"/>
      <c r="E179" s="3"/>
      <c r="F179" s="3"/>
      <c r="G179" s="3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2"/>
      <c r="Y179" s="2"/>
      <c r="Z179" s="2"/>
      <c r="AA179" s="2"/>
      <c r="AB179" s="2"/>
      <c r="AC179" s="2"/>
    </row>
    <row r="180" ht="12.75" customHeight="1">
      <c r="A180" s="2"/>
      <c r="B180" s="2"/>
      <c r="C180" s="2"/>
      <c r="D180" s="3"/>
      <c r="E180" s="3"/>
      <c r="F180" s="3"/>
      <c r="G180" s="3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2"/>
      <c r="Y180" s="2"/>
      <c r="Z180" s="2"/>
      <c r="AA180" s="2"/>
      <c r="AB180" s="2"/>
      <c r="AC180" s="2"/>
    </row>
    <row r="181" ht="12.75" customHeight="1">
      <c r="A181" s="2"/>
      <c r="B181" s="2"/>
      <c r="C181" s="2"/>
      <c r="D181" s="3"/>
      <c r="E181" s="3"/>
      <c r="F181" s="3"/>
      <c r="G181" s="3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2"/>
      <c r="Y181" s="2"/>
      <c r="Z181" s="2"/>
      <c r="AA181" s="2"/>
      <c r="AB181" s="2"/>
      <c r="AC181" s="2"/>
    </row>
    <row r="182" ht="12.75" customHeight="1">
      <c r="A182" s="2"/>
      <c r="B182" s="2"/>
      <c r="C182" s="2"/>
      <c r="D182" s="3"/>
      <c r="E182" s="3"/>
      <c r="F182" s="3"/>
      <c r="G182" s="3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2"/>
      <c r="Y182" s="2"/>
      <c r="Z182" s="2"/>
      <c r="AA182" s="2"/>
      <c r="AB182" s="2"/>
      <c r="AC182" s="2"/>
    </row>
    <row r="183" ht="12.75" customHeight="1">
      <c r="A183" s="2"/>
      <c r="B183" s="2"/>
      <c r="C183" s="2"/>
      <c r="D183" s="3"/>
      <c r="E183" s="3"/>
      <c r="F183" s="3"/>
      <c r="G183" s="3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2"/>
      <c r="Y183" s="2"/>
      <c r="Z183" s="2"/>
      <c r="AA183" s="2"/>
      <c r="AB183" s="2"/>
      <c r="AC183" s="2"/>
    </row>
    <row r="184" ht="12.75" customHeight="1">
      <c r="A184" s="2"/>
      <c r="B184" s="2"/>
      <c r="C184" s="2"/>
      <c r="D184" s="3"/>
      <c r="E184" s="3"/>
      <c r="F184" s="3"/>
      <c r="G184" s="3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2"/>
      <c r="Y184" s="2"/>
      <c r="Z184" s="2"/>
      <c r="AA184" s="2"/>
      <c r="AB184" s="2"/>
      <c r="AC184" s="2"/>
    </row>
    <row r="185" ht="12.75" customHeight="1">
      <c r="A185" s="2"/>
      <c r="B185" s="2"/>
      <c r="C185" s="2"/>
      <c r="D185" s="3"/>
      <c r="E185" s="3"/>
      <c r="F185" s="3"/>
      <c r="G185" s="3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2"/>
      <c r="Y185" s="2"/>
      <c r="Z185" s="2"/>
      <c r="AA185" s="2"/>
      <c r="AB185" s="2"/>
      <c r="AC185" s="2"/>
    </row>
    <row r="186" ht="12.75" customHeight="1">
      <c r="A186" s="2"/>
      <c r="B186" s="2"/>
      <c r="C186" s="2"/>
      <c r="D186" s="3"/>
      <c r="E186" s="3"/>
      <c r="F186" s="3"/>
      <c r="G186" s="3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2"/>
      <c r="Y186" s="2"/>
      <c r="Z186" s="2"/>
      <c r="AA186" s="2"/>
      <c r="AB186" s="2"/>
      <c r="AC186" s="2"/>
    </row>
    <row r="187" ht="12.75" customHeight="1">
      <c r="A187" s="2"/>
      <c r="B187" s="2"/>
      <c r="C187" s="2"/>
      <c r="D187" s="3"/>
      <c r="E187" s="3"/>
      <c r="F187" s="3"/>
      <c r="G187" s="3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2"/>
      <c r="Y187" s="2"/>
      <c r="Z187" s="2"/>
      <c r="AA187" s="2"/>
      <c r="AB187" s="2"/>
      <c r="AC187" s="2"/>
    </row>
    <row r="188" ht="12.75" customHeight="1">
      <c r="A188" s="2"/>
      <c r="B188" s="2"/>
      <c r="C188" s="2"/>
      <c r="D188" s="3"/>
      <c r="E188" s="3"/>
      <c r="F188" s="3"/>
      <c r="G188" s="3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2"/>
      <c r="Y188" s="2"/>
      <c r="Z188" s="2"/>
      <c r="AA188" s="2"/>
      <c r="AB188" s="2"/>
      <c r="AC188" s="2"/>
    </row>
    <row r="189" ht="12.75" customHeight="1">
      <c r="A189" s="2"/>
      <c r="B189" s="2"/>
      <c r="C189" s="2"/>
      <c r="D189" s="3"/>
      <c r="E189" s="3"/>
      <c r="F189" s="3"/>
      <c r="G189" s="3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2"/>
      <c r="Y189" s="2"/>
      <c r="Z189" s="2"/>
      <c r="AA189" s="2"/>
      <c r="AB189" s="2"/>
      <c r="AC189" s="2"/>
    </row>
    <row r="190" ht="12.75" customHeight="1">
      <c r="A190" s="2"/>
      <c r="B190" s="2"/>
      <c r="C190" s="2"/>
      <c r="D190" s="3"/>
      <c r="E190" s="3"/>
      <c r="F190" s="3"/>
      <c r="G190" s="3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2"/>
      <c r="Y190" s="2"/>
      <c r="Z190" s="2"/>
      <c r="AA190" s="2"/>
      <c r="AB190" s="2"/>
      <c r="AC190" s="2"/>
    </row>
    <row r="191" ht="12.75" customHeight="1">
      <c r="A191" s="2"/>
      <c r="B191" s="2"/>
      <c r="C191" s="2"/>
      <c r="D191" s="3"/>
      <c r="E191" s="3"/>
      <c r="F191" s="3"/>
      <c r="G191" s="3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2"/>
      <c r="Y191" s="2"/>
      <c r="Z191" s="2"/>
      <c r="AA191" s="2"/>
      <c r="AB191" s="2"/>
      <c r="AC191" s="2"/>
    </row>
    <row r="192" ht="12.75" customHeight="1">
      <c r="A192" s="2"/>
      <c r="B192" s="2"/>
      <c r="C192" s="2"/>
      <c r="D192" s="3"/>
      <c r="E192" s="3"/>
      <c r="F192" s="3"/>
      <c r="G192" s="3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2"/>
      <c r="Y192" s="2"/>
      <c r="Z192" s="2"/>
      <c r="AA192" s="2"/>
      <c r="AB192" s="2"/>
      <c r="AC192" s="2"/>
    </row>
    <row r="193" ht="12.75" customHeight="1">
      <c r="A193" s="2"/>
      <c r="B193" s="2"/>
      <c r="C193" s="2"/>
      <c r="D193" s="3"/>
      <c r="E193" s="3"/>
      <c r="F193" s="3"/>
      <c r="G193" s="3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2"/>
      <c r="Y193" s="2"/>
      <c r="Z193" s="2"/>
      <c r="AA193" s="2"/>
      <c r="AB193" s="2"/>
      <c r="AC193" s="2"/>
    </row>
    <row r="194" ht="12.75" customHeight="1">
      <c r="A194" s="2"/>
      <c r="B194" s="2"/>
      <c r="C194" s="2"/>
      <c r="D194" s="3"/>
      <c r="E194" s="3"/>
      <c r="F194" s="3"/>
      <c r="G194" s="3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2"/>
      <c r="Y194" s="2"/>
      <c r="Z194" s="2"/>
      <c r="AA194" s="2"/>
      <c r="AB194" s="2"/>
      <c r="AC194" s="2"/>
    </row>
    <row r="195" ht="12.75" customHeight="1">
      <c r="A195" s="2"/>
      <c r="B195" s="2"/>
      <c r="C195" s="2"/>
      <c r="D195" s="3"/>
      <c r="E195" s="3"/>
      <c r="F195" s="3"/>
      <c r="G195" s="3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2"/>
      <c r="Y195" s="2"/>
      <c r="Z195" s="2"/>
      <c r="AA195" s="2"/>
      <c r="AB195" s="2"/>
      <c r="AC195" s="2"/>
    </row>
    <row r="196" ht="12.75" customHeight="1">
      <c r="A196" s="2"/>
      <c r="B196" s="2"/>
      <c r="C196" s="2"/>
      <c r="D196" s="3"/>
      <c r="E196" s="3"/>
      <c r="F196" s="3"/>
      <c r="G196" s="3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2"/>
      <c r="Y196" s="2"/>
      <c r="Z196" s="2"/>
      <c r="AA196" s="2"/>
      <c r="AB196" s="2"/>
      <c r="AC196" s="2"/>
    </row>
    <row r="197" ht="12.75" customHeight="1">
      <c r="A197" s="2"/>
      <c r="B197" s="2"/>
      <c r="C197" s="2"/>
      <c r="D197" s="3"/>
      <c r="E197" s="3"/>
      <c r="F197" s="3"/>
      <c r="G197" s="3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2"/>
      <c r="Y197" s="2"/>
      <c r="Z197" s="2"/>
      <c r="AA197" s="2"/>
      <c r="AB197" s="2"/>
      <c r="AC197" s="2"/>
    </row>
    <row r="198" ht="12.75" customHeight="1">
      <c r="A198" s="2"/>
      <c r="B198" s="2"/>
      <c r="C198" s="2"/>
      <c r="D198" s="3"/>
      <c r="E198" s="3"/>
      <c r="F198" s="3"/>
      <c r="G198" s="3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2"/>
      <c r="Y198" s="2"/>
      <c r="Z198" s="2"/>
      <c r="AA198" s="2"/>
      <c r="AB198" s="2"/>
      <c r="AC198" s="2"/>
    </row>
    <row r="199" ht="12.75" customHeight="1">
      <c r="A199" s="2"/>
      <c r="B199" s="2"/>
      <c r="C199" s="2"/>
      <c r="D199" s="3"/>
      <c r="E199" s="3"/>
      <c r="F199" s="3"/>
      <c r="G199" s="3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2"/>
      <c r="Y199" s="2"/>
      <c r="Z199" s="2"/>
      <c r="AA199" s="2"/>
      <c r="AB199" s="2"/>
      <c r="AC199" s="2"/>
    </row>
    <row r="200" ht="12.75" customHeight="1">
      <c r="A200" s="2"/>
      <c r="B200" s="2"/>
      <c r="C200" s="2"/>
      <c r="D200" s="3"/>
      <c r="E200" s="3"/>
      <c r="F200" s="3"/>
      <c r="G200" s="3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2"/>
      <c r="Y200" s="2"/>
      <c r="Z200" s="2"/>
      <c r="AA200" s="2"/>
      <c r="AB200" s="2"/>
      <c r="AC200" s="2"/>
    </row>
    <row r="201" ht="12.75" customHeight="1">
      <c r="A201" s="2"/>
      <c r="B201" s="2"/>
      <c r="C201" s="2"/>
      <c r="D201" s="3"/>
      <c r="E201" s="3"/>
      <c r="F201" s="3"/>
      <c r="G201" s="3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2"/>
      <c r="Y201" s="2"/>
      <c r="Z201" s="2"/>
      <c r="AA201" s="2"/>
      <c r="AB201" s="2"/>
      <c r="AC201" s="2"/>
    </row>
    <row r="202" ht="12.75" customHeight="1">
      <c r="A202" s="2"/>
      <c r="B202" s="2"/>
      <c r="C202" s="2"/>
      <c r="D202" s="3"/>
      <c r="E202" s="3"/>
      <c r="F202" s="3"/>
      <c r="G202" s="3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2"/>
      <c r="Y202" s="2"/>
      <c r="Z202" s="2"/>
      <c r="AA202" s="2"/>
      <c r="AB202" s="2"/>
      <c r="AC202" s="2"/>
    </row>
    <row r="203" ht="12.75" customHeight="1">
      <c r="A203" s="2"/>
      <c r="B203" s="2"/>
      <c r="C203" s="2"/>
      <c r="D203" s="3"/>
      <c r="E203" s="3"/>
      <c r="F203" s="3"/>
      <c r="G203" s="3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2"/>
      <c r="Y203" s="2"/>
      <c r="Z203" s="2"/>
      <c r="AA203" s="2"/>
      <c r="AB203" s="2"/>
      <c r="AC203" s="2"/>
    </row>
    <row r="204" ht="12.75" customHeight="1">
      <c r="A204" s="2"/>
      <c r="B204" s="2"/>
      <c r="C204" s="2"/>
      <c r="D204" s="3"/>
      <c r="E204" s="3"/>
      <c r="F204" s="3"/>
      <c r="G204" s="3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2"/>
      <c r="Y204" s="2"/>
      <c r="Z204" s="2"/>
      <c r="AA204" s="2"/>
      <c r="AB204" s="2"/>
      <c r="AC204" s="2"/>
    </row>
    <row r="205" ht="12.75" customHeight="1">
      <c r="A205" s="2"/>
      <c r="B205" s="2"/>
      <c r="C205" s="2"/>
      <c r="D205" s="3"/>
      <c r="E205" s="3"/>
      <c r="F205" s="3"/>
      <c r="G205" s="3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2"/>
      <c r="Y205" s="2"/>
      <c r="Z205" s="2"/>
      <c r="AA205" s="2"/>
      <c r="AB205" s="2"/>
      <c r="AC205" s="2"/>
    </row>
    <row r="206" ht="12.75" customHeight="1">
      <c r="A206" s="2"/>
      <c r="B206" s="2"/>
      <c r="C206" s="2"/>
      <c r="D206" s="3"/>
      <c r="E206" s="3"/>
      <c r="F206" s="3"/>
      <c r="G206" s="3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2"/>
      <c r="Y206" s="2"/>
      <c r="Z206" s="2"/>
      <c r="AA206" s="2"/>
      <c r="AB206" s="2"/>
      <c r="AC206" s="2"/>
    </row>
    <row r="207" ht="12.75" customHeight="1">
      <c r="A207" s="2"/>
      <c r="B207" s="2"/>
      <c r="C207" s="2"/>
      <c r="D207" s="3"/>
      <c r="E207" s="3"/>
      <c r="F207" s="3"/>
      <c r="G207" s="3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2"/>
      <c r="Y207" s="2"/>
      <c r="Z207" s="2"/>
      <c r="AA207" s="2"/>
      <c r="AB207" s="2"/>
      <c r="AC207" s="2"/>
    </row>
    <row r="208" ht="12.75" customHeight="1">
      <c r="A208" s="2"/>
      <c r="B208" s="2"/>
      <c r="C208" s="2"/>
      <c r="D208" s="3"/>
      <c r="E208" s="3"/>
      <c r="F208" s="3"/>
      <c r="G208" s="3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2"/>
      <c r="Y208" s="2"/>
      <c r="Z208" s="2"/>
      <c r="AA208" s="2"/>
      <c r="AB208" s="2"/>
      <c r="AC208" s="2"/>
    </row>
    <row r="209" ht="12.75" customHeight="1">
      <c r="A209" s="2"/>
      <c r="B209" s="2"/>
      <c r="C209" s="2"/>
      <c r="D209" s="3"/>
      <c r="E209" s="3"/>
      <c r="F209" s="3"/>
      <c r="G209" s="3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2"/>
      <c r="Y209" s="2"/>
      <c r="Z209" s="2"/>
      <c r="AA209" s="2"/>
      <c r="AB209" s="2"/>
      <c r="AC209" s="2"/>
    </row>
    <row r="210" ht="12.75" customHeight="1">
      <c r="A210" s="2"/>
      <c r="B210" s="2"/>
      <c r="C210" s="2"/>
      <c r="D210" s="3"/>
      <c r="E210" s="3"/>
      <c r="F210" s="3"/>
      <c r="G210" s="3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2"/>
      <c r="Y210" s="2"/>
      <c r="Z210" s="2"/>
      <c r="AA210" s="2"/>
      <c r="AB210" s="2"/>
      <c r="AC210" s="2"/>
    </row>
    <row r="211" ht="12.75" customHeight="1">
      <c r="A211" s="2"/>
      <c r="B211" s="2"/>
      <c r="C211" s="2"/>
      <c r="D211" s="3"/>
      <c r="E211" s="3"/>
      <c r="F211" s="3"/>
      <c r="G211" s="3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2"/>
      <c r="Y211" s="2"/>
      <c r="Z211" s="2"/>
      <c r="AA211" s="2"/>
      <c r="AB211" s="2"/>
      <c r="AC211" s="2"/>
    </row>
    <row r="212" ht="12.75" customHeight="1">
      <c r="A212" s="2"/>
      <c r="B212" s="2"/>
      <c r="C212" s="2"/>
      <c r="D212" s="3"/>
      <c r="E212" s="3"/>
      <c r="F212" s="3"/>
      <c r="G212" s="3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2"/>
      <c r="Y212" s="2"/>
      <c r="Z212" s="2"/>
      <c r="AA212" s="2"/>
      <c r="AB212" s="2"/>
      <c r="AC212" s="2"/>
    </row>
    <row r="213" ht="12.75" customHeight="1">
      <c r="A213" s="2"/>
      <c r="B213" s="2"/>
      <c r="C213" s="2"/>
      <c r="D213" s="3"/>
      <c r="E213" s="3"/>
      <c r="F213" s="3"/>
      <c r="G213" s="3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2"/>
      <c r="Y213" s="2"/>
      <c r="Z213" s="2"/>
      <c r="AA213" s="2"/>
      <c r="AB213" s="2"/>
      <c r="AC213" s="2"/>
    </row>
    <row r="214" ht="12.75" customHeight="1">
      <c r="A214" s="2"/>
      <c r="B214" s="2"/>
      <c r="C214" s="2"/>
      <c r="D214" s="3"/>
      <c r="E214" s="3"/>
      <c r="F214" s="3"/>
      <c r="G214" s="3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2"/>
      <c r="Y214" s="2"/>
      <c r="Z214" s="2"/>
      <c r="AA214" s="2"/>
      <c r="AB214" s="2"/>
      <c r="AC214" s="2"/>
    </row>
    <row r="215" ht="12.75" customHeight="1">
      <c r="A215" s="2"/>
      <c r="B215" s="2"/>
      <c r="C215" s="2"/>
      <c r="D215" s="3"/>
      <c r="E215" s="3"/>
      <c r="F215" s="3"/>
      <c r="G215" s="3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2"/>
      <c r="Y215" s="2"/>
      <c r="Z215" s="2"/>
      <c r="AA215" s="2"/>
      <c r="AB215" s="2"/>
      <c r="AC215" s="2"/>
    </row>
    <row r="216" ht="12.75" customHeight="1">
      <c r="A216" s="2"/>
      <c r="B216" s="2"/>
      <c r="C216" s="2"/>
      <c r="D216" s="3"/>
      <c r="E216" s="3"/>
      <c r="F216" s="3"/>
      <c r="G216" s="3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2"/>
      <c r="Y216" s="2"/>
      <c r="Z216" s="2"/>
      <c r="AA216" s="2"/>
      <c r="AB216" s="2"/>
      <c r="AC216" s="2"/>
    </row>
    <row r="217" ht="12.75" customHeight="1">
      <c r="A217" s="2"/>
      <c r="B217" s="2"/>
      <c r="C217" s="2"/>
      <c r="D217" s="3"/>
      <c r="E217" s="3"/>
      <c r="F217" s="3"/>
      <c r="G217" s="3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"/>
      <c r="Y217" s="2"/>
      <c r="Z217" s="2"/>
      <c r="AA217" s="2"/>
      <c r="AB217" s="2"/>
      <c r="AC217" s="2"/>
    </row>
    <row r="218" ht="12.75" customHeight="1">
      <c r="A218" s="2"/>
      <c r="B218" s="2"/>
      <c r="C218" s="2"/>
      <c r="D218" s="3"/>
      <c r="E218" s="3"/>
      <c r="F218" s="3"/>
      <c r="G218" s="3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2"/>
      <c r="Y218" s="2"/>
      <c r="Z218" s="2"/>
      <c r="AA218" s="2"/>
      <c r="AB218" s="2"/>
      <c r="AC218" s="2"/>
    </row>
    <row r="219" ht="12.75" customHeight="1">
      <c r="A219" s="2"/>
      <c r="B219" s="2"/>
      <c r="C219" s="2"/>
      <c r="D219" s="3"/>
      <c r="E219" s="3"/>
      <c r="F219" s="3"/>
      <c r="G219" s="3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2"/>
      <c r="Y219" s="2"/>
      <c r="Z219" s="2"/>
      <c r="AA219" s="2"/>
      <c r="AB219" s="2"/>
      <c r="AC219" s="2"/>
    </row>
    <row r="220" ht="12.75" customHeight="1">
      <c r="A220" s="2"/>
      <c r="B220" s="2"/>
      <c r="C220" s="2"/>
      <c r="D220" s="3"/>
      <c r="E220" s="3"/>
      <c r="F220" s="3"/>
      <c r="G220" s="3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2"/>
      <c r="Y220" s="2"/>
      <c r="Z220" s="2"/>
      <c r="AA220" s="2"/>
      <c r="AB220" s="2"/>
      <c r="AC220" s="2"/>
    </row>
    <row r="221" ht="12.75" customHeight="1">
      <c r="A221" s="2"/>
      <c r="B221" s="2"/>
      <c r="C221" s="2"/>
      <c r="D221" s="3"/>
      <c r="E221" s="3"/>
      <c r="F221" s="3"/>
      <c r="G221" s="3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2"/>
      <c r="Y221" s="2"/>
      <c r="Z221" s="2"/>
      <c r="AA221" s="2"/>
      <c r="AB221" s="2"/>
      <c r="AC221" s="2"/>
    </row>
    <row r="222" ht="12.75" customHeight="1">
      <c r="A222" s="2"/>
      <c r="B222" s="2"/>
      <c r="C222" s="2"/>
      <c r="D222" s="3"/>
      <c r="E222" s="3"/>
      <c r="F222" s="3"/>
      <c r="G222" s="3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2"/>
      <c r="Y222" s="2"/>
      <c r="Z222" s="2"/>
      <c r="AA222" s="2"/>
      <c r="AB222" s="2"/>
      <c r="AC222" s="2"/>
    </row>
    <row r="223" ht="12.75" customHeight="1">
      <c r="A223" s="2"/>
      <c r="B223" s="2"/>
      <c r="C223" s="2"/>
      <c r="D223" s="3"/>
      <c r="E223" s="3"/>
      <c r="F223" s="3"/>
      <c r="G223" s="3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2"/>
      <c r="Y223" s="2"/>
      <c r="Z223" s="2"/>
      <c r="AA223" s="2"/>
      <c r="AB223" s="2"/>
      <c r="AC223" s="2"/>
    </row>
    <row r="224" ht="12.75" customHeight="1">
      <c r="A224" s="2"/>
      <c r="B224" s="2"/>
      <c r="C224" s="2"/>
      <c r="D224" s="3"/>
      <c r="E224" s="3"/>
      <c r="F224" s="3"/>
      <c r="G224" s="3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2"/>
      <c r="Y224" s="2"/>
      <c r="Z224" s="2"/>
      <c r="AA224" s="2"/>
      <c r="AB224" s="2"/>
      <c r="AC224" s="2"/>
    </row>
    <row r="225" ht="12.75" customHeight="1">
      <c r="A225" s="2"/>
      <c r="B225" s="2"/>
      <c r="C225" s="2"/>
      <c r="D225" s="3"/>
      <c r="E225" s="3"/>
      <c r="F225" s="3"/>
      <c r="G225" s="3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2"/>
      <c r="Y225" s="2"/>
      <c r="Z225" s="2"/>
      <c r="AA225" s="2"/>
      <c r="AB225" s="2"/>
      <c r="AC225" s="2"/>
    </row>
    <row r="226" ht="12.75" customHeight="1">
      <c r="A226" s="2"/>
      <c r="B226" s="2"/>
      <c r="C226" s="2"/>
      <c r="D226" s="3"/>
      <c r="E226" s="3"/>
      <c r="F226" s="3"/>
      <c r="G226" s="3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2"/>
      <c r="Y226" s="2"/>
      <c r="Z226" s="2"/>
      <c r="AA226" s="2"/>
      <c r="AB226" s="2"/>
      <c r="AC226" s="2"/>
    </row>
    <row r="227" ht="12.75" customHeight="1">
      <c r="A227" s="2"/>
      <c r="B227" s="2"/>
      <c r="C227" s="2"/>
      <c r="D227" s="3"/>
      <c r="E227" s="3"/>
      <c r="F227" s="3"/>
      <c r="G227" s="3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2"/>
      <c r="Y227" s="2"/>
      <c r="Z227" s="2"/>
      <c r="AA227" s="2"/>
      <c r="AB227" s="2"/>
      <c r="AC227" s="2"/>
    </row>
    <row r="228" ht="12.75" customHeight="1">
      <c r="A228" s="2"/>
      <c r="B228" s="2"/>
      <c r="C228" s="2"/>
      <c r="D228" s="3"/>
      <c r="E228" s="3"/>
      <c r="F228" s="3"/>
      <c r="G228" s="3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2"/>
      <c r="Y228" s="2"/>
      <c r="Z228" s="2"/>
      <c r="AA228" s="2"/>
      <c r="AB228" s="2"/>
      <c r="AC228" s="2"/>
    </row>
    <row r="229" ht="12.75" customHeight="1">
      <c r="A229" s="2"/>
      <c r="B229" s="2"/>
      <c r="C229" s="2"/>
      <c r="D229" s="3"/>
      <c r="E229" s="3"/>
      <c r="F229" s="3"/>
      <c r="G229" s="3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2"/>
      <c r="Y229" s="2"/>
      <c r="Z229" s="2"/>
      <c r="AA229" s="2"/>
      <c r="AB229" s="2"/>
      <c r="AC229" s="2"/>
    </row>
    <row r="230" ht="12.75" customHeight="1">
      <c r="A230" s="2"/>
      <c r="B230" s="2"/>
      <c r="C230" s="2"/>
      <c r="D230" s="3"/>
      <c r="E230" s="3"/>
      <c r="F230" s="3"/>
      <c r="G230" s="3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2"/>
      <c r="Y230" s="2"/>
      <c r="Z230" s="2"/>
      <c r="AA230" s="2"/>
      <c r="AB230" s="2"/>
      <c r="AC230" s="2"/>
    </row>
    <row r="231" ht="12.75" customHeight="1">
      <c r="A231" s="2"/>
      <c r="B231" s="2"/>
      <c r="C231" s="2"/>
      <c r="D231" s="3"/>
      <c r="E231" s="3"/>
      <c r="F231" s="3"/>
      <c r="G231" s="3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2"/>
      <c r="Y231" s="2"/>
      <c r="Z231" s="2"/>
      <c r="AA231" s="2"/>
      <c r="AB231" s="2"/>
      <c r="AC231" s="2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</sheetData>
  <printOptions/>
  <pageMargins bottom="0.75" footer="0.0" header="0.0" left="0.7" right="0.7" top="0.75"/>
  <pageSetup paperSize="9" scale="63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0"/>
    <col customWidth="1" min="3" max="3" width="29.86"/>
    <col customWidth="1" min="4" max="4" width="10.86"/>
    <col customWidth="1" min="5" max="5" width="8.29"/>
    <col customWidth="1" min="6" max="6" width="4.43"/>
    <col customWidth="1" min="7" max="7" width="8.71"/>
    <col customWidth="1" min="8" max="8" width="3.43"/>
    <col customWidth="1" min="9" max="20" width="7.86"/>
    <col customWidth="1" min="21" max="21" width="8.57"/>
    <col customWidth="1" min="22" max="22" width="9.57"/>
    <col customWidth="1" min="23" max="23" width="9.14"/>
    <col customWidth="1" min="24" max="29" width="9.0"/>
  </cols>
  <sheetData>
    <row r="1" ht="12.75" customHeight="1">
      <c r="A1" s="1" t="s">
        <v>0</v>
      </c>
      <c r="B1" s="2"/>
      <c r="C1" s="2"/>
      <c r="D1" s="3"/>
      <c r="E1" s="3"/>
      <c r="F1" s="3"/>
      <c r="G1" s="3"/>
      <c r="H1" s="4"/>
      <c r="I1" s="1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2"/>
      <c r="Y1" s="6"/>
      <c r="Z1" s="2"/>
      <c r="AA1" s="6"/>
      <c r="AB1" s="2"/>
      <c r="AC1" s="6"/>
    </row>
    <row r="2" ht="12.75" customHeight="1">
      <c r="A2" s="1"/>
      <c r="B2" s="2"/>
      <c r="C2" s="2"/>
      <c r="D2" s="3"/>
      <c r="E2" s="3"/>
      <c r="F2" s="3"/>
      <c r="G2" s="3"/>
      <c r="H2" s="4"/>
      <c r="I2" s="1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2"/>
      <c r="Y2" s="6"/>
      <c r="Z2" s="2"/>
      <c r="AA2" s="6"/>
      <c r="AB2" s="2"/>
      <c r="AC2" s="6"/>
    </row>
    <row r="3" ht="12.75" customHeight="1">
      <c r="A3" s="7" t="s">
        <v>34</v>
      </c>
      <c r="B3" s="2"/>
      <c r="C3" s="2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2"/>
      <c r="Y3" s="6"/>
      <c r="Z3" s="2"/>
      <c r="AA3" s="6"/>
      <c r="AB3" s="2"/>
      <c r="AC3" s="6"/>
    </row>
    <row r="4" ht="12.75" customHeight="1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20</v>
      </c>
      <c r="G4" s="9" t="s">
        <v>8</v>
      </c>
      <c r="H4" s="10" t="s">
        <v>9</v>
      </c>
      <c r="I4" s="11">
        <v>43555.0</v>
      </c>
      <c r="J4" s="11">
        <v>43585.0</v>
      </c>
      <c r="K4" s="11">
        <v>43616.0</v>
      </c>
      <c r="L4" s="11">
        <v>43646.0</v>
      </c>
      <c r="M4" s="11">
        <v>43677.0</v>
      </c>
      <c r="N4" s="11">
        <v>43708.0</v>
      </c>
      <c r="O4" s="11">
        <v>43738.0</v>
      </c>
      <c r="P4" s="11">
        <v>43769.0</v>
      </c>
      <c r="Q4" s="11">
        <v>43799.0</v>
      </c>
      <c r="R4" s="11">
        <v>43830.0</v>
      </c>
      <c r="S4" s="11">
        <v>43861.0</v>
      </c>
      <c r="T4" s="11">
        <v>43890.0</v>
      </c>
      <c r="U4" s="26" t="s">
        <v>10</v>
      </c>
      <c r="V4" s="11" t="s">
        <v>11</v>
      </c>
      <c r="W4" s="11" t="s">
        <v>35</v>
      </c>
      <c r="X4" s="2"/>
      <c r="Y4" s="6"/>
      <c r="Z4" s="2"/>
      <c r="AA4" s="6"/>
      <c r="AB4" s="2"/>
      <c r="AC4" s="6"/>
    </row>
    <row r="5" ht="12.75" customHeight="1">
      <c r="A5" s="12"/>
      <c r="B5" s="12"/>
      <c r="C5" s="2"/>
      <c r="D5" s="3"/>
      <c r="E5" s="3"/>
      <c r="F5" s="3"/>
      <c r="G5" s="3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2"/>
      <c r="Y5" s="6"/>
      <c r="Z5" s="2"/>
      <c r="AA5" s="6"/>
      <c r="AB5" s="2"/>
      <c r="AC5" s="6"/>
    </row>
    <row r="6" ht="12.75" customHeight="1">
      <c r="A6" s="13" t="s">
        <v>13</v>
      </c>
      <c r="B6" s="2"/>
      <c r="C6" s="2"/>
      <c r="D6" s="3"/>
      <c r="E6" s="14"/>
      <c r="F6" s="3"/>
      <c r="G6" s="3"/>
      <c r="H6" s="4"/>
      <c r="I6" s="13" t="str">
        <f>+A6</f>
        <v>6100&gt;020 (Computer Equipment&gt;Cost)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"/>
      <c r="Y6" s="6"/>
      <c r="Z6" s="2"/>
      <c r="AA6" s="6"/>
      <c r="AB6" s="2"/>
      <c r="AC6" s="6"/>
    </row>
    <row r="7" ht="12.75" customHeight="1">
      <c r="A7" s="8"/>
      <c r="B7" s="2"/>
      <c r="C7" s="2"/>
      <c r="D7" s="3"/>
      <c r="E7" s="14"/>
      <c r="F7" s="3"/>
      <c r="G7" s="3"/>
      <c r="H7" s="4">
        <v>3.0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2"/>
      <c r="Y7" s="6"/>
      <c r="Z7" s="2"/>
      <c r="AA7" s="6"/>
      <c r="AB7" s="2"/>
      <c r="AC7" s="6"/>
    </row>
    <row r="8" ht="12.75" customHeight="1">
      <c r="A8" s="15">
        <v>42825.0</v>
      </c>
      <c r="B8" s="16">
        <v>18431.0</v>
      </c>
      <c r="C8" s="7" t="s">
        <v>14</v>
      </c>
      <c r="D8" s="17">
        <f>'FAR19'!G8</f>
        <v>16077.6</v>
      </c>
      <c r="E8" s="17"/>
      <c r="F8" s="3"/>
      <c r="G8" s="3">
        <f t="shared" ref="G8:G11" si="2">+D8+E8-F8</f>
        <v>16077.6</v>
      </c>
      <c r="H8" s="4"/>
      <c r="I8" s="3">
        <f t="shared" ref="I8:T8" si="1">+$G8/$H$7/12</f>
        <v>446.6</v>
      </c>
      <c r="J8" s="3">
        <f t="shared" si="1"/>
        <v>446.6</v>
      </c>
      <c r="K8" s="3">
        <f t="shared" si="1"/>
        <v>446.6</v>
      </c>
      <c r="L8" s="3">
        <f t="shared" si="1"/>
        <v>446.6</v>
      </c>
      <c r="M8" s="3">
        <f t="shared" si="1"/>
        <v>446.6</v>
      </c>
      <c r="N8" s="3">
        <f t="shared" si="1"/>
        <v>446.6</v>
      </c>
      <c r="O8" s="3">
        <f t="shared" si="1"/>
        <v>446.6</v>
      </c>
      <c r="P8" s="3">
        <f t="shared" si="1"/>
        <v>446.6</v>
      </c>
      <c r="Q8" s="3">
        <f t="shared" si="1"/>
        <v>446.6</v>
      </c>
      <c r="R8" s="3">
        <f t="shared" si="1"/>
        <v>446.6</v>
      </c>
      <c r="S8" s="3">
        <f t="shared" si="1"/>
        <v>446.6</v>
      </c>
      <c r="T8" s="3">
        <f t="shared" si="1"/>
        <v>446.6</v>
      </c>
      <c r="U8" s="3">
        <f t="shared" ref="U8:U11" si="4">SUM(I8:T8)</f>
        <v>5359.2</v>
      </c>
      <c r="V8" s="3">
        <f>U8+'FAR19'!V8</f>
        <v>15631</v>
      </c>
      <c r="W8" s="3">
        <f t="shared" ref="W8:W11" si="5">+G8-V8</f>
        <v>446.6</v>
      </c>
      <c r="X8" s="2"/>
      <c r="Y8" s="6"/>
      <c r="Z8" s="2"/>
      <c r="AA8" s="6"/>
      <c r="AB8" s="2"/>
      <c r="AC8" s="6"/>
    </row>
    <row r="9" ht="12.75" customHeight="1">
      <c r="A9" s="15">
        <v>42825.0</v>
      </c>
      <c r="B9" s="16">
        <v>18431.0</v>
      </c>
      <c r="C9" s="7" t="s">
        <v>15</v>
      </c>
      <c r="D9" s="17">
        <f>'FAR19'!G9</f>
        <v>10078.8</v>
      </c>
      <c r="E9" s="17"/>
      <c r="F9" s="3"/>
      <c r="G9" s="3">
        <f t="shared" si="2"/>
        <v>10078.8</v>
      </c>
      <c r="H9" s="4"/>
      <c r="I9" s="3">
        <f t="shared" ref="I9:T9" si="3">+$G9/$H$7/12</f>
        <v>279.9666667</v>
      </c>
      <c r="J9" s="3">
        <f t="shared" si="3"/>
        <v>279.9666667</v>
      </c>
      <c r="K9" s="3">
        <f t="shared" si="3"/>
        <v>279.9666667</v>
      </c>
      <c r="L9" s="3">
        <f t="shared" si="3"/>
        <v>279.9666667</v>
      </c>
      <c r="M9" s="3">
        <f t="shared" si="3"/>
        <v>279.9666667</v>
      </c>
      <c r="N9" s="3">
        <f t="shared" si="3"/>
        <v>279.9666667</v>
      </c>
      <c r="O9" s="3">
        <f t="shared" si="3"/>
        <v>279.9666667</v>
      </c>
      <c r="P9" s="3">
        <f t="shared" si="3"/>
        <v>279.9666667</v>
      </c>
      <c r="Q9" s="3">
        <f t="shared" si="3"/>
        <v>279.9666667</v>
      </c>
      <c r="R9" s="3">
        <f t="shared" si="3"/>
        <v>279.9666667</v>
      </c>
      <c r="S9" s="3">
        <f t="shared" si="3"/>
        <v>279.9666667</v>
      </c>
      <c r="T9" s="3">
        <f t="shared" si="3"/>
        <v>279.9666667</v>
      </c>
      <c r="U9" s="3">
        <f t="shared" si="4"/>
        <v>3359.6</v>
      </c>
      <c r="V9" s="3">
        <f>U9+'FAR19'!V9</f>
        <v>9798.833333</v>
      </c>
      <c r="W9" s="3">
        <f t="shared" si="5"/>
        <v>279.9666667</v>
      </c>
      <c r="X9" s="2"/>
      <c r="Y9" s="6"/>
      <c r="Z9" s="2"/>
      <c r="AA9" s="6"/>
      <c r="AB9" s="2"/>
      <c r="AC9" s="6"/>
    </row>
    <row r="10" ht="12.75" customHeight="1">
      <c r="A10" s="15">
        <v>43046.0</v>
      </c>
      <c r="B10" s="16" t="s">
        <v>16</v>
      </c>
      <c r="C10" s="7" t="s">
        <v>17</v>
      </c>
      <c r="D10" s="17">
        <f>'FAR19'!G10</f>
        <v>52651</v>
      </c>
      <c r="E10" s="17"/>
      <c r="F10" s="3"/>
      <c r="G10" s="3">
        <f t="shared" si="2"/>
        <v>52651</v>
      </c>
      <c r="H10" s="4"/>
      <c r="I10" s="3">
        <f t="shared" ref="I10:T10" si="6">+$G10/$H$7/12</f>
        <v>1462.527778</v>
      </c>
      <c r="J10" s="3">
        <f t="shared" si="6"/>
        <v>1462.527778</v>
      </c>
      <c r="K10" s="3">
        <f t="shared" si="6"/>
        <v>1462.527778</v>
      </c>
      <c r="L10" s="3">
        <f t="shared" si="6"/>
        <v>1462.527778</v>
      </c>
      <c r="M10" s="3">
        <f t="shared" si="6"/>
        <v>1462.527778</v>
      </c>
      <c r="N10" s="3">
        <f t="shared" si="6"/>
        <v>1462.527778</v>
      </c>
      <c r="O10" s="3">
        <f t="shared" si="6"/>
        <v>1462.527778</v>
      </c>
      <c r="P10" s="3">
        <f t="shared" si="6"/>
        <v>1462.527778</v>
      </c>
      <c r="Q10" s="3">
        <f t="shared" si="6"/>
        <v>1462.527778</v>
      </c>
      <c r="R10" s="3">
        <f t="shared" si="6"/>
        <v>1462.527778</v>
      </c>
      <c r="S10" s="3">
        <f t="shared" si="6"/>
        <v>1462.527778</v>
      </c>
      <c r="T10" s="3">
        <f t="shared" si="6"/>
        <v>1462.527778</v>
      </c>
      <c r="U10" s="3">
        <f t="shared" si="4"/>
        <v>17550.33333</v>
      </c>
      <c r="V10" s="3">
        <f>U10+'FAR19'!V10</f>
        <v>40594.16142</v>
      </c>
      <c r="W10" s="3">
        <f t="shared" si="5"/>
        <v>12056.83858</v>
      </c>
      <c r="X10" s="2"/>
      <c r="Y10" s="6"/>
      <c r="Z10" s="2"/>
      <c r="AA10" s="6"/>
      <c r="AB10" s="2"/>
      <c r="AC10" s="6"/>
    </row>
    <row r="11" ht="12.75" customHeight="1">
      <c r="A11" s="15">
        <v>43160.0</v>
      </c>
      <c r="B11" s="16">
        <v>21643.0</v>
      </c>
      <c r="C11" s="7" t="s">
        <v>30</v>
      </c>
      <c r="D11" s="17">
        <f>'FAR19'!G11</f>
        <v>92322.7</v>
      </c>
      <c r="E11" s="17"/>
      <c r="F11" s="3"/>
      <c r="G11" s="3">
        <f t="shared" si="2"/>
        <v>92322.7</v>
      </c>
      <c r="H11" s="4"/>
      <c r="I11" s="3">
        <f t="shared" ref="I11:T11" si="7">+$G11/$H$7/12</f>
        <v>2564.519444</v>
      </c>
      <c r="J11" s="3">
        <f t="shared" si="7"/>
        <v>2564.519444</v>
      </c>
      <c r="K11" s="3">
        <f t="shared" si="7"/>
        <v>2564.519444</v>
      </c>
      <c r="L11" s="3">
        <f t="shared" si="7"/>
        <v>2564.519444</v>
      </c>
      <c r="M11" s="3">
        <f t="shared" si="7"/>
        <v>2564.519444</v>
      </c>
      <c r="N11" s="3">
        <f t="shared" si="7"/>
        <v>2564.519444</v>
      </c>
      <c r="O11" s="3">
        <f t="shared" si="7"/>
        <v>2564.519444</v>
      </c>
      <c r="P11" s="3">
        <f t="shared" si="7"/>
        <v>2564.519444</v>
      </c>
      <c r="Q11" s="3">
        <f t="shared" si="7"/>
        <v>2564.519444</v>
      </c>
      <c r="R11" s="3">
        <f t="shared" si="7"/>
        <v>2564.519444</v>
      </c>
      <c r="S11" s="3">
        <f t="shared" si="7"/>
        <v>2564.519444</v>
      </c>
      <c r="T11" s="3">
        <f t="shared" si="7"/>
        <v>2564.519444</v>
      </c>
      <c r="U11" s="3">
        <f t="shared" si="4"/>
        <v>30774.23333</v>
      </c>
      <c r="V11" s="3">
        <f>U11+'FAR19'!V11</f>
        <v>61548.46667</v>
      </c>
      <c r="W11" s="3">
        <f t="shared" si="5"/>
        <v>30774.23333</v>
      </c>
      <c r="X11" s="2"/>
      <c r="Y11" s="6"/>
      <c r="Z11" s="2"/>
      <c r="AA11" s="6"/>
      <c r="AB11" s="2"/>
      <c r="AC11" s="6"/>
    </row>
    <row r="12" ht="12.75" customHeight="1">
      <c r="A12" s="15"/>
      <c r="B12" s="18"/>
      <c r="C12" s="7"/>
      <c r="D12" s="3"/>
      <c r="E12" s="17"/>
      <c r="F12" s="3"/>
      <c r="G12" s="3"/>
      <c r="H12" s="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2"/>
      <c r="Y12" s="6"/>
      <c r="Z12" s="2"/>
      <c r="AA12" s="6"/>
      <c r="AB12" s="2"/>
      <c r="AC12" s="2"/>
    </row>
    <row r="13" ht="12.75" customHeight="1">
      <c r="A13" s="19"/>
      <c r="B13" s="20"/>
      <c r="C13" s="13"/>
      <c r="D13" s="21">
        <f t="shared" ref="D13:E13" si="8">SUM(D6:D12)</f>
        <v>171130.1</v>
      </c>
      <c r="E13" s="21">
        <f t="shared" si="8"/>
        <v>0</v>
      </c>
      <c r="F13" s="22"/>
      <c r="G13" s="22">
        <f>SUM(G8:G12)</f>
        <v>171130.1</v>
      </c>
      <c r="H13" s="4"/>
      <c r="I13" s="22">
        <f t="shared" ref="I13:W13" si="9">SUM(I8:I12)</f>
        <v>4753.613889</v>
      </c>
      <c r="J13" s="22">
        <f t="shared" si="9"/>
        <v>4753.613889</v>
      </c>
      <c r="K13" s="22">
        <f t="shared" si="9"/>
        <v>4753.613889</v>
      </c>
      <c r="L13" s="22">
        <f t="shared" si="9"/>
        <v>4753.613889</v>
      </c>
      <c r="M13" s="22">
        <f t="shared" si="9"/>
        <v>4753.613889</v>
      </c>
      <c r="N13" s="22">
        <f t="shared" si="9"/>
        <v>4753.613889</v>
      </c>
      <c r="O13" s="22">
        <f t="shared" si="9"/>
        <v>4753.613889</v>
      </c>
      <c r="P13" s="22">
        <f t="shared" si="9"/>
        <v>4753.613889</v>
      </c>
      <c r="Q13" s="22">
        <f t="shared" si="9"/>
        <v>4753.613889</v>
      </c>
      <c r="R13" s="22">
        <f t="shared" si="9"/>
        <v>4753.613889</v>
      </c>
      <c r="S13" s="22">
        <f t="shared" si="9"/>
        <v>4753.613889</v>
      </c>
      <c r="T13" s="22">
        <f t="shared" si="9"/>
        <v>4753.613889</v>
      </c>
      <c r="U13" s="22">
        <f t="shared" si="9"/>
        <v>57043.36667</v>
      </c>
      <c r="V13" s="22">
        <f t="shared" si="9"/>
        <v>127572.4614</v>
      </c>
      <c r="W13" s="22">
        <f t="shared" si="9"/>
        <v>43557.63858</v>
      </c>
      <c r="X13" s="2"/>
      <c r="Y13" s="6"/>
      <c r="Z13" s="2"/>
      <c r="AA13" s="6"/>
      <c r="AB13" s="23"/>
      <c r="AC13" s="23"/>
    </row>
    <row r="14" ht="12.75" customHeight="1">
      <c r="A14" s="15"/>
      <c r="B14" s="18"/>
      <c r="C14" s="7"/>
      <c r="D14" s="3"/>
      <c r="E14" s="17"/>
      <c r="F14" s="3"/>
      <c r="G14" s="3"/>
      <c r="H14" s="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"/>
      <c r="Y14" s="6"/>
      <c r="Z14" s="2"/>
      <c r="AA14" s="6"/>
      <c r="AB14" s="2"/>
      <c r="AC14" s="2"/>
    </row>
    <row r="15" ht="12.75" customHeight="1">
      <c r="A15" s="8" t="s">
        <v>2</v>
      </c>
      <c r="B15" s="8" t="s">
        <v>3</v>
      </c>
      <c r="C15" s="8" t="s">
        <v>4</v>
      </c>
      <c r="D15" s="9" t="s">
        <v>18</v>
      </c>
      <c r="E15" s="9" t="s">
        <v>6</v>
      </c>
      <c r="F15" s="9" t="s">
        <v>20</v>
      </c>
      <c r="G15" s="9" t="s">
        <v>8</v>
      </c>
      <c r="H15" s="10" t="s">
        <v>9</v>
      </c>
      <c r="I15" s="11">
        <v>43555.0</v>
      </c>
      <c r="J15" s="11">
        <v>43585.0</v>
      </c>
      <c r="K15" s="11">
        <v>43616.0</v>
      </c>
      <c r="L15" s="11">
        <v>43646.0</v>
      </c>
      <c r="M15" s="11">
        <v>43677.0</v>
      </c>
      <c r="N15" s="11">
        <v>43708.0</v>
      </c>
      <c r="O15" s="11">
        <v>43738.0</v>
      </c>
      <c r="P15" s="11">
        <v>43769.0</v>
      </c>
      <c r="Q15" s="11">
        <v>43799.0</v>
      </c>
      <c r="R15" s="11">
        <v>43830.0</v>
      </c>
      <c r="S15" s="11">
        <v>43861.0</v>
      </c>
      <c r="T15" s="11">
        <v>43890.0</v>
      </c>
      <c r="U15" s="11" t="s">
        <v>10</v>
      </c>
      <c r="V15" s="11" t="s">
        <v>11</v>
      </c>
      <c r="W15" s="11" t="s">
        <v>35</v>
      </c>
      <c r="X15" s="2"/>
      <c r="Y15" s="6"/>
      <c r="Z15" s="2"/>
      <c r="AA15" s="6"/>
      <c r="AB15" s="2"/>
      <c r="AC15" s="6"/>
    </row>
    <row r="16" ht="12.75" customHeight="1">
      <c r="A16" s="13" t="s">
        <v>21</v>
      </c>
      <c r="B16" s="2"/>
      <c r="C16" s="2"/>
      <c r="D16" s="14"/>
      <c r="E16" s="3"/>
      <c r="F16" s="3"/>
      <c r="G16" s="3"/>
      <c r="H16" s="4" t="s">
        <v>22</v>
      </c>
      <c r="I16" s="13" t="str">
        <f>+A16</f>
        <v>6200&gt;020 (Furniture &amp; Fittings&gt;Cost)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2"/>
      <c r="Z16" s="2"/>
      <c r="AA16" s="2"/>
      <c r="AB16" s="2"/>
      <c r="AC16" s="2"/>
    </row>
    <row r="17" ht="12.75" customHeight="1">
      <c r="A17" s="8"/>
      <c r="B17" s="2"/>
      <c r="C17" s="2"/>
      <c r="D17" s="14"/>
      <c r="E17" s="3"/>
      <c r="F17" s="3"/>
      <c r="G17" s="3"/>
      <c r="H17" s="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2"/>
      <c r="Z17" s="2"/>
      <c r="AA17" s="2"/>
      <c r="AB17" s="2"/>
      <c r="AC17" s="2"/>
    </row>
    <row r="18" ht="12.75" customHeight="1">
      <c r="A18" s="15">
        <v>42836.0</v>
      </c>
      <c r="B18" s="16">
        <v>30110.0</v>
      </c>
      <c r="C18" s="7" t="s">
        <v>23</v>
      </c>
      <c r="D18" s="17">
        <f>'FAR19'!G18</f>
        <v>52250</v>
      </c>
      <c r="E18" s="3"/>
      <c r="F18" s="3"/>
      <c r="G18" s="3">
        <f t="shared" ref="G18:G23" si="11">+D18+E18-F18</f>
        <v>52250</v>
      </c>
      <c r="H18" s="4"/>
      <c r="I18" s="3">
        <f t="shared" ref="I18:T18" si="10">+$G18/$H$16/12</f>
        <v>725.6944444</v>
      </c>
      <c r="J18" s="3">
        <f t="shared" si="10"/>
        <v>725.6944444</v>
      </c>
      <c r="K18" s="3">
        <f t="shared" si="10"/>
        <v>725.6944444</v>
      </c>
      <c r="L18" s="3">
        <f t="shared" si="10"/>
        <v>725.6944444</v>
      </c>
      <c r="M18" s="3">
        <f t="shared" si="10"/>
        <v>725.6944444</v>
      </c>
      <c r="N18" s="3">
        <f t="shared" si="10"/>
        <v>725.6944444</v>
      </c>
      <c r="O18" s="3">
        <f t="shared" si="10"/>
        <v>725.6944444</v>
      </c>
      <c r="P18" s="3">
        <f t="shared" si="10"/>
        <v>725.6944444</v>
      </c>
      <c r="Q18" s="3">
        <f t="shared" si="10"/>
        <v>725.6944444</v>
      </c>
      <c r="R18" s="3">
        <f t="shared" si="10"/>
        <v>725.6944444</v>
      </c>
      <c r="S18" s="3">
        <f t="shared" si="10"/>
        <v>725.6944444</v>
      </c>
      <c r="T18" s="3">
        <f t="shared" si="10"/>
        <v>725.6944444</v>
      </c>
      <c r="U18" s="3">
        <f t="shared" ref="U18:U23" si="13">SUM(I18:T18)</f>
        <v>8708.333333</v>
      </c>
      <c r="V18" s="3">
        <f>U18+'FAR19'!V18</f>
        <v>25126.92161</v>
      </c>
      <c r="W18" s="3">
        <f t="shared" ref="W18:W23" si="14">+G18-V18</f>
        <v>27123.07839</v>
      </c>
      <c r="X18" s="2"/>
      <c r="Y18" s="3"/>
      <c r="Z18" s="2"/>
      <c r="AA18" s="2"/>
      <c r="AB18" s="2"/>
      <c r="AC18" s="2"/>
    </row>
    <row r="19" ht="12.75" customHeight="1">
      <c r="A19" s="15">
        <v>43165.0</v>
      </c>
      <c r="B19" s="16" t="s">
        <v>31</v>
      </c>
      <c r="C19" s="7" t="s">
        <v>32</v>
      </c>
      <c r="D19" s="17">
        <f>'FAR19'!G19</f>
        <v>44144</v>
      </c>
      <c r="E19" s="3"/>
      <c r="F19" s="3"/>
      <c r="G19" s="3">
        <f t="shared" si="11"/>
        <v>44144</v>
      </c>
      <c r="H19" s="4"/>
      <c r="I19" s="3">
        <f t="shared" ref="I19:T19" si="12">+$G19/$H$16/12</f>
        <v>613.1111111</v>
      </c>
      <c r="J19" s="3">
        <f t="shared" si="12"/>
        <v>613.1111111</v>
      </c>
      <c r="K19" s="3">
        <f t="shared" si="12"/>
        <v>613.1111111</v>
      </c>
      <c r="L19" s="3">
        <f t="shared" si="12"/>
        <v>613.1111111</v>
      </c>
      <c r="M19" s="3">
        <f t="shared" si="12"/>
        <v>613.1111111</v>
      </c>
      <c r="N19" s="3">
        <f t="shared" si="12"/>
        <v>613.1111111</v>
      </c>
      <c r="O19" s="3">
        <f t="shared" si="12"/>
        <v>613.1111111</v>
      </c>
      <c r="P19" s="3">
        <f t="shared" si="12"/>
        <v>613.1111111</v>
      </c>
      <c r="Q19" s="3">
        <f t="shared" si="12"/>
        <v>613.1111111</v>
      </c>
      <c r="R19" s="3">
        <f t="shared" si="12"/>
        <v>613.1111111</v>
      </c>
      <c r="S19" s="3">
        <f t="shared" si="12"/>
        <v>613.1111111</v>
      </c>
      <c r="T19" s="3">
        <f t="shared" si="12"/>
        <v>613.1111111</v>
      </c>
      <c r="U19" s="3">
        <f t="shared" si="13"/>
        <v>7357.333333</v>
      </c>
      <c r="V19" s="3">
        <f>U19+'FAR19'!V19</f>
        <v>14605.4825</v>
      </c>
      <c r="W19" s="3">
        <f t="shared" si="14"/>
        <v>29538.5175</v>
      </c>
      <c r="X19" s="2"/>
      <c r="Y19" s="3"/>
      <c r="Z19" s="2"/>
      <c r="AA19" s="2"/>
      <c r="AB19" s="2"/>
      <c r="AC19" s="2"/>
    </row>
    <row r="20" ht="12.75" customHeight="1">
      <c r="A20" s="15">
        <v>43179.0</v>
      </c>
      <c r="B20" s="16">
        <v>32006.0</v>
      </c>
      <c r="C20" s="7" t="s">
        <v>33</v>
      </c>
      <c r="D20" s="17">
        <f>'FAR19'!G20</f>
        <v>19430</v>
      </c>
      <c r="E20" s="3"/>
      <c r="F20" s="3"/>
      <c r="G20" s="3">
        <f t="shared" si="11"/>
        <v>19430</v>
      </c>
      <c r="H20" s="4"/>
      <c r="I20" s="3">
        <f t="shared" ref="I20:T20" si="15">+$G20/$H$16/12</f>
        <v>269.8611111</v>
      </c>
      <c r="J20" s="3">
        <f t="shared" si="15"/>
        <v>269.8611111</v>
      </c>
      <c r="K20" s="3">
        <f t="shared" si="15"/>
        <v>269.8611111</v>
      </c>
      <c r="L20" s="3">
        <f t="shared" si="15"/>
        <v>269.8611111</v>
      </c>
      <c r="M20" s="3">
        <f t="shared" si="15"/>
        <v>269.8611111</v>
      </c>
      <c r="N20" s="3">
        <f t="shared" si="15"/>
        <v>269.8611111</v>
      </c>
      <c r="O20" s="3">
        <f t="shared" si="15"/>
        <v>269.8611111</v>
      </c>
      <c r="P20" s="3">
        <f t="shared" si="15"/>
        <v>269.8611111</v>
      </c>
      <c r="Q20" s="3">
        <f t="shared" si="15"/>
        <v>269.8611111</v>
      </c>
      <c r="R20" s="3">
        <f t="shared" si="15"/>
        <v>269.8611111</v>
      </c>
      <c r="S20" s="3">
        <f t="shared" si="15"/>
        <v>269.8611111</v>
      </c>
      <c r="T20" s="3">
        <f t="shared" si="15"/>
        <v>269.8611111</v>
      </c>
      <c r="U20" s="3">
        <f t="shared" si="13"/>
        <v>3238.333333</v>
      </c>
      <c r="V20" s="3">
        <f>U20+'FAR19'!V20</f>
        <v>6304.399163</v>
      </c>
      <c r="W20" s="3">
        <f t="shared" si="14"/>
        <v>13125.60084</v>
      </c>
      <c r="X20" s="2"/>
      <c r="Y20" s="3"/>
      <c r="Z20" s="2"/>
      <c r="AA20" s="2"/>
      <c r="AB20" s="2"/>
      <c r="AC20" s="2"/>
    </row>
    <row r="21" ht="12.75" customHeight="1">
      <c r="A21" s="15">
        <v>43578.0</v>
      </c>
      <c r="B21" s="16" t="s">
        <v>36</v>
      </c>
      <c r="C21" s="7" t="s">
        <v>37</v>
      </c>
      <c r="D21" s="17"/>
      <c r="E21" s="3">
        <v>26544.0</v>
      </c>
      <c r="F21" s="3"/>
      <c r="G21" s="3">
        <f t="shared" si="11"/>
        <v>26544</v>
      </c>
      <c r="H21" s="4"/>
      <c r="I21" s="3"/>
      <c r="J21" s="3">
        <f>+$G21/$H$16/365*(30-23)</f>
        <v>84.84383562</v>
      </c>
      <c r="K21" s="3">
        <f t="shared" ref="K21:T21" si="16">+$G21/$H$16/12</f>
        <v>368.6666667</v>
      </c>
      <c r="L21" s="3">
        <f t="shared" si="16"/>
        <v>368.6666667</v>
      </c>
      <c r="M21" s="3">
        <f t="shared" si="16"/>
        <v>368.6666667</v>
      </c>
      <c r="N21" s="3">
        <f t="shared" si="16"/>
        <v>368.6666667</v>
      </c>
      <c r="O21" s="3">
        <f t="shared" si="16"/>
        <v>368.6666667</v>
      </c>
      <c r="P21" s="3">
        <f t="shared" si="16"/>
        <v>368.6666667</v>
      </c>
      <c r="Q21" s="3">
        <f t="shared" si="16"/>
        <v>368.6666667</v>
      </c>
      <c r="R21" s="3">
        <f t="shared" si="16"/>
        <v>368.6666667</v>
      </c>
      <c r="S21" s="3">
        <f t="shared" si="16"/>
        <v>368.6666667</v>
      </c>
      <c r="T21" s="3">
        <f t="shared" si="16"/>
        <v>368.6666667</v>
      </c>
      <c r="U21" s="3">
        <f t="shared" si="13"/>
        <v>3771.510502</v>
      </c>
      <c r="V21" s="3">
        <f>U21+'FAR19'!V21</f>
        <v>3771.510502</v>
      </c>
      <c r="W21" s="3">
        <f t="shared" si="14"/>
        <v>22772.4895</v>
      </c>
      <c r="X21" s="2"/>
      <c r="Y21" s="3"/>
      <c r="Z21" s="2"/>
      <c r="AA21" s="2"/>
      <c r="AB21" s="2"/>
      <c r="AC21" s="2"/>
    </row>
    <row r="22" ht="12.75" customHeight="1">
      <c r="A22" s="15">
        <v>43710.0</v>
      </c>
      <c r="B22" s="16">
        <v>34825.0</v>
      </c>
      <c r="C22" s="7" t="s">
        <v>38</v>
      </c>
      <c r="D22" s="27"/>
      <c r="E22" s="3">
        <f>15064+703</f>
        <v>15767</v>
      </c>
      <c r="F22" s="3"/>
      <c r="G22" s="3">
        <f t="shared" si="11"/>
        <v>15767</v>
      </c>
      <c r="H22" s="4"/>
      <c r="I22" s="28"/>
      <c r="J22" s="28"/>
      <c r="K22" s="28"/>
      <c r="L22" s="28"/>
      <c r="M22" s="28"/>
      <c r="N22" s="28"/>
      <c r="O22" s="3">
        <f t="shared" ref="O22:T22" si="17">+$G22/$H$16/12</f>
        <v>218.9861111</v>
      </c>
      <c r="P22" s="3">
        <f t="shared" si="17"/>
        <v>218.9861111</v>
      </c>
      <c r="Q22" s="3">
        <f t="shared" si="17"/>
        <v>218.9861111</v>
      </c>
      <c r="R22" s="3">
        <f t="shared" si="17"/>
        <v>218.9861111</v>
      </c>
      <c r="S22" s="3">
        <f t="shared" si="17"/>
        <v>218.9861111</v>
      </c>
      <c r="T22" s="3">
        <f t="shared" si="17"/>
        <v>218.9861111</v>
      </c>
      <c r="U22" s="3">
        <f t="shared" si="13"/>
        <v>1313.916667</v>
      </c>
      <c r="V22" s="3">
        <f t="shared" ref="V22:V23" si="19">U22</f>
        <v>1313.916667</v>
      </c>
      <c r="W22" s="3">
        <f t="shared" si="14"/>
        <v>14453.08333</v>
      </c>
      <c r="X22" s="2"/>
      <c r="Y22" s="3"/>
      <c r="Z22" s="2"/>
      <c r="AA22" s="2"/>
      <c r="AB22" s="2"/>
      <c r="AC22" s="2"/>
    </row>
    <row r="23" ht="12.75" customHeight="1">
      <c r="A23" s="15">
        <v>43710.0</v>
      </c>
      <c r="B23" s="16">
        <v>34825.0</v>
      </c>
      <c r="C23" s="7" t="s">
        <v>39</v>
      </c>
      <c r="D23" s="28"/>
      <c r="E23" s="17">
        <f>24500+1147</f>
        <v>25647</v>
      </c>
      <c r="F23" s="3"/>
      <c r="G23" s="3">
        <f t="shared" si="11"/>
        <v>25647</v>
      </c>
      <c r="H23" s="4"/>
      <c r="I23" s="28"/>
      <c r="J23" s="28"/>
      <c r="K23" s="28"/>
      <c r="L23" s="28"/>
      <c r="M23" s="28"/>
      <c r="N23" s="28"/>
      <c r="O23" s="3">
        <f t="shared" ref="O23:T23" si="18">+$G23/$H$16/12</f>
        <v>356.2083333</v>
      </c>
      <c r="P23" s="3">
        <f t="shared" si="18"/>
        <v>356.2083333</v>
      </c>
      <c r="Q23" s="3">
        <f t="shared" si="18"/>
        <v>356.2083333</v>
      </c>
      <c r="R23" s="3">
        <f t="shared" si="18"/>
        <v>356.2083333</v>
      </c>
      <c r="S23" s="3">
        <f t="shared" si="18"/>
        <v>356.2083333</v>
      </c>
      <c r="T23" s="3">
        <f t="shared" si="18"/>
        <v>356.2083333</v>
      </c>
      <c r="U23" s="3">
        <f t="shared" si="13"/>
        <v>2137.25</v>
      </c>
      <c r="V23" s="3">
        <f t="shared" si="19"/>
        <v>2137.25</v>
      </c>
      <c r="W23" s="3">
        <f t="shared" si="14"/>
        <v>23509.75</v>
      </c>
      <c r="X23" s="2"/>
      <c r="Y23" s="3"/>
      <c r="Z23" s="2"/>
      <c r="AA23" s="2"/>
      <c r="AB23" s="2"/>
      <c r="AC23" s="2"/>
    </row>
    <row r="24" ht="12.75" customHeight="1">
      <c r="A24" s="15"/>
      <c r="B24" s="16"/>
      <c r="C24" s="7"/>
      <c r="D24" s="3"/>
      <c r="E24" s="17"/>
      <c r="F24" s="3"/>
      <c r="G24" s="3"/>
      <c r="H24" s="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  <c r="Y24" s="2"/>
      <c r="Z24" s="2"/>
      <c r="AA24" s="2"/>
      <c r="AB24" s="2"/>
      <c r="AC24" s="2"/>
    </row>
    <row r="25" ht="12.75" customHeight="1">
      <c r="A25" s="23"/>
      <c r="B25" s="23"/>
      <c r="C25" s="23"/>
      <c r="D25" s="22">
        <f t="shared" ref="D25:E25" si="20">SUM(D16:D24)</f>
        <v>115824</v>
      </c>
      <c r="E25" s="22">
        <f t="shared" si="20"/>
        <v>67958</v>
      </c>
      <c r="F25" s="22">
        <f>SUM(F16:F23)</f>
        <v>0</v>
      </c>
      <c r="G25" s="22">
        <f>SUM(D25:F25)</f>
        <v>183782</v>
      </c>
      <c r="H25" s="4"/>
      <c r="I25" s="22">
        <f t="shared" ref="I25:W25" si="21">SUM(I18:I24)</f>
        <v>1608.666667</v>
      </c>
      <c r="J25" s="22">
        <f t="shared" si="21"/>
        <v>1693.510502</v>
      </c>
      <c r="K25" s="22">
        <f t="shared" si="21"/>
        <v>1977.333333</v>
      </c>
      <c r="L25" s="22">
        <f t="shared" si="21"/>
        <v>1977.333333</v>
      </c>
      <c r="M25" s="22">
        <f t="shared" si="21"/>
        <v>1977.333333</v>
      </c>
      <c r="N25" s="22">
        <f t="shared" si="21"/>
        <v>1977.333333</v>
      </c>
      <c r="O25" s="22">
        <f t="shared" si="21"/>
        <v>2552.527778</v>
      </c>
      <c r="P25" s="22">
        <f t="shared" si="21"/>
        <v>2552.527778</v>
      </c>
      <c r="Q25" s="22">
        <f t="shared" si="21"/>
        <v>2552.527778</v>
      </c>
      <c r="R25" s="22">
        <f t="shared" si="21"/>
        <v>2552.527778</v>
      </c>
      <c r="S25" s="22">
        <f t="shared" si="21"/>
        <v>2552.527778</v>
      </c>
      <c r="T25" s="22">
        <f t="shared" si="21"/>
        <v>2552.527778</v>
      </c>
      <c r="U25" s="22">
        <f t="shared" si="21"/>
        <v>26526.67717</v>
      </c>
      <c r="V25" s="22">
        <f t="shared" si="21"/>
        <v>53259.48044</v>
      </c>
      <c r="W25" s="22">
        <f t="shared" si="21"/>
        <v>130522.5196</v>
      </c>
      <c r="X25" s="2"/>
      <c r="Y25" s="2"/>
      <c r="Z25" s="23"/>
      <c r="AA25" s="23"/>
      <c r="AB25" s="23"/>
      <c r="AC25" s="23"/>
    </row>
    <row r="26" ht="12.75" customHeight="1">
      <c r="A26" s="23"/>
      <c r="B26" s="23"/>
      <c r="C26" s="23"/>
      <c r="D26" s="24"/>
      <c r="E26" s="24"/>
      <c r="F26" s="24"/>
      <c r="G26" s="24"/>
      <c r="H26" s="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"/>
      <c r="Y26" s="2"/>
      <c r="Z26" s="23"/>
      <c r="AA26" s="23"/>
      <c r="AB26" s="23"/>
      <c r="AC26" s="23"/>
    </row>
    <row r="27" ht="12.75" customHeight="1">
      <c r="A27" s="8" t="s">
        <v>2</v>
      </c>
      <c r="B27" s="8" t="s">
        <v>3</v>
      </c>
      <c r="C27" s="8" t="s">
        <v>4</v>
      </c>
      <c r="D27" s="9" t="s">
        <v>18</v>
      </c>
      <c r="E27" s="9" t="s">
        <v>6</v>
      </c>
      <c r="F27" s="9" t="s">
        <v>20</v>
      </c>
      <c r="G27" s="9" t="s">
        <v>8</v>
      </c>
      <c r="H27" s="10" t="s">
        <v>9</v>
      </c>
      <c r="I27" s="11">
        <v>43555.0</v>
      </c>
      <c r="J27" s="11">
        <v>43585.0</v>
      </c>
      <c r="K27" s="11">
        <v>43616.0</v>
      </c>
      <c r="L27" s="11">
        <v>43646.0</v>
      </c>
      <c r="M27" s="11">
        <v>43677.0</v>
      </c>
      <c r="N27" s="11">
        <v>43708.0</v>
      </c>
      <c r="O27" s="11">
        <v>43738.0</v>
      </c>
      <c r="P27" s="11">
        <v>43769.0</v>
      </c>
      <c r="Q27" s="11">
        <v>43799.0</v>
      </c>
      <c r="R27" s="11">
        <v>43830.0</v>
      </c>
      <c r="S27" s="11">
        <v>43861.0</v>
      </c>
      <c r="T27" s="11">
        <v>43890.0</v>
      </c>
      <c r="U27" s="11" t="s">
        <v>10</v>
      </c>
      <c r="V27" s="11" t="s">
        <v>11</v>
      </c>
      <c r="W27" s="11" t="s">
        <v>35</v>
      </c>
      <c r="X27" s="2"/>
      <c r="Y27" s="6"/>
      <c r="Z27" s="2"/>
      <c r="AA27" s="6"/>
      <c r="AB27" s="2"/>
      <c r="AC27" s="6"/>
    </row>
    <row r="28" ht="12.75" customHeight="1">
      <c r="A28" s="13" t="s">
        <v>24</v>
      </c>
      <c r="B28" s="2"/>
      <c r="C28" s="2"/>
      <c r="D28" s="3"/>
      <c r="E28" s="14"/>
      <c r="F28" s="3"/>
      <c r="G28" s="3"/>
      <c r="H28" s="4" t="s">
        <v>25</v>
      </c>
      <c r="I28" s="13" t="str">
        <f>+A28</f>
        <v>6300&gt;020 (Motor Vehicles&gt;Cost)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2"/>
      <c r="Y28" s="2"/>
      <c r="Z28" s="2"/>
      <c r="AA28" s="2"/>
      <c r="AB28" s="2"/>
      <c r="AC28" s="2"/>
    </row>
    <row r="29" ht="12.75" customHeight="1">
      <c r="A29" s="8"/>
      <c r="B29" s="2"/>
      <c r="C29" s="2"/>
      <c r="D29" s="3"/>
      <c r="E29" s="14"/>
      <c r="F29" s="3"/>
      <c r="G29" s="3"/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2"/>
      <c r="Y29" s="2"/>
      <c r="Z29" s="2"/>
      <c r="AA29" s="2"/>
      <c r="AB29" s="2"/>
      <c r="AC29" s="2"/>
    </row>
    <row r="30" ht="12.75" customHeight="1">
      <c r="A30" s="15">
        <v>42860.0</v>
      </c>
      <c r="B30" s="16">
        <v>8.900964E7</v>
      </c>
      <c r="C30" s="7" t="s">
        <v>26</v>
      </c>
      <c r="D30" s="3">
        <v>255969.92</v>
      </c>
      <c r="E30" s="17"/>
      <c r="F30" s="3"/>
      <c r="G30" s="3">
        <f>+D30+E30-F30</f>
        <v>255969.92</v>
      </c>
      <c r="H30" s="4"/>
      <c r="I30" s="3">
        <f t="shared" ref="I30:T30" si="22">+$G30/$H$28/12</f>
        <v>4266.165333</v>
      </c>
      <c r="J30" s="3">
        <f t="shared" si="22"/>
        <v>4266.165333</v>
      </c>
      <c r="K30" s="3">
        <f t="shared" si="22"/>
        <v>4266.165333</v>
      </c>
      <c r="L30" s="3">
        <f t="shared" si="22"/>
        <v>4266.165333</v>
      </c>
      <c r="M30" s="3">
        <f t="shared" si="22"/>
        <v>4266.165333</v>
      </c>
      <c r="N30" s="3">
        <f t="shared" si="22"/>
        <v>4266.165333</v>
      </c>
      <c r="O30" s="3">
        <f t="shared" si="22"/>
        <v>4266.165333</v>
      </c>
      <c r="P30" s="3">
        <f t="shared" si="22"/>
        <v>4266.165333</v>
      </c>
      <c r="Q30" s="3">
        <f t="shared" si="22"/>
        <v>4266.165333</v>
      </c>
      <c r="R30" s="3">
        <f t="shared" si="22"/>
        <v>4266.165333</v>
      </c>
      <c r="S30" s="3">
        <f t="shared" si="22"/>
        <v>4266.165333</v>
      </c>
      <c r="T30" s="3">
        <f t="shared" si="22"/>
        <v>4266.165333</v>
      </c>
      <c r="U30" s="3">
        <f>SUM(I30:T30)</f>
        <v>51193.984</v>
      </c>
      <c r="V30" s="3">
        <f>U30+'FAR19'!V27</f>
        <v>144430.1508</v>
      </c>
      <c r="W30" s="3">
        <f>+G30-V30</f>
        <v>111539.7692</v>
      </c>
      <c r="X30" s="2"/>
      <c r="Y30" s="2"/>
      <c r="Z30" s="2"/>
      <c r="AA30" s="2"/>
      <c r="AB30" s="2"/>
      <c r="AC30" s="2"/>
    </row>
    <row r="31" ht="12.75" customHeight="1">
      <c r="A31" s="7"/>
      <c r="B31" s="7"/>
      <c r="C31" s="7"/>
      <c r="D31" s="3"/>
      <c r="E31" s="17"/>
      <c r="F31" s="3"/>
      <c r="G31" s="3"/>
      <c r="H31" s="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/>
      <c r="Y31" s="2"/>
      <c r="Z31" s="2"/>
      <c r="AA31" s="2"/>
      <c r="AB31" s="2"/>
      <c r="AC31" s="2"/>
    </row>
    <row r="32" ht="12.75" customHeight="1">
      <c r="A32" s="23"/>
      <c r="B32" s="23"/>
      <c r="C32" s="23"/>
      <c r="D32" s="22">
        <f t="shared" ref="D32:F32" si="23">SUM(D30)</f>
        <v>255969.92</v>
      </c>
      <c r="E32" s="21">
        <f t="shared" si="23"/>
        <v>0</v>
      </c>
      <c r="F32" s="22">
        <f t="shared" si="23"/>
        <v>0</v>
      </c>
      <c r="G32" s="22">
        <f>SUM(D32:F32)</f>
        <v>255969.92</v>
      </c>
      <c r="H32" s="4"/>
      <c r="I32" s="22">
        <f t="shared" ref="I32:W32" si="24">SUM(I30)</f>
        <v>4266.165333</v>
      </c>
      <c r="J32" s="22">
        <f t="shared" si="24"/>
        <v>4266.165333</v>
      </c>
      <c r="K32" s="22">
        <f t="shared" si="24"/>
        <v>4266.165333</v>
      </c>
      <c r="L32" s="22">
        <f t="shared" si="24"/>
        <v>4266.165333</v>
      </c>
      <c r="M32" s="22">
        <f t="shared" si="24"/>
        <v>4266.165333</v>
      </c>
      <c r="N32" s="22">
        <f t="shared" si="24"/>
        <v>4266.165333</v>
      </c>
      <c r="O32" s="22">
        <f t="shared" si="24"/>
        <v>4266.165333</v>
      </c>
      <c r="P32" s="22">
        <f t="shared" si="24"/>
        <v>4266.165333</v>
      </c>
      <c r="Q32" s="22">
        <f t="shared" si="24"/>
        <v>4266.165333</v>
      </c>
      <c r="R32" s="22">
        <f t="shared" si="24"/>
        <v>4266.165333</v>
      </c>
      <c r="S32" s="22">
        <f t="shared" si="24"/>
        <v>4266.165333</v>
      </c>
      <c r="T32" s="22">
        <f t="shared" si="24"/>
        <v>4266.165333</v>
      </c>
      <c r="U32" s="22">
        <f t="shared" si="24"/>
        <v>51193.984</v>
      </c>
      <c r="V32" s="22">
        <f t="shared" si="24"/>
        <v>144430.1508</v>
      </c>
      <c r="W32" s="22">
        <f t="shared" si="24"/>
        <v>111539.7692</v>
      </c>
      <c r="X32" s="23"/>
      <c r="Y32" s="23"/>
      <c r="Z32" s="23"/>
      <c r="AA32" s="23"/>
      <c r="AB32" s="23"/>
      <c r="AC32" s="23"/>
    </row>
    <row r="33" ht="12.75" customHeight="1">
      <c r="A33" s="2"/>
      <c r="B33" s="2"/>
      <c r="C33" s="2"/>
      <c r="D33" s="3"/>
      <c r="E33" s="9"/>
      <c r="F33" s="3"/>
      <c r="G33" s="3"/>
      <c r="H33" s="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2"/>
      <c r="Z33" s="2"/>
      <c r="AA33" s="2"/>
      <c r="AB33" s="2"/>
      <c r="AC33" s="2"/>
    </row>
    <row r="34" ht="12.75" customHeight="1">
      <c r="A34" s="23" t="s">
        <v>27</v>
      </c>
      <c r="B34" s="2"/>
      <c r="C34" s="2"/>
      <c r="D34" s="22">
        <f t="shared" ref="D34:G34" si="25">D13+D25+D32</f>
        <v>542924.02</v>
      </c>
      <c r="E34" s="22">
        <f t="shared" si="25"/>
        <v>67958</v>
      </c>
      <c r="F34" s="22">
        <f t="shared" si="25"/>
        <v>0</v>
      </c>
      <c r="G34" s="22">
        <f t="shared" si="25"/>
        <v>610882.02</v>
      </c>
      <c r="H34" s="4"/>
      <c r="I34" s="22">
        <f t="shared" ref="I34:W34" si="26">I13+I25+I32</f>
        <v>10628.44589</v>
      </c>
      <c r="J34" s="22">
        <f t="shared" si="26"/>
        <v>10713.28972</v>
      </c>
      <c r="K34" s="22">
        <f t="shared" si="26"/>
        <v>10997.11256</v>
      </c>
      <c r="L34" s="22">
        <f t="shared" si="26"/>
        <v>10997.11256</v>
      </c>
      <c r="M34" s="22">
        <f t="shared" si="26"/>
        <v>10997.11256</v>
      </c>
      <c r="N34" s="22">
        <f t="shared" si="26"/>
        <v>10997.11256</v>
      </c>
      <c r="O34" s="22">
        <f t="shared" si="26"/>
        <v>11572.307</v>
      </c>
      <c r="P34" s="22">
        <f t="shared" si="26"/>
        <v>11572.307</v>
      </c>
      <c r="Q34" s="22">
        <f t="shared" si="26"/>
        <v>11572.307</v>
      </c>
      <c r="R34" s="22">
        <f t="shared" si="26"/>
        <v>11572.307</v>
      </c>
      <c r="S34" s="22">
        <f t="shared" si="26"/>
        <v>11572.307</v>
      </c>
      <c r="T34" s="22">
        <f t="shared" si="26"/>
        <v>11572.307</v>
      </c>
      <c r="U34" s="22">
        <f t="shared" si="26"/>
        <v>134764.0278</v>
      </c>
      <c r="V34" s="22">
        <f t="shared" si="26"/>
        <v>325262.0926</v>
      </c>
      <c r="W34" s="22">
        <f t="shared" si="26"/>
        <v>285619.9274</v>
      </c>
      <c r="X34" s="2"/>
      <c r="Y34" s="2"/>
      <c r="Z34" s="2"/>
      <c r="AA34" s="2"/>
      <c r="AB34" s="2"/>
      <c r="AC34" s="2"/>
    </row>
    <row r="35" ht="12.75" customHeight="1">
      <c r="A35" s="2"/>
      <c r="B35" s="2"/>
      <c r="C35" s="2"/>
      <c r="D35" s="3"/>
      <c r="E35" s="3"/>
      <c r="F35" s="3"/>
      <c r="G35" s="3"/>
      <c r="H35" s="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2"/>
      <c r="Y35" s="2"/>
      <c r="Z35" s="2"/>
      <c r="AA35" s="2"/>
      <c r="AB35" s="2"/>
      <c r="AC35" s="2"/>
    </row>
    <row r="36" ht="12.75" customHeight="1">
      <c r="A36" s="2"/>
      <c r="B36" s="2"/>
      <c r="C36" s="2"/>
      <c r="D36" s="3"/>
      <c r="E36" s="3"/>
      <c r="F36" s="3"/>
      <c r="G36" s="3"/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>
        <f>'FAR19'!W31-'FAR20'!W34</f>
        <v>66806.02784</v>
      </c>
      <c r="V36" s="2" t="s">
        <v>40</v>
      </c>
      <c r="W36" s="5"/>
      <c r="X36" s="2"/>
      <c r="Y36" s="2"/>
      <c r="Z36" s="2"/>
      <c r="AA36" s="2"/>
      <c r="AB36" s="2"/>
      <c r="AC36" s="2"/>
    </row>
    <row r="37" ht="12.75" customHeight="1">
      <c r="A37" s="2"/>
      <c r="B37" s="2"/>
      <c r="C37" s="2"/>
      <c r="D37" s="3"/>
      <c r="E37" s="3"/>
      <c r="F37" s="3"/>
      <c r="G37" s="3"/>
      <c r="H37" s="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>
        <f>U34</f>
        <v>134764.0278</v>
      </c>
      <c r="V37" s="2" t="s">
        <v>41</v>
      </c>
      <c r="W37" s="5"/>
      <c r="X37" s="2"/>
      <c r="Y37" s="2"/>
      <c r="Z37" s="2"/>
      <c r="AA37" s="2"/>
      <c r="AB37" s="2"/>
      <c r="AC37" s="2"/>
    </row>
    <row r="38" ht="12.75" customHeight="1">
      <c r="A38" s="2"/>
      <c r="B38" s="2"/>
      <c r="C38" s="2"/>
      <c r="D38" s="3"/>
      <c r="E38" s="3"/>
      <c r="F38" s="3"/>
      <c r="G38" s="3"/>
      <c r="H38" s="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>
        <f>-E34</f>
        <v>-67958</v>
      </c>
      <c r="V38" s="2" t="s">
        <v>42</v>
      </c>
      <c r="W38" s="5"/>
      <c r="X38" s="2"/>
      <c r="Y38" s="2"/>
      <c r="Z38" s="2"/>
      <c r="AA38" s="2"/>
      <c r="AB38" s="2"/>
      <c r="AC38" s="2"/>
    </row>
    <row r="39" ht="12.75" customHeight="1">
      <c r="A39" s="2"/>
      <c r="B39" s="2"/>
      <c r="C39" s="2"/>
      <c r="D39" s="3"/>
      <c r="E39" s="3"/>
      <c r="F39" s="3"/>
      <c r="G39" s="3"/>
      <c r="H39" s="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>
        <f>SUM(U37:U38)</f>
        <v>66806.02784</v>
      </c>
      <c r="V39" s="3"/>
      <c r="W39" s="5"/>
      <c r="X39" s="2"/>
      <c r="Y39" s="2"/>
      <c r="Z39" s="2"/>
      <c r="AA39" s="2"/>
      <c r="AB39" s="2"/>
      <c r="AC39" s="2"/>
    </row>
    <row r="40" ht="12.75" customHeight="1">
      <c r="A40" s="2"/>
      <c r="B40" s="2"/>
      <c r="C40" s="2"/>
      <c r="D40" s="3"/>
      <c r="E40" s="3"/>
      <c r="F40" s="3"/>
      <c r="G40" s="3"/>
      <c r="H40" s="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2"/>
      <c r="Y40" s="2"/>
      <c r="Z40" s="2"/>
      <c r="AA40" s="2"/>
      <c r="AB40" s="2"/>
      <c r="AC40" s="2"/>
    </row>
    <row r="41" ht="12.75" customHeight="1">
      <c r="A41" s="2"/>
      <c r="B41" s="2"/>
      <c r="C41" s="2"/>
      <c r="D41" s="3"/>
      <c r="E41" s="3"/>
      <c r="F41" s="3"/>
      <c r="G41" s="3"/>
      <c r="H41" s="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2"/>
      <c r="Z41" s="2"/>
      <c r="AA41" s="2"/>
      <c r="AB41" s="2"/>
      <c r="AC41" s="2"/>
    </row>
    <row r="42" ht="12.75" customHeight="1">
      <c r="A42" s="2"/>
      <c r="B42" s="2"/>
      <c r="C42" s="2"/>
      <c r="D42" s="3"/>
      <c r="E42" s="3"/>
      <c r="F42" s="3"/>
      <c r="G42" s="3"/>
      <c r="H42" s="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2"/>
      <c r="Y42" s="2"/>
      <c r="Z42" s="2"/>
      <c r="AA42" s="2"/>
      <c r="AB42" s="2"/>
      <c r="AC42" s="2"/>
    </row>
    <row r="43" ht="12.75" customHeight="1">
      <c r="A43" s="2"/>
      <c r="B43" s="2"/>
      <c r="C43" s="2"/>
      <c r="D43" s="3"/>
      <c r="E43" s="3"/>
      <c r="F43" s="3"/>
      <c r="G43" s="3"/>
      <c r="H43" s="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2"/>
      <c r="Y43" s="2"/>
      <c r="Z43" s="2"/>
      <c r="AA43" s="2"/>
      <c r="AB43" s="2"/>
      <c r="AC43" s="2"/>
    </row>
    <row r="44" ht="12.75" customHeight="1">
      <c r="A44" s="2"/>
      <c r="B44" s="2"/>
      <c r="C44" s="2"/>
      <c r="D44" s="3"/>
      <c r="E44" s="3"/>
      <c r="F44" s="3"/>
      <c r="G44" s="3"/>
      <c r="H44" s="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2"/>
      <c r="Y44" s="2"/>
      <c r="Z44" s="2"/>
      <c r="AA44" s="2"/>
      <c r="AB44" s="2"/>
      <c r="AC44" s="2"/>
    </row>
    <row r="45" ht="12.75" customHeight="1">
      <c r="A45" s="2"/>
      <c r="B45" s="2"/>
      <c r="C45" s="2"/>
      <c r="D45" s="3"/>
      <c r="E45" s="3"/>
      <c r="F45" s="3"/>
      <c r="G45" s="3"/>
      <c r="H45" s="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2"/>
      <c r="Y45" s="2"/>
      <c r="Z45" s="2"/>
      <c r="AA45" s="2"/>
      <c r="AB45" s="2"/>
      <c r="AC45" s="2"/>
    </row>
    <row r="46" ht="12.75" customHeight="1">
      <c r="A46" s="2"/>
      <c r="B46" s="2"/>
      <c r="C46" s="2"/>
      <c r="D46" s="3"/>
      <c r="E46" s="3"/>
      <c r="F46" s="3"/>
      <c r="G46" s="3"/>
      <c r="H46" s="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2"/>
      <c r="Y46" s="2"/>
      <c r="Z46" s="2"/>
      <c r="AA46" s="2"/>
      <c r="AB46" s="2"/>
      <c r="AC46" s="2"/>
    </row>
    <row r="47" ht="12.75" customHeight="1">
      <c r="A47" s="2"/>
      <c r="B47" s="2"/>
      <c r="C47" s="2"/>
      <c r="D47" s="3"/>
      <c r="E47" s="3"/>
      <c r="F47" s="3"/>
      <c r="G47" s="3"/>
      <c r="H47" s="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2"/>
      <c r="Y47" s="2"/>
      <c r="Z47" s="2"/>
      <c r="AA47" s="2"/>
      <c r="AB47" s="2"/>
      <c r="AC47" s="2"/>
    </row>
    <row r="48" ht="12.75" customHeight="1">
      <c r="A48" s="2"/>
      <c r="B48" s="2"/>
      <c r="C48" s="2"/>
      <c r="D48" s="3"/>
      <c r="E48" s="3"/>
      <c r="F48" s="3"/>
      <c r="G48" s="3"/>
      <c r="H48" s="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2"/>
      <c r="Y48" s="2"/>
      <c r="Z48" s="2"/>
      <c r="AA48" s="2"/>
      <c r="AB48" s="2"/>
      <c r="AC48" s="2"/>
    </row>
    <row r="49" ht="12.75" customHeight="1">
      <c r="A49" s="2"/>
      <c r="B49" s="2"/>
      <c r="C49" s="2"/>
      <c r="D49" s="3"/>
      <c r="E49" s="3"/>
      <c r="F49" s="3"/>
      <c r="G49" s="3"/>
      <c r="H49" s="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2"/>
      <c r="Y49" s="2"/>
      <c r="Z49" s="2"/>
      <c r="AA49" s="2"/>
      <c r="AB49" s="2"/>
      <c r="AC49" s="2"/>
    </row>
    <row r="50" ht="12.75" customHeight="1">
      <c r="A50" s="2"/>
      <c r="B50" s="2"/>
      <c r="C50" s="2"/>
      <c r="D50" s="3"/>
      <c r="E50" s="3"/>
      <c r="F50" s="3"/>
      <c r="G50" s="3"/>
      <c r="H50" s="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2"/>
      <c r="Y50" s="2"/>
      <c r="Z50" s="2"/>
      <c r="AA50" s="2"/>
      <c r="AB50" s="2"/>
      <c r="AC50" s="2"/>
    </row>
    <row r="51" ht="12.75" customHeight="1">
      <c r="A51" s="2"/>
      <c r="B51" s="2"/>
      <c r="C51" s="2"/>
      <c r="D51" s="3"/>
      <c r="E51" s="3"/>
      <c r="F51" s="3"/>
      <c r="G51" s="3"/>
      <c r="H51" s="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2"/>
      <c r="Y51" s="2"/>
      <c r="Z51" s="2"/>
      <c r="AA51" s="2"/>
      <c r="AB51" s="2"/>
      <c r="AC51" s="2"/>
    </row>
    <row r="52" ht="12.75" customHeight="1">
      <c r="A52" s="2"/>
      <c r="B52" s="2"/>
      <c r="C52" s="2"/>
      <c r="D52" s="3"/>
      <c r="E52" s="3"/>
      <c r="F52" s="3"/>
      <c r="G52" s="3"/>
      <c r="H52" s="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2"/>
      <c r="Y52" s="2"/>
      <c r="Z52" s="2"/>
      <c r="AA52" s="2"/>
      <c r="AB52" s="2"/>
      <c r="AC52" s="2"/>
    </row>
    <row r="53" ht="12.75" customHeight="1">
      <c r="A53" s="2"/>
      <c r="B53" s="2"/>
      <c r="C53" s="2"/>
      <c r="D53" s="3"/>
      <c r="E53" s="3"/>
      <c r="F53" s="3"/>
      <c r="G53" s="3"/>
      <c r="H53" s="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2"/>
      <c r="Y53" s="2"/>
      <c r="Z53" s="2"/>
      <c r="AA53" s="2"/>
      <c r="AB53" s="2"/>
      <c r="AC53" s="2"/>
    </row>
    <row r="54" ht="12.75" customHeight="1">
      <c r="A54" s="2"/>
      <c r="B54" s="2"/>
      <c r="C54" s="2"/>
      <c r="D54" s="3"/>
      <c r="E54" s="3"/>
      <c r="F54" s="3"/>
      <c r="G54" s="3"/>
      <c r="H54" s="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2"/>
      <c r="Y54" s="2"/>
      <c r="Z54" s="2"/>
      <c r="AA54" s="2"/>
      <c r="AB54" s="2"/>
      <c r="AC54" s="2"/>
    </row>
    <row r="55" ht="12.75" customHeight="1">
      <c r="A55" s="2"/>
      <c r="B55" s="2"/>
      <c r="C55" s="2"/>
      <c r="D55" s="3"/>
      <c r="E55" s="3"/>
      <c r="F55" s="3"/>
      <c r="G55" s="3"/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2"/>
      <c r="Y55" s="2"/>
      <c r="Z55" s="2"/>
      <c r="AA55" s="2"/>
      <c r="AB55" s="2"/>
      <c r="AC55" s="2"/>
    </row>
    <row r="56" ht="12.75" customHeight="1">
      <c r="A56" s="2"/>
      <c r="B56" s="2"/>
      <c r="C56" s="2"/>
      <c r="D56" s="3"/>
      <c r="E56" s="3"/>
      <c r="F56" s="3"/>
      <c r="G56" s="3"/>
      <c r="H56" s="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2"/>
      <c r="Y56" s="2"/>
      <c r="Z56" s="2"/>
      <c r="AA56" s="2"/>
      <c r="AB56" s="2"/>
      <c r="AC56" s="2"/>
    </row>
    <row r="57" ht="12.75" customHeight="1">
      <c r="A57" s="2"/>
      <c r="B57" s="2"/>
      <c r="C57" s="2"/>
      <c r="D57" s="3"/>
      <c r="E57" s="3"/>
      <c r="F57" s="3"/>
      <c r="G57" s="3"/>
      <c r="H57" s="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2"/>
      <c r="Y57" s="2"/>
      <c r="Z57" s="2"/>
      <c r="AA57" s="2"/>
      <c r="AB57" s="2"/>
      <c r="AC57" s="2"/>
    </row>
    <row r="58" ht="12.75" customHeight="1">
      <c r="A58" s="2"/>
      <c r="B58" s="2"/>
      <c r="C58" s="2"/>
      <c r="D58" s="3"/>
      <c r="E58" s="3"/>
      <c r="F58" s="3"/>
      <c r="G58" s="3"/>
      <c r="H58" s="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2"/>
      <c r="Y58" s="2"/>
      <c r="Z58" s="2"/>
      <c r="AA58" s="2"/>
      <c r="AB58" s="2"/>
      <c r="AC58" s="2"/>
    </row>
    <row r="59" ht="12.75" customHeight="1">
      <c r="A59" s="2"/>
      <c r="B59" s="2"/>
      <c r="C59" s="2"/>
      <c r="D59" s="3"/>
      <c r="E59" s="3"/>
      <c r="F59" s="3"/>
      <c r="G59" s="3"/>
      <c r="H59" s="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2"/>
      <c r="Y59" s="2"/>
      <c r="Z59" s="2"/>
      <c r="AA59" s="2"/>
      <c r="AB59" s="2"/>
      <c r="AC59" s="2"/>
    </row>
    <row r="60" ht="12.75" customHeight="1">
      <c r="A60" s="2"/>
      <c r="B60" s="2"/>
      <c r="C60" s="2"/>
      <c r="D60" s="3"/>
      <c r="E60" s="3"/>
      <c r="F60" s="3"/>
      <c r="G60" s="3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2"/>
      <c r="Y60" s="2"/>
      <c r="Z60" s="2"/>
      <c r="AA60" s="2"/>
      <c r="AB60" s="2"/>
      <c r="AC60" s="2"/>
    </row>
    <row r="61" ht="12.75" customHeight="1">
      <c r="A61" s="2"/>
      <c r="B61" s="2"/>
      <c r="C61" s="2"/>
      <c r="D61" s="3"/>
      <c r="E61" s="3"/>
      <c r="F61" s="3"/>
      <c r="G61" s="3"/>
      <c r="H61" s="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2"/>
      <c r="Y61" s="2"/>
      <c r="Z61" s="2"/>
      <c r="AA61" s="2"/>
      <c r="AB61" s="2"/>
      <c r="AC61" s="2"/>
    </row>
    <row r="62" ht="12.75" customHeight="1">
      <c r="A62" s="2"/>
      <c r="B62" s="2"/>
      <c r="C62" s="2"/>
      <c r="D62" s="3"/>
      <c r="E62" s="3"/>
      <c r="F62" s="3"/>
      <c r="G62" s="3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2"/>
      <c r="Y62" s="2"/>
      <c r="Z62" s="2"/>
      <c r="AA62" s="2"/>
      <c r="AB62" s="2"/>
      <c r="AC62" s="2"/>
    </row>
    <row r="63" ht="12.75" customHeight="1">
      <c r="A63" s="2"/>
      <c r="B63" s="2"/>
      <c r="C63" s="2"/>
      <c r="D63" s="3"/>
      <c r="E63" s="3"/>
      <c r="F63" s="3"/>
      <c r="G63" s="3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"/>
      <c r="Y63" s="2"/>
      <c r="Z63" s="2"/>
      <c r="AA63" s="2"/>
      <c r="AB63" s="2"/>
      <c r="AC63" s="2"/>
    </row>
    <row r="64" ht="12.75" customHeight="1">
      <c r="A64" s="2"/>
      <c r="B64" s="2"/>
      <c r="C64" s="2"/>
      <c r="D64" s="3"/>
      <c r="E64" s="3"/>
      <c r="F64" s="3"/>
      <c r="G64" s="3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2"/>
      <c r="Y64" s="2"/>
      <c r="Z64" s="2"/>
      <c r="AA64" s="2"/>
      <c r="AB64" s="2"/>
      <c r="AC64" s="2"/>
    </row>
    <row r="65" ht="12.75" customHeight="1">
      <c r="A65" s="2"/>
      <c r="B65" s="2"/>
      <c r="C65" s="2"/>
      <c r="D65" s="3"/>
      <c r="E65" s="3"/>
      <c r="F65" s="3"/>
      <c r="G65" s="3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2"/>
      <c r="Y65" s="2"/>
      <c r="Z65" s="2"/>
      <c r="AA65" s="2"/>
      <c r="AB65" s="2"/>
      <c r="AC65" s="2"/>
    </row>
    <row r="66" ht="12.75" customHeight="1">
      <c r="A66" s="2"/>
      <c r="B66" s="2"/>
      <c r="C66" s="2"/>
      <c r="D66" s="3"/>
      <c r="E66" s="3"/>
      <c r="F66" s="3"/>
      <c r="G66" s="3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2"/>
      <c r="Y66" s="2"/>
      <c r="Z66" s="2"/>
      <c r="AA66" s="2"/>
      <c r="AB66" s="2"/>
      <c r="AC66" s="2"/>
    </row>
    <row r="67" ht="12.75" customHeight="1">
      <c r="A67" s="2"/>
      <c r="B67" s="2"/>
      <c r="C67" s="2"/>
      <c r="D67" s="3"/>
      <c r="E67" s="3"/>
      <c r="F67" s="3"/>
      <c r="G67" s="3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2"/>
      <c r="Y67" s="2"/>
      <c r="Z67" s="2"/>
      <c r="AA67" s="2"/>
      <c r="AB67" s="2"/>
      <c r="AC67" s="2"/>
    </row>
    <row r="68" ht="12.75" customHeight="1">
      <c r="A68" s="2"/>
      <c r="B68" s="2"/>
      <c r="C68" s="2"/>
      <c r="D68" s="3"/>
      <c r="E68" s="3"/>
      <c r="F68" s="3"/>
      <c r="G68" s="3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2"/>
      <c r="Y68" s="2"/>
      <c r="Z68" s="2"/>
      <c r="AA68" s="2"/>
      <c r="AB68" s="2"/>
      <c r="AC68" s="2"/>
    </row>
    <row r="69" ht="12.75" customHeight="1">
      <c r="A69" s="2"/>
      <c r="B69" s="2"/>
      <c r="C69" s="2"/>
      <c r="D69" s="3"/>
      <c r="E69" s="3"/>
      <c r="F69" s="3"/>
      <c r="G69" s="3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2"/>
      <c r="Y69" s="2"/>
      <c r="Z69" s="2"/>
      <c r="AA69" s="2"/>
      <c r="AB69" s="2"/>
      <c r="AC69" s="2"/>
    </row>
    <row r="70" ht="12.75" customHeight="1">
      <c r="A70" s="2"/>
      <c r="B70" s="2"/>
      <c r="C70" s="2"/>
      <c r="D70" s="3"/>
      <c r="E70" s="3"/>
      <c r="F70" s="3"/>
      <c r="G70" s="3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2"/>
      <c r="Y70" s="2"/>
      <c r="Z70" s="2"/>
      <c r="AA70" s="2"/>
      <c r="AB70" s="2"/>
      <c r="AC70" s="2"/>
    </row>
    <row r="71" ht="12.75" customHeight="1">
      <c r="A71" s="2"/>
      <c r="B71" s="2"/>
      <c r="C71" s="2"/>
      <c r="D71" s="3"/>
      <c r="E71" s="3"/>
      <c r="F71" s="3"/>
      <c r="G71" s="3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2"/>
      <c r="Y71" s="2"/>
      <c r="Z71" s="2"/>
      <c r="AA71" s="2"/>
      <c r="AB71" s="2"/>
      <c r="AC71" s="2"/>
    </row>
    <row r="72" ht="12.75" customHeight="1">
      <c r="A72" s="2"/>
      <c r="B72" s="2"/>
      <c r="C72" s="2"/>
      <c r="D72" s="3"/>
      <c r="E72" s="3"/>
      <c r="F72" s="3"/>
      <c r="G72" s="3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2"/>
      <c r="Y72" s="2"/>
      <c r="Z72" s="2"/>
      <c r="AA72" s="2"/>
      <c r="AB72" s="2"/>
      <c r="AC72" s="2"/>
    </row>
    <row r="73" ht="12.75" customHeight="1">
      <c r="A73" s="2"/>
      <c r="B73" s="2"/>
      <c r="C73" s="2"/>
      <c r="D73" s="3"/>
      <c r="E73" s="3"/>
      <c r="F73" s="3"/>
      <c r="G73" s="3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2"/>
      <c r="Y73" s="2"/>
      <c r="Z73" s="2"/>
      <c r="AA73" s="2"/>
      <c r="AB73" s="2"/>
      <c r="AC73" s="2"/>
    </row>
    <row r="74" ht="12.75" customHeight="1">
      <c r="A74" s="2"/>
      <c r="B74" s="2"/>
      <c r="C74" s="2"/>
      <c r="D74" s="3"/>
      <c r="E74" s="3"/>
      <c r="F74" s="3"/>
      <c r="G74" s="3"/>
      <c r="H74" s="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2"/>
      <c r="Y74" s="2"/>
      <c r="Z74" s="2"/>
      <c r="AA74" s="2"/>
      <c r="AB74" s="2"/>
      <c r="AC74" s="2"/>
    </row>
    <row r="75" ht="12.75" customHeight="1">
      <c r="A75" s="2"/>
      <c r="B75" s="2"/>
      <c r="C75" s="2"/>
      <c r="D75" s="3"/>
      <c r="E75" s="3"/>
      <c r="F75" s="3"/>
      <c r="G75" s="3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2"/>
      <c r="Y75" s="2"/>
      <c r="Z75" s="2"/>
      <c r="AA75" s="2"/>
      <c r="AB75" s="2"/>
      <c r="AC75" s="2"/>
    </row>
    <row r="76" ht="12.75" customHeight="1">
      <c r="A76" s="2"/>
      <c r="B76" s="2"/>
      <c r="C76" s="2"/>
      <c r="D76" s="3"/>
      <c r="E76" s="3"/>
      <c r="F76" s="3"/>
      <c r="G76" s="3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2"/>
      <c r="Y76" s="2"/>
      <c r="Z76" s="2"/>
      <c r="AA76" s="2"/>
      <c r="AB76" s="2"/>
      <c r="AC76" s="2"/>
    </row>
    <row r="77" ht="12.75" customHeight="1">
      <c r="A77" s="2"/>
      <c r="B77" s="2"/>
      <c r="C77" s="2"/>
      <c r="D77" s="3"/>
      <c r="E77" s="3"/>
      <c r="F77" s="3"/>
      <c r="G77" s="3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2"/>
      <c r="Y77" s="2"/>
      <c r="Z77" s="2"/>
      <c r="AA77" s="2"/>
      <c r="AB77" s="2"/>
      <c r="AC77" s="2"/>
    </row>
    <row r="78" ht="12.75" customHeight="1">
      <c r="A78" s="2"/>
      <c r="B78" s="2"/>
      <c r="C78" s="2"/>
      <c r="D78" s="3"/>
      <c r="E78" s="3"/>
      <c r="F78" s="3"/>
      <c r="G78" s="3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2"/>
      <c r="Y78" s="2"/>
      <c r="Z78" s="2"/>
      <c r="AA78" s="2"/>
      <c r="AB78" s="2"/>
      <c r="AC78" s="2"/>
    </row>
    <row r="79" ht="12.75" customHeight="1">
      <c r="A79" s="2"/>
      <c r="B79" s="2"/>
      <c r="C79" s="2"/>
      <c r="D79" s="3"/>
      <c r="E79" s="3"/>
      <c r="F79" s="3"/>
      <c r="G79" s="3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2"/>
      <c r="Y79" s="2"/>
      <c r="Z79" s="2"/>
      <c r="AA79" s="2"/>
      <c r="AB79" s="2"/>
      <c r="AC79" s="2"/>
    </row>
    <row r="80" ht="12.75" customHeight="1">
      <c r="A80" s="2"/>
      <c r="B80" s="2"/>
      <c r="C80" s="2"/>
      <c r="D80" s="3"/>
      <c r="E80" s="3"/>
      <c r="F80" s="3"/>
      <c r="G80" s="3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2"/>
      <c r="Y80" s="2"/>
      <c r="Z80" s="2"/>
      <c r="AA80" s="2"/>
      <c r="AB80" s="2"/>
      <c r="AC80" s="2"/>
    </row>
    <row r="81" ht="12.75" customHeight="1">
      <c r="A81" s="2"/>
      <c r="B81" s="2"/>
      <c r="C81" s="2"/>
      <c r="D81" s="3"/>
      <c r="E81" s="3"/>
      <c r="F81" s="3"/>
      <c r="G81" s="3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2"/>
      <c r="Y81" s="2"/>
      <c r="Z81" s="2"/>
      <c r="AA81" s="2"/>
      <c r="AB81" s="2"/>
      <c r="AC81" s="2"/>
    </row>
    <row r="82" ht="12.75" customHeight="1">
      <c r="A82" s="2"/>
      <c r="B82" s="2"/>
      <c r="C82" s="2"/>
      <c r="D82" s="3"/>
      <c r="E82" s="3"/>
      <c r="F82" s="3"/>
      <c r="G82" s="3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2"/>
      <c r="Y82" s="2"/>
      <c r="Z82" s="2"/>
      <c r="AA82" s="2"/>
      <c r="AB82" s="2"/>
      <c r="AC82" s="2"/>
    </row>
    <row r="83" ht="12.75" customHeight="1">
      <c r="A83" s="2"/>
      <c r="B83" s="2"/>
      <c r="C83" s="2"/>
      <c r="D83" s="3"/>
      <c r="E83" s="3"/>
      <c r="F83" s="3"/>
      <c r="G83" s="3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2"/>
      <c r="Y83" s="2"/>
      <c r="Z83" s="2"/>
      <c r="AA83" s="2"/>
      <c r="AB83" s="2"/>
      <c r="AC83" s="2"/>
    </row>
    <row r="84" ht="12.75" customHeight="1">
      <c r="A84" s="2"/>
      <c r="B84" s="2"/>
      <c r="C84" s="2"/>
      <c r="D84" s="3"/>
      <c r="E84" s="3"/>
      <c r="F84" s="3"/>
      <c r="G84" s="3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2"/>
      <c r="Y84" s="2"/>
      <c r="Z84" s="2"/>
      <c r="AA84" s="2"/>
      <c r="AB84" s="2"/>
      <c r="AC84" s="2"/>
    </row>
    <row r="85" ht="12.75" customHeight="1">
      <c r="A85" s="2"/>
      <c r="B85" s="2"/>
      <c r="C85" s="2"/>
      <c r="D85" s="3"/>
      <c r="E85" s="3"/>
      <c r="F85" s="3"/>
      <c r="G85" s="3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2"/>
      <c r="Y85" s="2"/>
      <c r="Z85" s="2"/>
      <c r="AA85" s="2"/>
      <c r="AB85" s="2"/>
      <c r="AC85" s="2"/>
    </row>
    <row r="86" ht="12.75" customHeight="1">
      <c r="A86" s="2"/>
      <c r="B86" s="2"/>
      <c r="C86" s="2"/>
      <c r="D86" s="3"/>
      <c r="E86" s="3"/>
      <c r="F86" s="3"/>
      <c r="G86" s="3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2"/>
      <c r="Y86" s="2"/>
      <c r="Z86" s="2"/>
      <c r="AA86" s="2"/>
      <c r="AB86" s="2"/>
      <c r="AC86" s="2"/>
    </row>
    <row r="87" ht="12.75" customHeight="1">
      <c r="A87" s="2"/>
      <c r="B87" s="2"/>
      <c r="C87" s="2"/>
      <c r="D87" s="3"/>
      <c r="E87" s="3"/>
      <c r="F87" s="3"/>
      <c r="G87" s="3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2"/>
      <c r="Y87" s="2"/>
      <c r="Z87" s="2"/>
      <c r="AA87" s="2"/>
      <c r="AB87" s="2"/>
      <c r="AC87" s="2"/>
    </row>
    <row r="88" ht="12.75" customHeight="1">
      <c r="A88" s="2"/>
      <c r="B88" s="2"/>
      <c r="C88" s="2"/>
      <c r="D88" s="3"/>
      <c r="E88" s="3"/>
      <c r="F88" s="3"/>
      <c r="G88" s="3"/>
      <c r="H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2"/>
      <c r="Y88" s="2"/>
      <c r="Z88" s="2"/>
      <c r="AA88" s="2"/>
      <c r="AB88" s="2"/>
      <c r="AC88" s="2"/>
    </row>
    <row r="89" ht="12.75" customHeight="1">
      <c r="A89" s="2"/>
      <c r="B89" s="2"/>
      <c r="C89" s="2"/>
      <c r="D89" s="3"/>
      <c r="E89" s="3"/>
      <c r="F89" s="3"/>
      <c r="G89" s="3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2"/>
      <c r="Y89" s="2"/>
      <c r="Z89" s="2"/>
      <c r="AA89" s="2"/>
      <c r="AB89" s="2"/>
      <c r="AC89" s="2"/>
    </row>
    <row r="90" ht="12.75" customHeight="1">
      <c r="A90" s="2"/>
      <c r="B90" s="2"/>
      <c r="C90" s="2"/>
      <c r="D90" s="3"/>
      <c r="E90" s="3"/>
      <c r="F90" s="3"/>
      <c r="G90" s="3"/>
      <c r="H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2"/>
      <c r="Y90" s="2"/>
      <c r="Z90" s="2"/>
      <c r="AA90" s="2"/>
      <c r="AB90" s="2"/>
      <c r="AC90" s="2"/>
    </row>
    <row r="91" ht="12.75" customHeight="1">
      <c r="A91" s="2"/>
      <c r="B91" s="2"/>
      <c r="C91" s="2"/>
      <c r="D91" s="3"/>
      <c r="E91" s="3"/>
      <c r="F91" s="3"/>
      <c r="G91" s="3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2"/>
      <c r="Y91" s="2"/>
      <c r="Z91" s="2"/>
      <c r="AA91" s="2"/>
      <c r="AB91" s="2"/>
      <c r="AC91" s="2"/>
    </row>
    <row r="92" ht="12.75" customHeight="1">
      <c r="A92" s="2"/>
      <c r="B92" s="2"/>
      <c r="C92" s="2"/>
      <c r="D92" s="3"/>
      <c r="E92" s="3"/>
      <c r="F92" s="3"/>
      <c r="G92" s="3"/>
      <c r="H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2"/>
      <c r="Y92" s="2"/>
      <c r="Z92" s="2"/>
      <c r="AA92" s="2"/>
      <c r="AB92" s="2"/>
      <c r="AC92" s="2"/>
    </row>
    <row r="93" ht="12.75" customHeight="1">
      <c r="A93" s="2"/>
      <c r="B93" s="2"/>
      <c r="C93" s="2"/>
      <c r="D93" s="3"/>
      <c r="E93" s="3"/>
      <c r="F93" s="3"/>
      <c r="G93" s="3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2"/>
      <c r="Y93" s="2"/>
      <c r="Z93" s="2"/>
      <c r="AA93" s="2"/>
      <c r="AB93" s="2"/>
      <c r="AC93" s="2"/>
    </row>
    <row r="94" ht="12.75" customHeight="1">
      <c r="A94" s="2"/>
      <c r="B94" s="2"/>
      <c r="C94" s="2"/>
      <c r="D94" s="3"/>
      <c r="E94" s="3"/>
      <c r="F94" s="3"/>
      <c r="G94" s="3"/>
      <c r="H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2"/>
      <c r="Y94" s="2"/>
      <c r="Z94" s="2"/>
      <c r="AA94" s="2"/>
      <c r="AB94" s="2"/>
      <c r="AC94" s="2"/>
    </row>
    <row r="95" ht="12.75" customHeight="1">
      <c r="A95" s="2"/>
      <c r="B95" s="2"/>
      <c r="C95" s="2"/>
      <c r="D95" s="3"/>
      <c r="E95" s="3"/>
      <c r="F95" s="3"/>
      <c r="G95" s="3"/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2"/>
      <c r="Y95" s="2"/>
      <c r="Z95" s="2"/>
      <c r="AA95" s="2"/>
      <c r="AB95" s="2"/>
      <c r="AC95" s="2"/>
    </row>
    <row r="96" ht="12.75" customHeight="1">
      <c r="A96" s="2"/>
      <c r="B96" s="2"/>
      <c r="C96" s="2"/>
      <c r="D96" s="3"/>
      <c r="E96" s="3"/>
      <c r="F96" s="3"/>
      <c r="G96" s="3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2"/>
      <c r="Y96" s="2"/>
      <c r="Z96" s="2"/>
      <c r="AA96" s="2"/>
      <c r="AB96" s="2"/>
      <c r="AC96" s="2"/>
    </row>
    <row r="97" ht="12.75" customHeight="1">
      <c r="A97" s="2"/>
      <c r="B97" s="2"/>
      <c r="C97" s="2"/>
      <c r="D97" s="3"/>
      <c r="E97" s="3"/>
      <c r="F97" s="3"/>
      <c r="G97" s="3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2"/>
      <c r="Y97" s="2"/>
      <c r="Z97" s="2"/>
      <c r="AA97" s="2"/>
      <c r="AB97" s="2"/>
      <c r="AC97" s="2"/>
    </row>
    <row r="98" ht="12.75" customHeight="1">
      <c r="A98" s="2"/>
      <c r="B98" s="2"/>
      <c r="C98" s="2"/>
      <c r="D98" s="3"/>
      <c r="E98" s="3"/>
      <c r="F98" s="3"/>
      <c r="G98" s="3"/>
      <c r="H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2"/>
      <c r="Y98" s="2"/>
      <c r="Z98" s="2"/>
      <c r="AA98" s="2"/>
      <c r="AB98" s="2"/>
      <c r="AC98" s="2"/>
    </row>
    <row r="99" ht="12.75" customHeight="1">
      <c r="A99" s="2"/>
      <c r="B99" s="2"/>
      <c r="C99" s="2"/>
      <c r="D99" s="3"/>
      <c r="E99" s="3"/>
      <c r="F99" s="3"/>
      <c r="G99" s="3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2"/>
      <c r="Y99" s="2"/>
      <c r="Z99" s="2"/>
      <c r="AA99" s="2"/>
      <c r="AB99" s="2"/>
      <c r="AC99" s="2"/>
    </row>
    <row r="100" ht="12.75" customHeight="1">
      <c r="A100" s="2"/>
      <c r="B100" s="2"/>
      <c r="C100" s="2"/>
      <c r="D100" s="3"/>
      <c r="E100" s="3"/>
      <c r="F100" s="3"/>
      <c r="G100" s="3"/>
      <c r="H100" s="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2"/>
      <c r="Y100" s="2"/>
      <c r="Z100" s="2"/>
      <c r="AA100" s="2"/>
      <c r="AB100" s="2"/>
      <c r="AC100" s="2"/>
    </row>
    <row r="101" ht="12.75" customHeight="1">
      <c r="A101" s="2"/>
      <c r="B101" s="2"/>
      <c r="C101" s="2"/>
      <c r="D101" s="3"/>
      <c r="E101" s="3"/>
      <c r="F101" s="3"/>
      <c r="G101" s="3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2"/>
      <c r="Y101" s="2"/>
      <c r="Z101" s="2"/>
      <c r="AA101" s="2"/>
      <c r="AB101" s="2"/>
      <c r="AC101" s="2"/>
    </row>
    <row r="102" ht="12.75" customHeight="1">
      <c r="A102" s="2"/>
      <c r="B102" s="2"/>
      <c r="C102" s="2"/>
      <c r="D102" s="3"/>
      <c r="E102" s="3"/>
      <c r="F102" s="3"/>
      <c r="G102" s="3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2"/>
      <c r="Y102" s="2"/>
      <c r="Z102" s="2"/>
      <c r="AA102" s="2"/>
      <c r="AB102" s="2"/>
      <c r="AC102" s="2"/>
    </row>
    <row r="103" ht="12.75" customHeight="1">
      <c r="A103" s="2"/>
      <c r="B103" s="2"/>
      <c r="C103" s="2"/>
      <c r="D103" s="3"/>
      <c r="E103" s="3"/>
      <c r="F103" s="3"/>
      <c r="G103" s="3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2"/>
      <c r="Y103" s="2"/>
      <c r="Z103" s="2"/>
      <c r="AA103" s="2"/>
      <c r="AB103" s="2"/>
      <c r="AC103" s="2"/>
    </row>
    <row r="104" ht="12.75" customHeight="1">
      <c r="A104" s="2"/>
      <c r="B104" s="2"/>
      <c r="C104" s="2"/>
      <c r="D104" s="3"/>
      <c r="E104" s="3"/>
      <c r="F104" s="3"/>
      <c r="G104" s="3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2"/>
      <c r="Y104" s="2"/>
      <c r="Z104" s="2"/>
      <c r="AA104" s="2"/>
      <c r="AB104" s="2"/>
      <c r="AC104" s="2"/>
    </row>
    <row r="105" ht="12.75" customHeight="1">
      <c r="A105" s="2"/>
      <c r="B105" s="2"/>
      <c r="C105" s="2"/>
      <c r="D105" s="3"/>
      <c r="E105" s="3"/>
      <c r="F105" s="3"/>
      <c r="G105" s="3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2"/>
      <c r="Y105" s="2"/>
      <c r="Z105" s="2"/>
      <c r="AA105" s="2"/>
      <c r="AB105" s="2"/>
      <c r="AC105" s="2"/>
    </row>
    <row r="106" ht="12.75" customHeight="1">
      <c r="A106" s="2"/>
      <c r="B106" s="2"/>
      <c r="C106" s="2"/>
      <c r="D106" s="3"/>
      <c r="E106" s="3"/>
      <c r="F106" s="3"/>
      <c r="G106" s="3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2"/>
      <c r="Y106" s="2"/>
      <c r="Z106" s="2"/>
      <c r="AA106" s="2"/>
      <c r="AB106" s="2"/>
      <c r="AC106" s="2"/>
    </row>
    <row r="107" ht="12.75" customHeight="1">
      <c r="A107" s="2"/>
      <c r="B107" s="2"/>
      <c r="C107" s="2"/>
      <c r="D107" s="3"/>
      <c r="E107" s="3"/>
      <c r="F107" s="3"/>
      <c r="G107" s="3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2"/>
      <c r="Y107" s="2"/>
      <c r="Z107" s="2"/>
      <c r="AA107" s="2"/>
      <c r="AB107" s="2"/>
      <c r="AC107" s="2"/>
    </row>
    <row r="108" ht="12.75" customHeight="1">
      <c r="A108" s="2"/>
      <c r="B108" s="2"/>
      <c r="C108" s="2"/>
      <c r="D108" s="3"/>
      <c r="E108" s="3"/>
      <c r="F108" s="3"/>
      <c r="G108" s="3"/>
      <c r="H108" s="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2"/>
      <c r="Y108" s="2"/>
      <c r="Z108" s="2"/>
      <c r="AA108" s="2"/>
      <c r="AB108" s="2"/>
      <c r="AC108" s="2"/>
    </row>
    <row r="109" ht="12.75" customHeight="1">
      <c r="A109" s="2"/>
      <c r="B109" s="2"/>
      <c r="C109" s="2"/>
      <c r="D109" s="3"/>
      <c r="E109" s="3"/>
      <c r="F109" s="3"/>
      <c r="G109" s="3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2"/>
      <c r="Y109" s="2"/>
      <c r="Z109" s="2"/>
      <c r="AA109" s="2"/>
      <c r="AB109" s="2"/>
      <c r="AC109" s="2"/>
    </row>
    <row r="110" ht="12.75" customHeight="1">
      <c r="A110" s="2"/>
      <c r="B110" s="2"/>
      <c r="C110" s="2"/>
      <c r="D110" s="3"/>
      <c r="E110" s="3"/>
      <c r="F110" s="3"/>
      <c r="G110" s="3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2"/>
      <c r="Y110" s="2"/>
      <c r="Z110" s="2"/>
      <c r="AA110" s="2"/>
      <c r="AB110" s="2"/>
      <c r="AC110" s="2"/>
    </row>
    <row r="111" ht="12.75" customHeight="1">
      <c r="A111" s="2"/>
      <c r="B111" s="2"/>
      <c r="C111" s="2"/>
      <c r="D111" s="3"/>
      <c r="E111" s="3"/>
      <c r="F111" s="3"/>
      <c r="G111" s="3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2"/>
      <c r="Y111" s="2"/>
      <c r="Z111" s="2"/>
      <c r="AA111" s="2"/>
      <c r="AB111" s="2"/>
      <c r="AC111" s="2"/>
    </row>
    <row r="112" ht="12.75" customHeight="1">
      <c r="A112" s="2"/>
      <c r="B112" s="2"/>
      <c r="C112" s="2"/>
      <c r="D112" s="3"/>
      <c r="E112" s="3"/>
      <c r="F112" s="3"/>
      <c r="G112" s="3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2"/>
      <c r="Y112" s="2"/>
      <c r="Z112" s="2"/>
      <c r="AA112" s="2"/>
      <c r="AB112" s="2"/>
      <c r="AC112" s="2"/>
    </row>
    <row r="113" ht="12.75" customHeight="1">
      <c r="A113" s="2"/>
      <c r="B113" s="2"/>
      <c r="C113" s="2"/>
      <c r="D113" s="3"/>
      <c r="E113" s="3"/>
      <c r="F113" s="3"/>
      <c r="G113" s="3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2"/>
      <c r="Y113" s="2"/>
      <c r="Z113" s="2"/>
      <c r="AA113" s="2"/>
      <c r="AB113" s="2"/>
      <c r="AC113" s="2"/>
    </row>
    <row r="114" ht="12.75" customHeight="1">
      <c r="A114" s="2"/>
      <c r="B114" s="2"/>
      <c r="C114" s="2"/>
      <c r="D114" s="3"/>
      <c r="E114" s="3"/>
      <c r="F114" s="3"/>
      <c r="G114" s="3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2"/>
      <c r="Y114" s="2"/>
      <c r="Z114" s="2"/>
      <c r="AA114" s="2"/>
      <c r="AB114" s="2"/>
      <c r="AC114" s="2"/>
    </row>
    <row r="115" ht="12.75" customHeight="1">
      <c r="A115" s="2"/>
      <c r="B115" s="2"/>
      <c r="C115" s="2"/>
      <c r="D115" s="3"/>
      <c r="E115" s="3"/>
      <c r="F115" s="3"/>
      <c r="G115" s="3"/>
      <c r="H115" s="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2"/>
      <c r="Y115" s="2"/>
      <c r="Z115" s="2"/>
      <c r="AA115" s="2"/>
      <c r="AB115" s="2"/>
      <c r="AC115" s="2"/>
    </row>
    <row r="116" ht="12.75" customHeight="1">
      <c r="A116" s="2"/>
      <c r="B116" s="2"/>
      <c r="C116" s="2"/>
      <c r="D116" s="3"/>
      <c r="E116" s="3"/>
      <c r="F116" s="3"/>
      <c r="G116" s="3"/>
      <c r="H116" s="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2"/>
      <c r="Y116" s="2"/>
      <c r="Z116" s="2"/>
      <c r="AA116" s="2"/>
      <c r="AB116" s="2"/>
      <c r="AC116" s="2"/>
    </row>
    <row r="117" ht="12.75" customHeight="1">
      <c r="A117" s="2"/>
      <c r="B117" s="2"/>
      <c r="C117" s="2"/>
      <c r="D117" s="3"/>
      <c r="E117" s="3"/>
      <c r="F117" s="3"/>
      <c r="G117" s="3"/>
      <c r="H117" s="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2"/>
      <c r="Y117" s="2"/>
      <c r="Z117" s="2"/>
      <c r="AA117" s="2"/>
      <c r="AB117" s="2"/>
      <c r="AC117" s="2"/>
    </row>
    <row r="118" ht="12.75" customHeight="1">
      <c r="A118" s="2"/>
      <c r="B118" s="2"/>
      <c r="C118" s="2"/>
      <c r="D118" s="3"/>
      <c r="E118" s="3"/>
      <c r="F118" s="3"/>
      <c r="G118" s="3"/>
      <c r="H118" s="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2"/>
      <c r="Y118" s="2"/>
      <c r="Z118" s="2"/>
      <c r="AA118" s="2"/>
      <c r="AB118" s="2"/>
      <c r="AC118" s="2"/>
    </row>
    <row r="119" ht="12.75" customHeight="1">
      <c r="A119" s="2"/>
      <c r="B119" s="2"/>
      <c r="C119" s="2"/>
      <c r="D119" s="3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2"/>
      <c r="Y119" s="2"/>
      <c r="Z119" s="2"/>
      <c r="AA119" s="2"/>
      <c r="AB119" s="2"/>
      <c r="AC119" s="2"/>
    </row>
    <row r="120" ht="12.75" customHeight="1">
      <c r="A120" s="2"/>
      <c r="B120" s="2"/>
      <c r="C120" s="2"/>
      <c r="D120" s="3"/>
      <c r="E120" s="3"/>
      <c r="F120" s="3"/>
      <c r="G120" s="3"/>
      <c r="H120" s="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2"/>
      <c r="Y120" s="2"/>
      <c r="Z120" s="2"/>
      <c r="AA120" s="2"/>
      <c r="AB120" s="2"/>
      <c r="AC120" s="2"/>
    </row>
    <row r="121" ht="12.75" customHeight="1">
      <c r="A121" s="2"/>
      <c r="B121" s="2"/>
      <c r="C121" s="2"/>
      <c r="D121" s="3"/>
      <c r="E121" s="3"/>
      <c r="F121" s="3"/>
      <c r="G121" s="3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2"/>
      <c r="Y121" s="2"/>
      <c r="Z121" s="2"/>
      <c r="AA121" s="2"/>
      <c r="AB121" s="2"/>
      <c r="AC121" s="2"/>
    </row>
    <row r="122" ht="12.75" customHeight="1">
      <c r="A122" s="2"/>
      <c r="B122" s="2"/>
      <c r="C122" s="2"/>
      <c r="D122" s="3"/>
      <c r="E122" s="3"/>
      <c r="F122" s="3"/>
      <c r="G122" s="3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2"/>
      <c r="Y122" s="2"/>
      <c r="Z122" s="2"/>
      <c r="AA122" s="2"/>
      <c r="AB122" s="2"/>
      <c r="AC122" s="2"/>
    </row>
    <row r="123" ht="12.75" customHeight="1">
      <c r="A123" s="2"/>
      <c r="B123" s="2"/>
      <c r="C123" s="2"/>
      <c r="D123" s="3"/>
      <c r="E123" s="3"/>
      <c r="F123" s="3"/>
      <c r="G123" s="3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2"/>
      <c r="Y123" s="2"/>
      <c r="Z123" s="2"/>
      <c r="AA123" s="2"/>
      <c r="AB123" s="2"/>
      <c r="AC123" s="2"/>
    </row>
    <row r="124" ht="12.75" customHeight="1">
      <c r="A124" s="2"/>
      <c r="B124" s="2"/>
      <c r="C124" s="2"/>
      <c r="D124" s="3"/>
      <c r="E124" s="3"/>
      <c r="F124" s="3"/>
      <c r="G124" s="3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2"/>
      <c r="Y124" s="2"/>
      <c r="Z124" s="2"/>
      <c r="AA124" s="2"/>
      <c r="AB124" s="2"/>
      <c r="AC124" s="2"/>
    </row>
    <row r="125" ht="12.75" customHeight="1">
      <c r="A125" s="2"/>
      <c r="B125" s="2"/>
      <c r="C125" s="2"/>
      <c r="D125" s="3"/>
      <c r="E125" s="3"/>
      <c r="F125" s="3"/>
      <c r="G125" s="3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2"/>
      <c r="Y125" s="2"/>
      <c r="Z125" s="2"/>
      <c r="AA125" s="2"/>
      <c r="AB125" s="2"/>
      <c r="AC125" s="2"/>
    </row>
    <row r="126" ht="12.75" customHeight="1">
      <c r="A126" s="2"/>
      <c r="B126" s="2"/>
      <c r="C126" s="2"/>
      <c r="D126" s="3"/>
      <c r="E126" s="3"/>
      <c r="F126" s="3"/>
      <c r="G126" s="3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2"/>
      <c r="Y126" s="2"/>
      <c r="Z126" s="2"/>
      <c r="AA126" s="2"/>
      <c r="AB126" s="2"/>
      <c r="AC126" s="2"/>
    </row>
    <row r="127" ht="12.75" customHeight="1">
      <c r="A127" s="2"/>
      <c r="B127" s="2"/>
      <c r="C127" s="2"/>
      <c r="D127" s="3"/>
      <c r="E127" s="3"/>
      <c r="F127" s="3"/>
      <c r="G127" s="3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2"/>
      <c r="Y127" s="2"/>
      <c r="Z127" s="2"/>
      <c r="AA127" s="2"/>
      <c r="AB127" s="2"/>
      <c r="AC127" s="2"/>
    </row>
    <row r="128" ht="12.75" customHeight="1">
      <c r="A128" s="2"/>
      <c r="B128" s="2"/>
      <c r="C128" s="2"/>
      <c r="D128" s="3"/>
      <c r="E128" s="3"/>
      <c r="F128" s="3"/>
      <c r="G128" s="3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2"/>
      <c r="Y128" s="2"/>
      <c r="Z128" s="2"/>
      <c r="AA128" s="2"/>
      <c r="AB128" s="2"/>
      <c r="AC128" s="2"/>
    </row>
    <row r="129" ht="12.75" customHeight="1">
      <c r="A129" s="2"/>
      <c r="B129" s="2"/>
      <c r="C129" s="2"/>
      <c r="D129" s="3"/>
      <c r="E129" s="3"/>
      <c r="F129" s="3"/>
      <c r="G129" s="3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2"/>
      <c r="Y129" s="2"/>
      <c r="Z129" s="2"/>
      <c r="AA129" s="2"/>
      <c r="AB129" s="2"/>
      <c r="AC129" s="2"/>
    </row>
    <row r="130" ht="12.75" customHeight="1">
      <c r="A130" s="2"/>
      <c r="B130" s="2"/>
      <c r="C130" s="2"/>
      <c r="D130" s="3"/>
      <c r="E130" s="3"/>
      <c r="F130" s="3"/>
      <c r="G130" s="3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2"/>
      <c r="Y130" s="2"/>
      <c r="Z130" s="2"/>
      <c r="AA130" s="2"/>
      <c r="AB130" s="2"/>
      <c r="AC130" s="2"/>
    </row>
    <row r="131" ht="12.75" customHeight="1">
      <c r="A131" s="2"/>
      <c r="B131" s="2"/>
      <c r="C131" s="2"/>
      <c r="D131" s="3"/>
      <c r="E131" s="3"/>
      <c r="F131" s="3"/>
      <c r="G131" s="3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2"/>
      <c r="Y131" s="2"/>
      <c r="Z131" s="2"/>
      <c r="AA131" s="2"/>
      <c r="AB131" s="2"/>
      <c r="AC131" s="2"/>
    </row>
    <row r="132" ht="12.75" customHeight="1">
      <c r="A132" s="2"/>
      <c r="B132" s="2"/>
      <c r="C132" s="2"/>
      <c r="D132" s="3"/>
      <c r="E132" s="3"/>
      <c r="F132" s="3"/>
      <c r="G132" s="3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2"/>
      <c r="Y132" s="2"/>
      <c r="Z132" s="2"/>
      <c r="AA132" s="2"/>
      <c r="AB132" s="2"/>
      <c r="AC132" s="2"/>
    </row>
    <row r="133" ht="12.75" customHeight="1">
      <c r="A133" s="2"/>
      <c r="B133" s="2"/>
      <c r="C133" s="2"/>
      <c r="D133" s="3"/>
      <c r="E133" s="3"/>
      <c r="F133" s="3"/>
      <c r="G133" s="3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2"/>
      <c r="Y133" s="2"/>
      <c r="Z133" s="2"/>
      <c r="AA133" s="2"/>
      <c r="AB133" s="2"/>
      <c r="AC133" s="2"/>
    </row>
    <row r="134" ht="12.75" customHeight="1">
      <c r="A134" s="2"/>
      <c r="B134" s="2"/>
      <c r="C134" s="2"/>
      <c r="D134" s="3"/>
      <c r="E134" s="3"/>
      <c r="F134" s="3"/>
      <c r="G134" s="3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2"/>
      <c r="Y134" s="2"/>
      <c r="Z134" s="2"/>
      <c r="AA134" s="2"/>
      <c r="AB134" s="2"/>
      <c r="AC134" s="2"/>
    </row>
    <row r="135" ht="12.75" customHeight="1">
      <c r="A135" s="2"/>
      <c r="B135" s="2"/>
      <c r="C135" s="2"/>
      <c r="D135" s="3"/>
      <c r="E135" s="3"/>
      <c r="F135" s="3"/>
      <c r="G135" s="3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2"/>
      <c r="Y135" s="2"/>
      <c r="Z135" s="2"/>
      <c r="AA135" s="2"/>
      <c r="AB135" s="2"/>
      <c r="AC135" s="2"/>
    </row>
    <row r="136" ht="12.75" customHeight="1">
      <c r="A136" s="2"/>
      <c r="B136" s="2"/>
      <c r="C136" s="2"/>
      <c r="D136" s="3"/>
      <c r="E136" s="3"/>
      <c r="F136" s="3"/>
      <c r="G136" s="3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2"/>
      <c r="Y136" s="2"/>
      <c r="Z136" s="2"/>
      <c r="AA136" s="2"/>
      <c r="AB136" s="2"/>
      <c r="AC136" s="2"/>
    </row>
    <row r="137" ht="12.75" customHeight="1">
      <c r="A137" s="2"/>
      <c r="B137" s="2"/>
      <c r="C137" s="2"/>
      <c r="D137" s="3"/>
      <c r="E137" s="3"/>
      <c r="F137" s="3"/>
      <c r="G137" s="3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2"/>
      <c r="Y137" s="2"/>
      <c r="Z137" s="2"/>
      <c r="AA137" s="2"/>
      <c r="AB137" s="2"/>
      <c r="AC137" s="2"/>
    </row>
    <row r="138" ht="12.75" customHeight="1">
      <c r="A138" s="2"/>
      <c r="B138" s="2"/>
      <c r="C138" s="2"/>
      <c r="D138" s="3"/>
      <c r="E138" s="3"/>
      <c r="F138" s="3"/>
      <c r="G138" s="3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2"/>
      <c r="Y138" s="2"/>
      <c r="Z138" s="2"/>
      <c r="AA138" s="2"/>
      <c r="AB138" s="2"/>
      <c r="AC138" s="2"/>
    </row>
    <row r="139" ht="12.75" customHeight="1">
      <c r="A139" s="2"/>
      <c r="B139" s="2"/>
      <c r="C139" s="2"/>
      <c r="D139" s="3"/>
      <c r="E139" s="3"/>
      <c r="F139" s="3"/>
      <c r="G139" s="3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2"/>
      <c r="Y139" s="2"/>
      <c r="Z139" s="2"/>
      <c r="AA139" s="2"/>
      <c r="AB139" s="2"/>
      <c r="AC139" s="2"/>
    </row>
    <row r="140" ht="12.75" customHeight="1">
      <c r="A140" s="2"/>
      <c r="B140" s="2"/>
      <c r="C140" s="2"/>
      <c r="D140" s="3"/>
      <c r="E140" s="3"/>
      <c r="F140" s="3"/>
      <c r="G140" s="3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2"/>
      <c r="Y140" s="2"/>
      <c r="Z140" s="2"/>
      <c r="AA140" s="2"/>
      <c r="AB140" s="2"/>
      <c r="AC140" s="2"/>
    </row>
    <row r="141" ht="12.75" customHeight="1">
      <c r="A141" s="2"/>
      <c r="B141" s="2"/>
      <c r="C141" s="2"/>
      <c r="D141" s="3"/>
      <c r="E141" s="3"/>
      <c r="F141" s="3"/>
      <c r="G141" s="3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2"/>
      <c r="Y141" s="2"/>
      <c r="Z141" s="2"/>
      <c r="AA141" s="2"/>
      <c r="AB141" s="2"/>
      <c r="AC141" s="2"/>
    </row>
    <row r="142" ht="12.75" customHeight="1">
      <c r="A142" s="2"/>
      <c r="B142" s="2"/>
      <c r="C142" s="2"/>
      <c r="D142" s="3"/>
      <c r="E142" s="3"/>
      <c r="F142" s="3"/>
      <c r="G142" s="3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2"/>
      <c r="Y142" s="2"/>
      <c r="Z142" s="2"/>
      <c r="AA142" s="2"/>
      <c r="AB142" s="2"/>
      <c r="AC142" s="2"/>
    </row>
    <row r="143" ht="12.75" customHeight="1">
      <c r="A143" s="2"/>
      <c r="B143" s="2"/>
      <c r="C143" s="2"/>
      <c r="D143" s="3"/>
      <c r="E143" s="3"/>
      <c r="F143" s="3"/>
      <c r="G143" s="3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2"/>
      <c r="Y143" s="2"/>
      <c r="Z143" s="2"/>
      <c r="AA143" s="2"/>
      <c r="AB143" s="2"/>
      <c r="AC143" s="2"/>
    </row>
    <row r="144" ht="12.75" customHeight="1">
      <c r="A144" s="2"/>
      <c r="B144" s="2"/>
      <c r="C144" s="2"/>
      <c r="D144" s="3"/>
      <c r="E144" s="3"/>
      <c r="F144" s="3"/>
      <c r="G144" s="3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2"/>
      <c r="Y144" s="2"/>
      <c r="Z144" s="2"/>
      <c r="AA144" s="2"/>
      <c r="AB144" s="2"/>
      <c r="AC144" s="2"/>
    </row>
    <row r="145" ht="12.75" customHeight="1">
      <c r="A145" s="2"/>
      <c r="B145" s="2"/>
      <c r="C145" s="2"/>
      <c r="D145" s="3"/>
      <c r="E145" s="3"/>
      <c r="F145" s="3"/>
      <c r="G145" s="3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2"/>
      <c r="Y145" s="2"/>
      <c r="Z145" s="2"/>
      <c r="AA145" s="2"/>
      <c r="AB145" s="2"/>
      <c r="AC145" s="2"/>
    </row>
    <row r="146" ht="12.75" customHeight="1">
      <c r="A146" s="2"/>
      <c r="B146" s="2"/>
      <c r="C146" s="2"/>
      <c r="D146" s="3"/>
      <c r="E146" s="3"/>
      <c r="F146" s="3"/>
      <c r="G146" s="3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2"/>
      <c r="Y146" s="2"/>
      <c r="Z146" s="2"/>
      <c r="AA146" s="2"/>
      <c r="AB146" s="2"/>
      <c r="AC146" s="2"/>
    </row>
    <row r="147" ht="12.75" customHeight="1">
      <c r="A147" s="2"/>
      <c r="B147" s="2"/>
      <c r="C147" s="2"/>
      <c r="D147" s="3"/>
      <c r="E147" s="3"/>
      <c r="F147" s="3"/>
      <c r="G147" s="3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2"/>
      <c r="Y147" s="2"/>
      <c r="Z147" s="2"/>
      <c r="AA147" s="2"/>
      <c r="AB147" s="2"/>
      <c r="AC147" s="2"/>
    </row>
    <row r="148" ht="12.75" customHeight="1">
      <c r="A148" s="2"/>
      <c r="B148" s="2"/>
      <c r="C148" s="2"/>
      <c r="D148" s="3"/>
      <c r="E148" s="3"/>
      <c r="F148" s="3"/>
      <c r="G148" s="3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2"/>
      <c r="Y148" s="2"/>
      <c r="Z148" s="2"/>
      <c r="AA148" s="2"/>
      <c r="AB148" s="2"/>
      <c r="AC148" s="2"/>
    </row>
    <row r="149" ht="12.75" customHeight="1">
      <c r="A149" s="2"/>
      <c r="B149" s="2"/>
      <c r="C149" s="2"/>
      <c r="D149" s="3"/>
      <c r="E149" s="3"/>
      <c r="F149" s="3"/>
      <c r="G149" s="3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2"/>
      <c r="Y149" s="2"/>
      <c r="Z149" s="2"/>
      <c r="AA149" s="2"/>
      <c r="AB149" s="2"/>
      <c r="AC149" s="2"/>
    </row>
    <row r="150" ht="12.75" customHeight="1">
      <c r="A150" s="2"/>
      <c r="B150" s="2"/>
      <c r="C150" s="2"/>
      <c r="D150" s="3"/>
      <c r="E150" s="3"/>
      <c r="F150" s="3"/>
      <c r="G150" s="3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2"/>
      <c r="Y150" s="2"/>
      <c r="Z150" s="2"/>
      <c r="AA150" s="2"/>
      <c r="AB150" s="2"/>
      <c r="AC150" s="2"/>
    </row>
    <row r="151" ht="12.75" customHeight="1">
      <c r="A151" s="2"/>
      <c r="B151" s="2"/>
      <c r="C151" s="2"/>
      <c r="D151" s="3"/>
      <c r="E151" s="3"/>
      <c r="F151" s="3"/>
      <c r="G151" s="3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2"/>
      <c r="Y151" s="2"/>
      <c r="Z151" s="2"/>
      <c r="AA151" s="2"/>
      <c r="AB151" s="2"/>
      <c r="AC151" s="2"/>
    </row>
    <row r="152" ht="12.75" customHeight="1">
      <c r="A152" s="2"/>
      <c r="B152" s="2"/>
      <c r="C152" s="2"/>
      <c r="D152" s="3"/>
      <c r="E152" s="3"/>
      <c r="F152" s="3"/>
      <c r="G152" s="3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2"/>
      <c r="Y152" s="2"/>
      <c r="Z152" s="2"/>
      <c r="AA152" s="2"/>
      <c r="AB152" s="2"/>
      <c r="AC152" s="2"/>
    </row>
    <row r="153" ht="12.75" customHeight="1">
      <c r="A153" s="2"/>
      <c r="B153" s="2"/>
      <c r="C153" s="2"/>
      <c r="D153" s="3"/>
      <c r="E153" s="3"/>
      <c r="F153" s="3"/>
      <c r="G153" s="3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2"/>
      <c r="Y153" s="2"/>
      <c r="Z153" s="2"/>
      <c r="AA153" s="2"/>
      <c r="AB153" s="2"/>
      <c r="AC153" s="2"/>
    </row>
    <row r="154" ht="12.75" customHeight="1">
      <c r="A154" s="2"/>
      <c r="B154" s="2"/>
      <c r="C154" s="2"/>
      <c r="D154" s="3"/>
      <c r="E154" s="3"/>
      <c r="F154" s="3"/>
      <c r="G154" s="3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2"/>
      <c r="Y154" s="2"/>
      <c r="Z154" s="2"/>
      <c r="AA154" s="2"/>
      <c r="AB154" s="2"/>
      <c r="AC154" s="2"/>
    </row>
    <row r="155" ht="12.75" customHeight="1">
      <c r="A155" s="2"/>
      <c r="B155" s="2"/>
      <c r="C155" s="2"/>
      <c r="D155" s="3"/>
      <c r="E155" s="3"/>
      <c r="F155" s="3"/>
      <c r="G155" s="3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2"/>
      <c r="Y155" s="2"/>
      <c r="Z155" s="2"/>
      <c r="AA155" s="2"/>
      <c r="AB155" s="2"/>
      <c r="AC155" s="2"/>
    </row>
    <row r="156" ht="12.75" customHeight="1">
      <c r="A156" s="2"/>
      <c r="B156" s="2"/>
      <c r="C156" s="2"/>
      <c r="D156" s="3"/>
      <c r="E156" s="3"/>
      <c r="F156" s="3"/>
      <c r="G156" s="3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2"/>
      <c r="Y156" s="2"/>
      <c r="Z156" s="2"/>
      <c r="AA156" s="2"/>
      <c r="AB156" s="2"/>
      <c r="AC156" s="2"/>
    </row>
    <row r="157" ht="12.75" customHeight="1">
      <c r="A157" s="2"/>
      <c r="B157" s="2"/>
      <c r="C157" s="2"/>
      <c r="D157" s="3"/>
      <c r="E157" s="3"/>
      <c r="F157" s="3"/>
      <c r="G157" s="3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2"/>
      <c r="Y157" s="2"/>
      <c r="Z157" s="2"/>
      <c r="AA157" s="2"/>
      <c r="AB157" s="2"/>
      <c r="AC157" s="2"/>
    </row>
    <row r="158" ht="12.75" customHeight="1">
      <c r="A158" s="2"/>
      <c r="B158" s="2"/>
      <c r="C158" s="2"/>
      <c r="D158" s="3"/>
      <c r="E158" s="3"/>
      <c r="F158" s="3"/>
      <c r="G158" s="3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2"/>
      <c r="Y158" s="2"/>
      <c r="Z158" s="2"/>
      <c r="AA158" s="2"/>
      <c r="AB158" s="2"/>
      <c r="AC158" s="2"/>
    </row>
    <row r="159" ht="12.75" customHeight="1">
      <c r="A159" s="2"/>
      <c r="B159" s="2"/>
      <c r="C159" s="2"/>
      <c r="D159" s="3"/>
      <c r="E159" s="3"/>
      <c r="F159" s="3"/>
      <c r="G159" s="3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2"/>
      <c r="Y159" s="2"/>
      <c r="Z159" s="2"/>
      <c r="AA159" s="2"/>
      <c r="AB159" s="2"/>
      <c r="AC159" s="2"/>
    </row>
    <row r="160" ht="12.75" customHeight="1">
      <c r="A160" s="2"/>
      <c r="B160" s="2"/>
      <c r="C160" s="2"/>
      <c r="D160" s="3"/>
      <c r="E160" s="3"/>
      <c r="F160" s="3"/>
      <c r="G160" s="3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2"/>
      <c r="Y160" s="2"/>
      <c r="Z160" s="2"/>
      <c r="AA160" s="2"/>
      <c r="AB160" s="2"/>
      <c r="AC160" s="2"/>
    </row>
    <row r="161" ht="12.75" customHeight="1">
      <c r="A161" s="2"/>
      <c r="B161" s="2"/>
      <c r="C161" s="2"/>
      <c r="D161" s="3"/>
      <c r="E161" s="3"/>
      <c r="F161" s="3"/>
      <c r="G161" s="3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2"/>
      <c r="Y161" s="2"/>
      <c r="Z161" s="2"/>
      <c r="AA161" s="2"/>
      <c r="AB161" s="2"/>
      <c r="AC161" s="2"/>
    </row>
    <row r="162" ht="12.75" customHeight="1">
      <c r="A162" s="2"/>
      <c r="B162" s="2"/>
      <c r="C162" s="2"/>
      <c r="D162" s="3"/>
      <c r="E162" s="3"/>
      <c r="F162" s="3"/>
      <c r="G162" s="3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2"/>
      <c r="Y162" s="2"/>
      <c r="Z162" s="2"/>
      <c r="AA162" s="2"/>
      <c r="AB162" s="2"/>
      <c r="AC162" s="2"/>
    </row>
    <row r="163" ht="12.75" customHeight="1">
      <c r="A163" s="2"/>
      <c r="B163" s="2"/>
      <c r="C163" s="2"/>
      <c r="D163" s="3"/>
      <c r="E163" s="3"/>
      <c r="F163" s="3"/>
      <c r="G163" s="3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2"/>
      <c r="Y163" s="2"/>
      <c r="Z163" s="2"/>
      <c r="AA163" s="2"/>
      <c r="AB163" s="2"/>
      <c r="AC163" s="2"/>
    </row>
    <row r="164" ht="12.75" customHeight="1">
      <c r="A164" s="2"/>
      <c r="B164" s="2"/>
      <c r="C164" s="2"/>
      <c r="D164" s="3"/>
      <c r="E164" s="3"/>
      <c r="F164" s="3"/>
      <c r="G164" s="3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2"/>
      <c r="Y164" s="2"/>
      <c r="Z164" s="2"/>
      <c r="AA164" s="2"/>
      <c r="AB164" s="2"/>
      <c r="AC164" s="2"/>
    </row>
    <row r="165" ht="12.75" customHeight="1">
      <c r="A165" s="2"/>
      <c r="B165" s="2"/>
      <c r="C165" s="2"/>
      <c r="D165" s="3"/>
      <c r="E165" s="3"/>
      <c r="F165" s="3"/>
      <c r="G165" s="3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2"/>
      <c r="Y165" s="2"/>
      <c r="Z165" s="2"/>
      <c r="AA165" s="2"/>
      <c r="AB165" s="2"/>
      <c r="AC165" s="2"/>
    </row>
    <row r="166" ht="12.75" customHeight="1">
      <c r="A166" s="2"/>
      <c r="B166" s="2"/>
      <c r="C166" s="2"/>
      <c r="D166" s="3"/>
      <c r="E166" s="3"/>
      <c r="F166" s="3"/>
      <c r="G166" s="3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2"/>
      <c r="Y166" s="2"/>
      <c r="Z166" s="2"/>
      <c r="AA166" s="2"/>
      <c r="AB166" s="2"/>
      <c r="AC166" s="2"/>
    </row>
    <row r="167" ht="12.75" customHeight="1">
      <c r="A167" s="2"/>
      <c r="B167" s="2"/>
      <c r="C167" s="2"/>
      <c r="D167" s="3"/>
      <c r="E167" s="3"/>
      <c r="F167" s="3"/>
      <c r="G167" s="3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2"/>
      <c r="Y167" s="2"/>
      <c r="Z167" s="2"/>
      <c r="AA167" s="2"/>
      <c r="AB167" s="2"/>
      <c r="AC167" s="2"/>
    </row>
    <row r="168" ht="12.75" customHeight="1">
      <c r="A168" s="2"/>
      <c r="B168" s="2"/>
      <c r="C168" s="2"/>
      <c r="D168" s="3"/>
      <c r="E168" s="3"/>
      <c r="F168" s="3"/>
      <c r="G168" s="3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2"/>
      <c r="Y168" s="2"/>
      <c r="Z168" s="2"/>
      <c r="AA168" s="2"/>
      <c r="AB168" s="2"/>
      <c r="AC168" s="2"/>
    </row>
    <row r="169" ht="12.75" customHeight="1">
      <c r="A169" s="2"/>
      <c r="B169" s="2"/>
      <c r="C169" s="2"/>
      <c r="D169" s="3"/>
      <c r="E169" s="3"/>
      <c r="F169" s="3"/>
      <c r="G169" s="3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2"/>
      <c r="Y169" s="2"/>
      <c r="Z169" s="2"/>
      <c r="AA169" s="2"/>
      <c r="AB169" s="2"/>
      <c r="AC169" s="2"/>
    </row>
    <row r="170" ht="12.75" customHeight="1">
      <c r="A170" s="2"/>
      <c r="B170" s="2"/>
      <c r="C170" s="2"/>
      <c r="D170" s="3"/>
      <c r="E170" s="3"/>
      <c r="F170" s="3"/>
      <c r="G170" s="3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2"/>
      <c r="Y170" s="2"/>
      <c r="Z170" s="2"/>
      <c r="AA170" s="2"/>
      <c r="AB170" s="2"/>
      <c r="AC170" s="2"/>
    </row>
    <row r="171" ht="12.75" customHeight="1">
      <c r="A171" s="2"/>
      <c r="B171" s="2"/>
      <c r="C171" s="2"/>
      <c r="D171" s="3"/>
      <c r="E171" s="3"/>
      <c r="F171" s="3"/>
      <c r="G171" s="3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2"/>
      <c r="Y171" s="2"/>
      <c r="Z171" s="2"/>
      <c r="AA171" s="2"/>
      <c r="AB171" s="2"/>
      <c r="AC171" s="2"/>
    </row>
    <row r="172" ht="12.75" customHeight="1">
      <c r="A172" s="2"/>
      <c r="B172" s="2"/>
      <c r="C172" s="2"/>
      <c r="D172" s="3"/>
      <c r="E172" s="3"/>
      <c r="F172" s="3"/>
      <c r="G172" s="3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"/>
      <c r="Y172" s="2"/>
      <c r="Z172" s="2"/>
      <c r="AA172" s="2"/>
      <c r="AB172" s="2"/>
      <c r="AC172" s="2"/>
    </row>
    <row r="173" ht="12.75" customHeight="1">
      <c r="A173" s="2"/>
      <c r="B173" s="2"/>
      <c r="C173" s="2"/>
      <c r="D173" s="3"/>
      <c r="E173" s="3"/>
      <c r="F173" s="3"/>
      <c r="G173" s="3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"/>
      <c r="Y173" s="2"/>
      <c r="Z173" s="2"/>
      <c r="AA173" s="2"/>
      <c r="AB173" s="2"/>
      <c r="AC173" s="2"/>
    </row>
    <row r="174" ht="12.75" customHeight="1">
      <c r="A174" s="2"/>
      <c r="B174" s="2"/>
      <c r="C174" s="2"/>
      <c r="D174" s="3"/>
      <c r="E174" s="3"/>
      <c r="F174" s="3"/>
      <c r="G174" s="3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"/>
      <c r="Y174" s="2"/>
      <c r="Z174" s="2"/>
      <c r="AA174" s="2"/>
      <c r="AB174" s="2"/>
      <c r="AC174" s="2"/>
    </row>
    <row r="175" ht="12.75" customHeight="1">
      <c r="A175" s="2"/>
      <c r="B175" s="2"/>
      <c r="C175" s="2"/>
      <c r="D175" s="3"/>
      <c r="E175" s="3"/>
      <c r="F175" s="3"/>
      <c r="G175" s="3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"/>
      <c r="Y175" s="2"/>
      <c r="Z175" s="2"/>
      <c r="AA175" s="2"/>
      <c r="AB175" s="2"/>
      <c r="AC175" s="2"/>
    </row>
    <row r="176" ht="12.75" customHeight="1">
      <c r="A176" s="2"/>
      <c r="B176" s="2"/>
      <c r="C176" s="2"/>
      <c r="D176" s="3"/>
      <c r="E176" s="3"/>
      <c r="F176" s="3"/>
      <c r="G176" s="3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"/>
      <c r="Y176" s="2"/>
      <c r="Z176" s="2"/>
      <c r="AA176" s="2"/>
      <c r="AB176" s="2"/>
      <c r="AC176" s="2"/>
    </row>
    <row r="177" ht="12.75" customHeight="1">
      <c r="A177" s="2"/>
      <c r="B177" s="2"/>
      <c r="C177" s="2"/>
      <c r="D177" s="3"/>
      <c r="E177" s="3"/>
      <c r="F177" s="3"/>
      <c r="G177" s="3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"/>
      <c r="Y177" s="2"/>
      <c r="Z177" s="2"/>
      <c r="AA177" s="2"/>
      <c r="AB177" s="2"/>
      <c r="AC177" s="2"/>
    </row>
    <row r="178" ht="12.75" customHeight="1">
      <c r="A178" s="2"/>
      <c r="B178" s="2"/>
      <c r="C178" s="2"/>
      <c r="D178" s="3"/>
      <c r="E178" s="3"/>
      <c r="F178" s="3"/>
      <c r="G178" s="3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2"/>
      <c r="Y178" s="2"/>
      <c r="Z178" s="2"/>
      <c r="AA178" s="2"/>
      <c r="AB178" s="2"/>
      <c r="AC178" s="2"/>
    </row>
    <row r="179" ht="12.75" customHeight="1">
      <c r="A179" s="2"/>
      <c r="B179" s="2"/>
      <c r="C179" s="2"/>
      <c r="D179" s="3"/>
      <c r="E179" s="3"/>
      <c r="F179" s="3"/>
      <c r="G179" s="3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2"/>
      <c r="Y179" s="2"/>
      <c r="Z179" s="2"/>
      <c r="AA179" s="2"/>
      <c r="AB179" s="2"/>
      <c r="AC179" s="2"/>
    </row>
    <row r="180" ht="12.75" customHeight="1">
      <c r="A180" s="2"/>
      <c r="B180" s="2"/>
      <c r="C180" s="2"/>
      <c r="D180" s="3"/>
      <c r="E180" s="3"/>
      <c r="F180" s="3"/>
      <c r="G180" s="3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2"/>
      <c r="Y180" s="2"/>
      <c r="Z180" s="2"/>
      <c r="AA180" s="2"/>
      <c r="AB180" s="2"/>
      <c r="AC180" s="2"/>
    </row>
    <row r="181" ht="12.75" customHeight="1">
      <c r="A181" s="2"/>
      <c r="B181" s="2"/>
      <c r="C181" s="2"/>
      <c r="D181" s="3"/>
      <c r="E181" s="3"/>
      <c r="F181" s="3"/>
      <c r="G181" s="3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2"/>
      <c r="Y181" s="2"/>
      <c r="Z181" s="2"/>
      <c r="AA181" s="2"/>
      <c r="AB181" s="2"/>
      <c r="AC181" s="2"/>
    </row>
    <row r="182" ht="12.75" customHeight="1">
      <c r="A182" s="2"/>
      <c r="B182" s="2"/>
      <c r="C182" s="2"/>
      <c r="D182" s="3"/>
      <c r="E182" s="3"/>
      <c r="F182" s="3"/>
      <c r="G182" s="3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2"/>
      <c r="Y182" s="2"/>
      <c r="Z182" s="2"/>
      <c r="AA182" s="2"/>
      <c r="AB182" s="2"/>
      <c r="AC182" s="2"/>
    </row>
    <row r="183" ht="12.75" customHeight="1">
      <c r="A183" s="2"/>
      <c r="B183" s="2"/>
      <c r="C183" s="2"/>
      <c r="D183" s="3"/>
      <c r="E183" s="3"/>
      <c r="F183" s="3"/>
      <c r="G183" s="3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2"/>
      <c r="Y183" s="2"/>
      <c r="Z183" s="2"/>
      <c r="AA183" s="2"/>
      <c r="AB183" s="2"/>
      <c r="AC183" s="2"/>
    </row>
    <row r="184" ht="12.75" customHeight="1">
      <c r="A184" s="2"/>
      <c r="B184" s="2"/>
      <c r="C184" s="2"/>
      <c r="D184" s="3"/>
      <c r="E184" s="3"/>
      <c r="F184" s="3"/>
      <c r="G184" s="3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2"/>
      <c r="Y184" s="2"/>
      <c r="Z184" s="2"/>
      <c r="AA184" s="2"/>
      <c r="AB184" s="2"/>
      <c r="AC184" s="2"/>
    </row>
    <row r="185" ht="12.75" customHeight="1">
      <c r="A185" s="2"/>
      <c r="B185" s="2"/>
      <c r="C185" s="2"/>
      <c r="D185" s="3"/>
      <c r="E185" s="3"/>
      <c r="F185" s="3"/>
      <c r="G185" s="3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2"/>
      <c r="Y185" s="2"/>
      <c r="Z185" s="2"/>
      <c r="AA185" s="2"/>
      <c r="AB185" s="2"/>
      <c r="AC185" s="2"/>
    </row>
    <row r="186" ht="12.75" customHeight="1">
      <c r="A186" s="2"/>
      <c r="B186" s="2"/>
      <c r="C186" s="2"/>
      <c r="D186" s="3"/>
      <c r="E186" s="3"/>
      <c r="F186" s="3"/>
      <c r="G186" s="3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2"/>
      <c r="Y186" s="2"/>
      <c r="Z186" s="2"/>
      <c r="AA186" s="2"/>
      <c r="AB186" s="2"/>
      <c r="AC186" s="2"/>
    </row>
    <row r="187" ht="12.75" customHeight="1">
      <c r="A187" s="2"/>
      <c r="B187" s="2"/>
      <c r="C187" s="2"/>
      <c r="D187" s="3"/>
      <c r="E187" s="3"/>
      <c r="F187" s="3"/>
      <c r="G187" s="3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2"/>
      <c r="Y187" s="2"/>
      <c r="Z187" s="2"/>
      <c r="AA187" s="2"/>
      <c r="AB187" s="2"/>
      <c r="AC187" s="2"/>
    </row>
    <row r="188" ht="12.75" customHeight="1">
      <c r="A188" s="2"/>
      <c r="B188" s="2"/>
      <c r="C188" s="2"/>
      <c r="D188" s="3"/>
      <c r="E188" s="3"/>
      <c r="F188" s="3"/>
      <c r="G188" s="3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2"/>
      <c r="Y188" s="2"/>
      <c r="Z188" s="2"/>
      <c r="AA188" s="2"/>
      <c r="AB188" s="2"/>
      <c r="AC188" s="2"/>
    </row>
    <row r="189" ht="12.75" customHeight="1">
      <c r="A189" s="2"/>
      <c r="B189" s="2"/>
      <c r="C189" s="2"/>
      <c r="D189" s="3"/>
      <c r="E189" s="3"/>
      <c r="F189" s="3"/>
      <c r="G189" s="3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2"/>
      <c r="Y189" s="2"/>
      <c r="Z189" s="2"/>
      <c r="AA189" s="2"/>
      <c r="AB189" s="2"/>
      <c r="AC189" s="2"/>
    </row>
    <row r="190" ht="12.75" customHeight="1">
      <c r="A190" s="2"/>
      <c r="B190" s="2"/>
      <c r="C190" s="2"/>
      <c r="D190" s="3"/>
      <c r="E190" s="3"/>
      <c r="F190" s="3"/>
      <c r="G190" s="3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2"/>
      <c r="Y190" s="2"/>
      <c r="Z190" s="2"/>
      <c r="AA190" s="2"/>
      <c r="AB190" s="2"/>
      <c r="AC190" s="2"/>
    </row>
    <row r="191" ht="12.75" customHeight="1">
      <c r="A191" s="2"/>
      <c r="B191" s="2"/>
      <c r="C191" s="2"/>
      <c r="D191" s="3"/>
      <c r="E191" s="3"/>
      <c r="F191" s="3"/>
      <c r="G191" s="3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2"/>
      <c r="Y191" s="2"/>
      <c r="Z191" s="2"/>
      <c r="AA191" s="2"/>
      <c r="AB191" s="2"/>
      <c r="AC191" s="2"/>
    </row>
    <row r="192" ht="12.75" customHeight="1">
      <c r="A192" s="2"/>
      <c r="B192" s="2"/>
      <c r="C192" s="2"/>
      <c r="D192" s="3"/>
      <c r="E192" s="3"/>
      <c r="F192" s="3"/>
      <c r="G192" s="3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2"/>
      <c r="Y192" s="2"/>
      <c r="Z192" s="2"/>
      <c r="AA192" s="2"/>
      <c r="AB192" s="2"/>
      <c r="AC192" s="2"/>
    </row>
    <row r="193" ht="12.75" customHeight="1">
      <c r="A193" s="2"/>
      <c r="B193" s="2"/>
      <c r="C193" s="2"/>
      <c r="D193" s="3"/>
      <c r="E193" s="3"/>
      <c r="F193" s="3"/>
      <c r="G193" s="3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2"/>
      <c r="Y193" s="2"/>
      <c r="Z193" s="2"/>
      <c r="AA193" s="2"/>
      <c r="AB193" s="2"/>
      <c r="AC193" s="2"/>
    </row>
    <row r="194" ht="12.75" customHeight="1">
      <c r="A194" s="2"/>
      <c r="B194" s="2"/>
      <c r="C194" s="2"/>
      <c r="D194" s="3"/>
      <c r="E194" s="3"/>
      <c r="F194" s="3"/>
      <c r="G194" s="3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2"/>
      <c r="Y194" s="2"/>
      <c r="Z194" s="2"/>
      <c r="AA194" s="2"/>
      <c r="AB194" s="2"/>
      <c r="AC194" s="2"/>
    </row>
    <row r="195" ht="12.75" customHeight="1">
      <c r="A195" s="2"/>
      <c r="B195" s="2"/>
      <c r="C195" s="2"/>
      <c r="D195" s="3"/>
      <c r="E195" s="3"/>
      <c r="F195" s="3"/>
      <c r="G195" s="3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2"/>
      <c r="Y195" s="2"/>
      <c r="Z195" s="2"/>
      <c r="AA195" s="2"/>
      <c r="AB195" s="2"/>
      <c r="AC195" s="2"/>
    </row>
    <row r="196" ht="12.75" customHeight="1">
      <c r="A196" s="2"/>
      <c r="B196" s="2"/>
      <c r="C196" s="2"/>
      <c r="D196" s="3"/>
      <c r="E196" s="3"/>
      <c r="F196" s="3"/>
      <c r="G196" s="3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2"/>
      <c r="Y196" s="2"/>
      <c r="Z196" s="2"/>
      <c r="AA196" s="2"/>
      <c r="AB196" s="2"/>
      <c r="AC196" s="2"/>
    </row>
    <row r="197" ht="12.75" customHeight="1">
      <c r="A197" s="2"/>
      <c r="B197" s="2"/>
      <c r="C197" s="2"/>
      <c r="D197" s="3"/>
      <c r="E197" s="3"/>
      <c r="F197" s="3"/>
      <c r="G197" s="3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2"/>
      <c r="Y197" s="2"/>
      <c r="Z197" s="2"/>
      <c r="AA197" s="2"/>
      <c r="AB197" s="2"/>
      <c r="AC197" s="2"/>
    </row>
    <row r="198" ht="12.75" customHeight="1">
      <c r="A198" s="2"/>
      <c r="B198" s="2"/>
      <c r="C198" s="2"/>
      <c r="D198" s="3"/>
      <c r="E198" s="3"/>
      <c r="F198" s="3"/>
      <c r="G198" s="3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2"/>
      <c r="Y198" s="2"/>
      <c r="Z198" s="2"/>
      <c r="AA198" s="2"/>
      <c r="AB198" s="2"/>
      <c r="AC198" s="2"/>
    </row>
    <row r="199" ht="12.75" customHeight="1">
      <c r="A199" s="2"/>
      <c r="B199" s="2"/>
      <c r="C199" s="2"/>
      <c r="D199" s="3"/>
      <c r="E199" s="3"/>
      <c r="F199" s="3"/>
      <c r="G199" s="3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2"/>
      <c r="Y199" s="2"/>
      <c r="Z199" s="2"/>
      <c r="AA199" s="2"/>
      <c r="AB199" s="2"/>
      <c r="AC199" s="2"/>
    </row>
    <row r="200" ht="12.75" customHeight="1">
      <c r="A200" s="2"/>
      <c r="B200" s="2"/>
      <c r="C200" s="2"/>
      <c r="D200" s="3"/>
      <c r="E200" s="3"/>
      <c r="F200" s="3"/>
      <c r="G200" s="3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2"/>
      <c r="Y200" s="2"/>
      <c r="Z200" s="2"/>
      <c r="AA200" s="2"/>
      <c r="AB200" s="2"/>
      <c r="AC200" s="2"/>
    </row>
    <row r="201" ht="12.75" customHeight="1">
      <c r="A201" s="2"/>
      <c r="B201" s="2"/>
      <c r="C201" s="2"/>
      <c r="D201" s="3"/>
      <c r="E201" s="3"/>
      <c r="F201" s="3"/>
      <c r="G201" s="3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2"/>
      <c r="Y201" s="2"/>
      <c r="Z201" s="2"/>
      <c r="AA201" s="2"/>
      <c r="AB201" s="2"/>
      <c r="AC201" s="2"/>
    </row>
    <row r="202" ht="12.75" customHeight="1">
      <c r="A202" s="2"/>
      <c r="B202" s="2"/>
      <c r="C202" s="2"/>
      <c r="D202" s="3"/>
      <c r="E202" s="3"/>
      <c r="F202" s="3"/>
      <c r="G202" s="3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2"/>
      <c r="Y202" s="2"/>
      <c r="Z202" s="2"/>
      <c r="AA202" s="2"/>
      <c r="AB202" s="2"/>
      <c r="AC202" s="2"/>
    </row>
    <row r="203" ht="12.75" customHeight="1">
      <c r="A203" s="2"/>
      <c r="B203" s="2"/>
      <c r="C203" s="2"/>
      <c r="D203" s="3"/>
      <c r="E203" s="3"/>
      <c r="F203" s="3"/>
      <c r="G203" s="3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2"/>
      <c r="Y203" s="2"/>
      <c r="Z203" s="2"/>
      <c r="AA203" s="2"/>
      <c r="AB203" s="2"/>
      <c r="AC203" s="2"/>
    </row>
    <row r="204" ht="12.75" customHeight="1">
      <c r="A204" s="2"/>
      <c r="B204" s="2"/>
      <c r="C204" s="2"/>
      <c r="D204" s="3"/>
      <c r="E204" s="3"/>
      <c r="F204" s="3"/>
      <c r="G204" s="3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2"/>
      <c r="Y204" s="2"/>
      <c r="Z204" s="2"/>
      <c r="AA204" s="2"/>
      <c r="AB204" s="2"/>
      <c r="AC204" s="2"/>
    </row>
    <row r="205" ht="12.75" customHeight="1">
      <c r="A205" s="2"/>
      <c r="B205" s="2"/>
      <c r="C205" s="2"/>
      <c r="D205" s="3"/>
      <c r="E205" s="3"/>
      <c r="F205" s="3"/>
      <c r="G205" s="3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2"/>
      <c r="Y205" s="2"/>
      <c r="Z205" s="2"/>
      <c r="AA205" s="2"/>
      <c r="AB205" s="2"/>
      <c r="AC205" s="2"/>
    </row>
    <row r="206" ht="12.75" customHeight="1">
      <c r="A206" s="2"/>
      <c r="B206" s="2"/>
      <c r="C206" s="2"/>
      <c r="D206" s="3"/>
      <c r="E206" s="3"/>
      <c r="F206" s="3"/>
      <c r="G206" s="3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2"/>
      <c r="Y206" s="2"/>
      <c r="Z206" s="2"/>
      <c r="AA206" s="2"/>
      <c r="AB206" s="2"/>
      <c r="AC206" s="2"/>
    </row>
    <row r="207" ht="12.75" customHeight="1">
      <c r="A207" s="2"/>
      <c r="B207" s="2"/>
      <c r="C207" s="2"/>
      <c r="D207" s="3"/>
      <c r="E207" s="3"/>
      <c r="F207" s="3"/>
      <c r="G207" s="3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2"/>
      <c r="Y207" s="2"/>
      <c r="Z207" s="2"/>
      <c r="AA207" s="2"/>
      <c r="AB207" s="2"/>
      <c r="AC207" s="2"/>
    </row>
    <row r="208" ht="12.75" customHeight="1">
      <c r="A208" s="2"/>
      <c r="B208" s="2"/>
      <c r="C208" s="2"/>
      <c r="D208" s="3"/>
      <c r="E208" s="3"/>
      <c r="F208" s="3"/>
      <c r="G208" s="3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2"/>
      <c r="Y208" s="2"/>
      <c r="Z208" s="2"/>
      <c r="AA208" s="2"/>
      <c r="AB208" s="2"/>
      <c r="AC208" s="2"/>
    </row>
    <row r="209" ht="12.75" customHeight="1">
      <c r="A209" s="2"/>
      <c r="B209" s="2"/>
      <c r="C209" s="2"/>
      <c r="D209" s="3"/>
      <c r="E209" s="3"/>
      <c r="F209" s="3"/>
      <c r="G209" s="3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2"/>
      <c r="Y209" s="2"/>
      <c r="Z209" s="2"/>
      <c r="AA209" s="2"/>
      <c r="AB209" s="2"/>
      <c r="AC209" s="2"/>
    </row>
    <row r="210" ht="12.75" customHeight="1">
      <c r="A210" s="2"/>
      <c r="B210" s="2"/>
      <c r="C210" s="2"/>
      <c r="D210" s="3"/>
      <c r="E210" s="3"/>
      <c r="F210" s="3"/>
      <c r="G210" s="3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2"/>
      <c r="Y210" s="2"/>
      <c r="Z210" s="2"/>
      <c r="AA210" s="2"/>
      <c r="AB210" s="2"/>
      <c r="AC210" s="2"/>
    </row>
    <row r="211" ht="12.75" customHeight="1">
      <c r="A211" s="2"/>
      <c r="B211" s="2"/>
      <c r="C211" s="2"/>
      <c r="D211" s="3"/>
      <c r="E211" s="3"/>
      <c r="F211" s="3"/>
      <c r="G211" s="3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2"/>
      <c r="Y211" s="2"/>
      <c r="Z211" s="2"/>
      <c r="AA211" s="2"/>
      <c r="AB211" s="2"/>
      <c r="AC211" s="2"/>
    </row>
    <row r="212" ht="12.75" customHeight="1">
      <c r="A212" s="2"/>
      <c r="B212" s="2"/>
      <c r="C212" s="2"/>
      <c r="D212" s="3"/>
      <c r="E212" s="3"/>
      <c r="F212" s="3"/>
      <c r="G212" s="3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2"/>
      <c r="Y212" s="2"/>
      <c r="Z212" s="2"/>
      <c r="AA212" s="2"/>
      <c r="AB212" s="2"/>
      <c r="AC212" s="2"/>
    </row>
    <row r="213" ht="12.75" customHeight="1">
      <c r="A213" s="2"/>
      <c r="B213" s="2"/>
      <c r="C213" s="2"/>
      <c r="D213" s="3"/>
      <c r="E213" s="3"/>
      <c r="F213" s="3"/>
      <c r="G213" s="3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2"/>
      <c r="Y213" s="2"/>
      <c r="Z213" s="2"/>
      <c r="AA213" s="2"/>
      <c r="AB213" s="2"/>
      <c r="AC213" s="2"/>
    </row>
    <row r="214" ht="12.75" customHeight="1">
      <c r="A214" s="2"/>
      <c r="B214" s="2"/>
      <c r="C214" s="2"/>
      <c r="D214" s="3"/>
      <c r="E214" s="3"/>
      <c r="F214" s="3"/>
      <c r="G214" s="3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2"/>
      <c r="Y214" s="2"/>
      <c r="Z214" s="2"/>
      <c r="AA214" s="2"/>
      <c r="AB214" s="2"/>
      <c r="AC214" s="2"/>
    </row>
    <row r="215" ht="12.75" customHeight="1">
      <c r="A215" s="2"/>
      <c r="B215" s="2"/>
      <c r="C215" s="2"/>
      <c r="D215" s="3"/>
      <c r="E215" s="3"/>
      <c r="F215" s="3"/>
      <c r="G215" s="3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2"/>
      <c r="Y215" s="2"/>
      <c r="Z215" s="2"/>
      <c r="AA215" s="2"/>
      <c r="AB215" s="2"/>
      <c r="AC215" s="2"/>
    </row>
    <row r="216" ht="12.75" customHeight="1">
      <c r="A216" s="2"/>
      <c r="B216" s="2"/>
      <c r="C216" s="2"/>
      <c r="D216" s="3"/>
      <c r="E216" s="3"/>
      <c r="F216" s="3"/>
      <c r="G216" s="3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2"/>
      <c r="Y216" s="2"/>
      <c r="Z216" s="2"/>
      <c r="AA216" s="2"/>
      <c r="AB216" s="2"/>
      <c r="AC216" s="2"/>
    </row>
    <row r="217" ht="12.75" customHeight="1">
      <c r="A217" s="2"/>
      <c r="B217" s="2"/>
      <c r="C217" s="2"/>
      <c r="D217" s="3"/>
      <c r="E217" s="3"/>
      <c r="F217" s="3"/>
      <c r="G217" s="3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"/>
      <c r="Y217" s="2"/>
      <c r="Z217" s="2"/>
      <c r="AA217" s="2"/>
      <c r="AB217" s="2"/>
      <c r="AC217" s="2"/>
    </row>
    <row r="218" ht="12.75" customHeight="1">
      <c r="A218" s="2"/>
      <c r="B218" s="2"/>
      <c r="C218" s="2"/>
      <c r="D218" s="3"/>
      <c r="E218" s="3"/>
      <c r="F218" s="3"/>
      <c r="G218" s="3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2"/>
      <c r="Y218" s="2"/>
      <c r="Z218" s="2"/>
      <c r="AA218" s="2"/>
      <c r="AB218" s="2"/>
      <c r="AC218" s="2"/>
    </row>
    <row r="219" ht="12.75" customHeight="1">
      <c r="A219" s="2"/>
      <c r="B219" s="2"/>
      <c r="C219" s="2"/>
      <c r="D219" s="3"/>
      <c r="E219" s="3"/>
      <c r="F219" s="3"/>
      <c r="G219" s="3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2"/>
      <c r="Y219" s="2"/>
      <c r="Z219" s="2"/>
      <c r="AA219" s="2"/>
      <c r="AB219" s="2"/>
      <c r="AC219" s="2"/>
    </row>
    <row r="220" ht="12.75" customHeight="1">
      <c r="A220" s="2"/>
      <c r="B220" s="2"/>
      <c r="C220" s="2"/>
      <c r="D220" s="3"/>
      <c r="E220" s="3"/>
      <c r="F220" s="3"/>
      <c r="G220" s="3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2"/>
      <c r="Y220" s="2"/>
      <c r="Z220" s="2"/>
      <c r="AA220" s="2"/>
      <c r="AB220" s="2"/>
      <c r="AC220" s="2"/>
    </row>
    <row r="221" ht="12.75" customHeight="1">
      <c r="A221" s="2"/>
      <c r="B221" s="2"/>
      <c r="C221" s="2"/>
      <c r="D221" s="3"/>
      <c r="E221" s="3"/>
      <c r="F221" s="3"/>
      <c r="G221" s="3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2"/>
      <c r="Y221" s="2"/>
      <c r="Z221" s="2"/>
      <c r="AA221" s="2"/>
      <c r="AB221" s="2"/>
      <c r="AC221" s="2"/>
    </row>
    <row r="222" ht="12.75" customHeight="1">
      <c r="A222" s="2"/>
      <c r="B222" s="2"/>
      <c r="C222" s="2"/>
      <c r="D222" s="3"/>
      <c r="E222" s="3"/>
      <c r="F222" s="3"/>
      <c r="G222" s="3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2"/>
      <c r="Y222" s="2"/>
      <c r="Z222" s="2"/>
      <c r="AA222" s="2"/>
      <c r="AB222" s="2"/>
      <c r="AC222" s="2"/>
    </row>
    <row r="223" ht="12.75" customHeight="1">
      <c r="A223" s="2"/>
      <c r="B223" s="2"/>
      <c r="C223" s="2"/>
      <c r="D223" s="3"/>
      <c r="E223" s="3"/>
      <c r="F223" s="3"/>
      <c r="G223" s="3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2"/>
      <c r="Y223" s="2"/>
      <c r="Z223" s="2"/>
      <c r="AA223" s="2"/>
      <c r="AB223" s="2"/>
      <c r="AC223" s="2"/>
    </row>
    <row r="224" ht="12.75" customHeight="1">
      <c r="A224" s="2"/>
      <c r="B224" s="2"/>
      <c r="C224" s="2"/>
      <c r="D224" s="3"/>
      <c r="E224" s="3"/>
      <c r="F224" s="3"/>
      <c r="G224" s="3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2"/>
      <c r="Y224" s="2"/>
      <c r="Z224" s="2"/>
      <c r="AA224" s="2"/>
      <c r="AB224" s="2"/>
      <c r="AC224" s="2"/>
    </row>
    <row r="225" ht="12.75" customHeight="1">
      <c r="A225" s="2"/>
      <c r="B225" s="2"/>
      <c r="C225" s="2"/>
      <c r="D225" s="3"/>
      <c r="E225" s="3"/>
      <c r="F225" s="3"/>
      <c r="G225" s="3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2"/>
      <c r="Y225" s="2"/>
      <c r="Z225" s="2"/>
      <c r="AA225" s="2"/>
      <c r="AB225" s="2"/>
      <c r="AC225" s="2"/>
    </row>
    <row r="226" ht="12.75" customHeight="1">
      <c r="A226" s="2"/>
      <c r="B226" s="2"/>
      <c r="C226" s="2"/>
      <c r="D226" s="3"/>
      <c r="E226" s="3"/>
      <c r="F226" s="3"/>
      <c r="G226" s="3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2"/>
      <c r="Y226" s="2"/>
      <c r="Z226" s="2"/>
      <c r="AA226" s="2"/>
      <c r="AB226" s="2"/>
      <c r="AC226" s="2"/>
    </row>
    <row r="227" ht="12.75" customHeight="1">
      <c r="A227" s="2"/>
      <c r="B227" s="2"/>
      <c r="C227" s="2"/>
      <c r="D227" s="3"/>
      <c r="E227" s="3"/>
      <c r="F227" s="3"/>
      <c r="G227" s="3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2"/>
      <c r="Y227" s="2"/>
      <c r="Z227" s="2"/>
      <c r="AA227" s="2"/>
      <c r="AB227" s="2"/>
      <c r="AC227" s="2"/>
    </row>
    <row r="228" ht="12.75" customHeight="1">
      <c r="A228" s="2"/>
      <c r="B228" s="2"/>
      <c r="C228" s="2"/>
      <c r="D228" s="3"/>
      <c r="E228" s="3"/>
      <c r="F228" s="3"/>
      <c r="G228" s="3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2"/>
      <c r="Y228" s="2"/>
      <c r="Z228" s="2"/>
      <c r="AA228" s="2"/>
      <c r="AB228" s="2"/>
      <c r="AC228" s="2"/>
    </row>
    <row r="229" ht="12.75" customHeight="1">
      <c r="A229" s="2"/>
      <c r="B229" s="2"/>
      <c r="C229" s="2"/>
      <c r="D229" s="3"/>
      <c r="E229" s="3"/>
      <c r="F229" s="3"/>
      <c r="G229" s="3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2"/>
      <c r="Y229" s="2"/>
      <c r="Z229" s="2"/>
      <c r="AA229" s="2"/>
      <c r="AB229" s="2"/>
      <c r="AC229" s="2"/>
    </row>
    <row r="230" ht="12.75" customHeight="1">
      <c r="A230" s="2"/>
      <c r="B230" s="2"/>
      <c r="C230" s="2"/>
      <c r="D230" s="3"/>
      <c r="E230" s="3"/>
      <c r="F230" s="3"/>
      <c r="G230" s="3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2"/>
      <c r="Y230" s="2"/>
      <c r="Z230" s="2"/>
      <c r="AA230" s="2"/>
      <c r="AB230" s="2"/>
      <c r="AC230" s="2"/>
    </row>
    <row r="231" ht="12.75" customHeight="1">
      <c r="A231" s="2"/>
      <c r="B231" s="2"/>
      <c r="C231" s="2"/>
      <c r="D231" s="3"/>
      <c r="E231" s="3"/>
      <c r="F231" s="3"/>
      <c r="G231" s="3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2"/>
      <c r="Y231" s="2"/>
      <c r="Z231" s="2"/>
      <c r="AA231" s="2"/>
      <c r="AB231" s="2"/>
      <c r="AC231" s="2"/>
    </row>
    <row r="232" ht="12.75" customHeight="1">
      <c r="A232" s="2"/>
      <c r="B232" s="2"/>
      <c r="C232" s="2"/>
      <c r="D232" s="3"/>
      <c r="E232" s="3"/>
      <c r="F232" s="3"/>
      <c r="G232" s="3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2"/>
      <c r="Y232" s="2"/>
      <c r="Z232" s="2"/>
      <c r="AA232" s="2"/>
      <c r="AB232" s="2"/>
      <c r="AC232" s="2"/>
    </row>
    <row r="233" ht="12.75" customHeight="1">
      <c r="A233" s="2"/>
      <c r="B233" s="2"/>
      <c r="C233" s="2"/>
      <c r="D233" s="3"/>
      <c r="E233" s="3"/>
      <c r="F233" s="3"/>
      <c r="G233" s="3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2"/>
      <c r="Y233" s="2"/>
      <c r="Z233" s="2"/>
      <c r="AA233" s="2"/>
      <c r="AB233" s="2"/>
      <c r="AC233" s="2"/>
    </row>
    <row r="234" ht="12.75" customHeight="1">
      <c r="A234" s="2"/>
      <c r="B234" s="2"/>
      <c r="C234" s="2"/>
      <c r="D234" s="3"/>
      <c r="E234" s="3"/>
      <c r="F234" s="3"/>
      <c r="G234" s="3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2"/>
      <c r="Y234" s="2"/>
      <c r="Z234" s="2"/>
      <c r="AA234" s="2"/>
      <c r="AB234" s="2"/>
      <c r="AC234" s="2"/>
    </row>
    <row r="235" ht="12.75" customHeight="1">
      <c r="A235" s="2"/>
      <c r="B235" s="2"/>
      <c r="C235" s="2"/>
      <c r="D235" s="3"/>
      <c r="E235" s="3"/>
      <c r="F235" s="3"/>
      <c r="G235" s="3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2"/>
      <c r="Y235" s="2"/>
      <c r="Z235" s="2"/>
      <c r="AA235" s="2"/>
      <c r="AB235" s="2"/>
      <c r="AC235" s="2"/>
    </row>
    <row r="236" ht="12.75" customHeight="1">
      <c r="A236" s="2"/>
      <c r="B236" s="2"/>
      <c r="C236" s="2"/>
      <c r="D236" s="3"/>
      <c r="E236" s="3"/>
      <c r="F236" s="3"/>
      <c r="G236" s="3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2"/>
      <c r="Y236" s="2"/>
      <c r="Z236" s="2"/>
      <c r="AA236" s="2"/>
      <c r="AB236" s="2"/>
      <c r="AC236" s="2"/>
    </row>
    <row r="237" ht="12.75" customHeight="1">
      <c r="A237" s="2"/>
      <c r="B237" s="2"/>
      <c r="C237" s="2"/>
      <c r="D237" s="3"/>
      <c r="E237" s="3"/>
      <c r="F237" s="3"/>
      <c r="G237" s="3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2"/>
      <c r="Y237" s="2"/>
      <c r="Z237" s="2"/>
      <c r="AA237" s="2"/>
      <c r="AB237" s="2"/>
      <c r="AC237" s="2"/>
    </row>
    <row r="238" ht="12.75" customHeight="1">
      <c r="A238" s="2"/>
      <c r="B238" s="2"/>
      <c r="C238" s="2"/>
      <c r="D238" s="3"/>
      <c r="E238" s="3"/>
      <c r="F238" s="3"/>
      <c r="G238" s="3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2"/>
      <c r="Y238" s="2"/>
      <c r="Z238" s="2"/>
      <c r="AA238" s="2"/>
      <c r="AB238" s="2"/>
      <c r="AC238" s="2"/>
    </row>
    <row r="239" ht="12.75" customHeight="1">
      <c r="A239" s="2"/>
      <c r="B239" s="2"/>
      <c r="C239" s="2"/>
      <c r="D239" s="3"/>
      <c r="E239" s="3"/>
      <c r="F239" s="3"/>
      <c r="G239" s="3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2"/>
      <c r="Y239" s="2"/>
      <c r="Z239" s="2"/>
      <c r="AA239" s="2"/>
      <c r="AB239" s="2"/>
      <c r="AC239" s="2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</sheetData>
  <printOptions/>
  <pageMargins bottom="0.75" footer="0.0" header="0.0" left="0.7" right="0.7" top="0.75"/>
  <pageSetup paperSize="9" scale="63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0"/>
    <col customWidth="1" min="3" max="3" width="27.86"/>
    <col customWidth="1" min="4" max="4" width="10.86"/>
    <col customWidth="1" min="5" max="5" width="8.29"/>
    <col customWidth="1" min="6" max="6" width="4.43"/>
    <col customWidth="1" min="7" max="7" width="8.71"/>
    <col customWidth="1" min="8" max="8" width="3.43"/>
    <col customWidth="1" min="9" max="9" width="8.0"/>
    <col customWidth="1" min="10" max="20" width="7.86"/>
    <col customWidth="1" min="21" max="21" width="8.71"/>
    <col customWidth="1" min="22" max="22" width="9.57"/>
    <col customWidth="1" min="23" max="23" width="10.0"/>
    <col customWidth="1" min="24" max="28" width="9.0"/>
  </cols>
  <sheetData>
    <row r="1" ht="12.75" customHeight="1">
      <c r="A1" s="1" t="s">
        <v>0</v>
      </c>
      <c r="B1" s="2"/>
      <c r="C1" s="2"/>
      <c r="D1" s="3"/>
      <c r="E1" s="3"/>
      <c r="F1" s="3"/>
      <c r="G1" s="3"/>
      <c r="H1" s="4"/>
      <c r="I1" s="1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2"/>
      <c r="Y1" s="2"/>
      <c r="Z1" s="6"/>
      <c r="AA1" s="2"/>
      <c r="AB1" s="6"/>
    </row>
    <row r="2" ht="12.75" customHeight="1">
      <c r="A2" s="1"/>
      <c r="B2" s="2"/>
      <c r="C2" s="2"/>
      <c r="D2" s="3"/>
      <c r="E2" s="3"/>
      <c r="F2" s="3"/>
      <c r="G2" s="3"/>
      <c r="H2" s="4"/>
      <c r="I2" s="1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2"/>
      <c r="Y2" s="2"/>
      <c r="Z2" s="6"/>
      <c r="AA2" s="2"/>
      <c r="AB2" s="6"/>
    </row>
    <row r="3" ht="12.75" customHeight="1">
      <c r="A3" s="7" t="s">
        <v>43</v>
      </c>
      <c r="B3" s="2"/>
      <c r="C3" s="2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2"/>
      <c r="Y3" s="2"/>
      <c r="Z3" s="6"/>
      <c r="AA3" s="2"/>
      <c r="AB3" s="6"/>
    </row>
    <row r="4" ht="12.75" customHeight="1">
      <c r="A4" s="29" t="s">
        <v>2</v>
      </c>
      <c r="B4" s="29" t="s">
        <v>3</v>
      </c>
      <c r="C4" s="29" t="s">
        <v>4</v>
      </c>
      <c r="D4" s="30" t="s">
        <v>5</v>
      </c>
      <c r="E4" s="30" t="s">
        <v>6</v>
      </c>
      <c r="F4" s="30" t="s">
        <v>20</v>
      </c>
      <c r="G4" s="30" t="s">
        <v>8</v>
      </c>
      <c r="H4" s="31" t="s">
        <v>9</v>
      </c>
      <c r="I4" s="11">
        <v>43921.0</v>
      </c>
      <c r="J4" s="11">
        <v>43951.0</v>
      </c>
      <c r="K4" s="11">
        <v>43982.0</v>
      </c>
      <c r="L4" s="11">
        <v>44012.0</v>
      </c>
      <c r="M4" s="11">
        <v>44043.0</v>
      </c>
      <c r="N4" s="11">
        <v>44074.0</v>
      </c>
      <c r="O4" s="11">
        <v>44104.0</v>
      </c>
      <c r="P4" s="11">
        <v>44135.0</v>
      </c>
      <c r="Q4" s="11">
        <v>44165.0</v>
      </c>
      <c r="R4" s="11">
        <v>44196.0</v>
      </c>
      <c r="S4" s="11">
        <v>44227.0</v>
      </c>
      <c r="T4" s="11">
        <v>44255.0</v>
      </c>
      <c r="U4" s="26" t="s">
        <v>10</v>
      </c>
      <c r="V4" s="11" t="s">
        <v>11</v>
      </c>
      <c r="W4" s="11" t="s">
        <v>44</v>
      </c>
      <c r="X4" s="2"/>
      <c r="Y4" s="2"/>
      <c r="Z4" s="6"/>
      <c r="AA4" s="2"/>
      <c r="AB4" s="6"/>
    </row>
    <row r="5" ht="12.75" customHeight="1">
      <c r="A5" s="12"/>
      <c r="B5" s="12"/>
      <c r="C5" s="2"/>
      <c r="D5" s="3"/>
      <c r="E5" s="3"/>
      <c r="F5" s="3"/>
      <c r="G5" s="3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2"/>
      <c r="Y5" s="2"/>
      <c r="Z5" s="6"/>
      <c r="AA5" s="2"/>
      <c r="AB5" s="6"/>
    </row>
    <row r="6" ht="12.75" customHeight="1">
      <c r="A6" s="13" t="s">
        <v>13</v>
      </c>
      <c r="B6" s="2"/>
      <c r="C6" s="2"/>
      <c r="D6" s="3"/>
      <c r="E6" s="14"/>
      <c r="F6" s="3"/>
      <c r="G6" s="3"/>
      <c r="H6" s="4"/>
      <c r="I6" s="13" t="str">
        <f>+A6</f>
        <v>6100&gt;020 (Computer Equipment&gt;Cost)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"/>
      <c r="Y6" s="2"/>
      <c r="Z6" s="6"/>
      <c r="AA6" s="2"/>
      <c r="AB6" s="6"/>
    </row>
    <row r="7" ht="12.75" customHeight="1">
      <c r="A7" s="8"/>
      <c r="B7" s="2"/>
      <c r="C7" s="2"/>
      <c r="D7" s="3"/>
      <c r="E7" s="14"/>
      <c r="F7" s="3"/>
      <c r="G7" s="3"/>
      <c r="H7" s="4">
        <v>3.0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2"/>
      <c r="Y7" s="2"/>
      <c r="Z7" s="6"/>
      <c r="AA7" s="2"/>
      <c r="AB7" s="6"/>
    </row>
    <row r="8" ht="12.75" customHeight="1">
      <c r="A8" s="15">
        <v>42825.0</v>
      </c>
      <c r="B8" s="16">
        <v>18431.0</v>
      </c>
      <c r="C8" s="7" t="s">
        <v>14</v>
      </c>
      <c r="D8" s="17">
        <f>'FAR20'!D8</f>
        <v>16077.6</v>
      </c>
      <c r="E8" s="17"/>
      <c r="F8" s="3"/>
      <c r="G8" s="3">
        <f t="shared" ref="G8:G12" si="1">+D8+E8-F8</f>
        <v>16077.6</v>
      </c>
      <c r="H8" s="4"/>
      <c r="I8" s="3">
        <f t="shared" ref="I8:I11" si="2">+$G8/$H$7/12</f>
        <v>446.6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f t="shared" ref="U8:U12" si="3">SUM(I8:T8)</f>
        <v>446.6</v>
      </c>
      <c r="V8" s="3">
        <f>'FAR20'!V8+U8</f>
        <v>16077.6</v>
      </c>
      <c r="W8" s="3">
        <f t="shared" ref="W8:W12" si="4">+G8-V8</f>
        <v>0</v>
      </c>
      <c r="X8" s="2"/>
      <c r="Y8" s="2"/>
      <c r="Z8" s="6"/>
      <c r="AA8" s="2"/>
      <c r="AB8" s="6"/>
    </row>
    <row r="9" ht="12.75" customHeight="1">
      <c r="A9" s="15">
        <v>42825.0</v>
      </c>
      <c r="B9" s="16">
        <v>18431.0</v>
      </c>
      <c r="C9" s="7" t="s">
        <v>15</v>
      </c>
      <c r="D9" s="17">
        <f>'FAR20'!D9</f>
        <v>10078.8</v>
      </c>
      <c r="E9" s="17"/>
      <c r="F9" s="3"/>
      <c r="G9" s="3">
        <f t="shared" si="1"/>
        <v>10078.8</v>
      </c>
      <c r="H9" s="4"/>
      <c r="I9" s="3">
        <f t="shared" si="2"/>
        <v>279.9666667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f t="shared" si="3"/>
        <v>279.9666667</v>
      </c>
      <c r="V9" s="3">
        <f>'FAR20'!V9+U9</f>
        <v>10078.8</v>
      </c>
      <c r="W9" s="3">
        <f t="shared" si="4"/>
        <v>0</v>
      </c>
      <c r="X9" s="2"/>
      <c r="Y9" s="2"/>
      <c r="Z9" s="6"/>
      <c r="AA9" s="2"/>
      <c r="AB9" s="6"/>
    </row>
    <row r="10" ht="12.75" customHeight="1">
      <c r="A10" s="15">
        <v>43046.0</v>
      </c>
      <c r="B10" s="16" t="s">
        <v>16</v>
      </c>
      <c r="C10" s="7" t="s">
        <v>17</v>
      </c>
      <c r="D10" s="17">
        <f>'FAR20'!D10</f>
        <v>52651</v>
      </c>
      <c r="E10" s="17"/>
      <c r="F10" s="3"/>
      <c r="G10" s="3">
        <f t="shared" si="1"/>
        <v>52651</v>
      </c>
      <c r="H10" s="4"/>
      <c r="I10" s="3">
        <f t="shared" si="2"/>
        <v>1462.527778</v>
      </c>
      <c r="J10" s="3">
        <f t="shared" ref="J10:P10" si="5">+$G10/$H$7/12</f>
        <v>1462.527778</v>
      </c>
      <c r="K10" s="3">
        <f t="shared" si="5"/>
        <v>1462.527778</v>
      </c>
      <c r="L10" s="3">
        <f t="shared" si="5"/>
        <v>1462.527778</v>
      </c>
      <c r="M10" s="3">
        <f t="shared" si="5"/>
        <v>1462.527778</v>
      </c>
      <c r="N10" s="3">
        <f t="shared" si="5"/>
        <v>1462.527778</v>
      </c>
      <c r="O10" s="3">
        <f t="shared" si="5"/>
        <v>1462.527778</v>
      </c>
      <c r="P10" s="3">
        <f t="shared" si="5"/>
        <v>1462.527778</v>
      </c>
      <c r="Q10" s="3">
        <v>356.62</v>
      </c>
      <c r="R10" s="3"/>
      <c r="S10" s="3"/>
      <c r="T10" s="3"/>
      <c r="U10" s="3">
        <f t="shared" si="3"/>
        <v>12056.84222</v>
      </c>
      <c r="V10" s="3">
        <f>'FAR20'!V10+U10</f>
        <v>52651.00364</v>
      </c>
      <c r="W10" s="3">
        <f t="shared" si="4"/>
        <v>-0.003637747337</v>
      </c>
      <c r="X10" s="2"/>
      <c r="Y10" s="2"/>
      <c r="Z10" s="6"/>
      <c r="AA10" s="2"/>
      <c r="AB10" s="6"/>
    </row>
    <row r="11" ht="12.75" customHeight="1">
      <c r="A11" s="15">
        <v>43160.0</v>
      </c>
      <c r="B11" s="16">
        <v>21643.0</v>
      </c>
      <c r="C11" s="7" t="s">
        <v>30</v>
      </c>
      <c r="D11" s="17">
        <f>'FAR20'!D11</f>
        <v>92322.7</v>
      </c>
      <c r="E11" s="17"/>
      <c r="F11" s="3"/>
      <c r="G11" s="3">
        <f t="shared" si="1"/>
        <v>92322.7</v>
      </c>
      <c r="H11" s="4"/>
      <c r="I11" s="3">
        <f t="shared" si="2"/>
        <v>2564.519444</v>
      </c>
      <c r="J11" s="3">
        <f t="shared" ref="J11:T11" si="6">+$G11/$H$7/12</f>
        <v>2564.519444</v>
      </c>
      <c r="K11" s="3">
        <f t="shared" si="6"/>
        <v>2564.519444</v>
      </c>
      <c r="L11" s="3">
        <f t="shared" si="6"/>
        <v>2564.519444</v>
      </c>
      <c r="M11" s="3">
        <f t="shared" si="6"/>
        <v>2564.519444</v>
      </c>
      <c r="N11" s="3">
        <f t="shared" si="6"/>
        <v>2564.519444</v>
      </c>
      <c r="O11" s="3">
        <f t="shared" si="6"/>
        <v>2564.519444</v>
      </c>
      <c r="P11" s="3">
        <f t="shared" si="6"/>
        <v>2564.519444</v>
      </c>
      <c r="Q11" s="3">
        <f t="shared" si="6"/>
        <v>2564.519444</v>
      </c>
      <c r="R11" s="3">
        <f t="shared" si="6"/>
        <v>2564.519444</v>
      </c>
      <c r="S11" s="3">
        <f t="shared" si="6"/>
        <v>2564.519444</v>
      </c>
      <c r="T11" s="3">
        <f t="shared" si="6"/>
        <v>2564.519444</v>
      </c>
      <c r="U11" s="3">
        <f t="shared" si="3"/>
        <v>30774.23333</v>
      </c>
      <c r="V11" s="3">
        <f>'FAR20'!V11+U11</f>
        <v>92322.7</v>
      </c>
      <c r="W11" s="3">
        <f t="shared" si="4"/>
        <v>0</v>
      </c>
      <c r="X11" s="2"/>
      <c r="Y11" s="2"/>
      <c r="Z11" s="6"/>
      <c r="AA11" s="2"/>
      <c r="AB11" s="6"/>
    </row>
    <row r="12" ht="12.75" customHeight="1">
      <c r="A12" s="19">
        <v>44509.0</v>
      </c>
      <c r="B12" s="32" t="s">
        <v>45</v>
      </c>
      <c r="C12" s="13" t="s">
        <v>46</v>
      </c>
      <c r="D12" s="2"/>
      <c r="E12" s="17">
        <v>92565.27</v>
      </c>
      <c r="F12" s="3"/>
      <c r="G12" s="3">
        <f t="shared" si="1"/>
        <v>92565.27</v>
      </c>
      <c r="H12" s="4"/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f t="shared" si="3"/>
        <v>0</v>
      </c>
      <c r="V12" s="3">
        <f>'FAR20'!V12+U12</f>
        <v>0</v>
      </c>
      <c r="W12" s="3">
        <f t="shared" si="4"/>
        <v>92565.27</v>
      </c>
      <c r="X12" s="2"/>
      <c r="Y12" s="2"/>
      <c r="Z12" s="6"/>
      <c r="AA12" s="2"/>
      <c r="AB12" s="6"/>
    </row>
    <row r="13" ht="12.75" customHeight="1">
      <c r="A13" s="19" t="s">
        <v>47</v>
      </c>
      <c r="B13" s="20"/>
      <c r="C13" s="13"/>
      <c r="D13" s="3"/>
      <c r="E13" s="17"/>
      <c r="F13" s="3"/>
      <c r="G13" s="3"/>
      <c r="H13" s="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  <c r="Y13" s="2"/>
      <c r="Z13" s="6"/>
      <c r="AA13" s="2"/>
      <c r="AB13" s="2"/>
    </row>
    <row r="14" ht="12.75" customHeight="1">
      <c r="A14" s="19"/>
      <c r="B14" s="20"/>
      <c r="C14" s="13"/>
      <c r="D14" s="21">
        <f t="shared" ref="D14:E14" si="7">SUM(D6:D13)</f>
        <v>171130.1</v>
      </c>
      <c r="E14" s="21">
        <f t="shared" si="7"/>
        <v>92565.27</v>
      </c>
      <c r="F14" s="22"/>
      <c r="G14" s="22">
        <f>SUM(G8:G13)</f>
        <v>263695.37</v>
      </c>
      <c r="H14" s="4"/>
      <c r="I14" s="22">
        <f t="shared" ref="I14:W14" si="8">SUM(I8:I13)</f>
        <v>4753.613889</v>
      </c>
      <c r="J14" s="22">
        <f t="shared" si="8"/>
        <v>4027.047222</v>
      </c>
      <c r="K14" s="22">
        <f t="shared" si="8"/>
        <v>4027.047222</v>
      </c>
      <c r="L14" s="22">
        <f t="shared" si="8"/>
        <v>4027.047222</v>
      </c>
      <c r="M14" s="22">
        <f t="shared" si="8"/>
        <v>4027.047222</v>
      </c>
      <c r="N14" s="22">
        <f t="shared" si="8"/>
        <v>4027.047222</v>
      </c>
      <c r="O14" s="22">
        <f t="shared" si="8"/>
        <v>4027.047222</v>
      </c>
      <c r="P14" s="22">
        <f t="shared" si="8"/>
        <v>4027.047222</v>
      </c>
      <c r="Q14" s="22">
        <f t="shared" si="8"/>
        <v>2921.139444</v>
      </c>
      <c r="R14" s="22">
        <f t="shared" si="8"/>
        <v>2564.519444</v>
      </c>
      <c r="S14" s="22">
        <f t="shared" si="8"/>
        <v>2564.519444</v>
      </c>
      <c r="T14" s="22">
        <f t="shared" si="8"/>
        <v>2564.519444</v>
      </c>
      <c r="U14" s="22">
        <f t="shared" si="8"/>
        <v>43557.64222</v>
      </c>
      <c r="V14" s="22">
        <f t="shared" si="8"/>
        <v>171130.1036</v>
      </c>
      <c r="W14" s="22">
        <f t="shared" si="8"/>
        <v>92565.26636</v>
      </c>
      <c r="X14" s="2"/>
      <c r="Y14" s="2"/>
      <c r="Z14" s="6"/>
      <c r="AA14" s="23"/>
      <c r="AB14" s="23"/>
    </row>
    <row r="15" ht="12.75" customHeight="1">
      <c r="A15" s="15"/>
      <c r="B15" s="18"/>
      <c r="C15" s="7"/>
      <c r="D15" s="3"/>
      <c r="E15" s="17"/>
      <c r="F15" s="3"/>
      <c r="G15" s="3"/>
      <c r="H15" s="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  <c r="Y15" s="2"/>
      <c r="Z15" s="6"/>
      <c r="AA15" s="2"/>
      <c r="AB15" s="2"/>
    </row>
    <row r="16" ht="12.75" customHeight="1">
      <c r="A16" s="8" t="s">
        <v>2</v>
      </c>
      <c r="B16" s="8" t="s">
        <v>3</v>
      </c>
      <c r="C16" s="8" t="s">
        <v>4</v>
      </c>
      <c r="D16" s="9" t="s">
        <v>18</v>
      </c>
      <c r="E16" s="9" t="s">
        <v>6</v>
      </c>
      <c r="F16" s="9" t="s">
        <v>20</v>
      </c>
      <c r="G16" s="9" t="s">
        <v>8</v>
      </c>
      <c r="H16" s="10" t="s">
        <v>9</v>
      </c>
      <c r="I16" s="11">
        <v>43921.0</v>
      </c>
      <c r="J16" s="11">
        <v>43951.0</v>
      </c>
      <c r="K16" s="11">
        <v>43982.0</v>
      </c>
      <c r="L16" s="11">
        <v>44012.0</v>
      </c>
      <c r="M16" s="11">
        <v>44043.0</v>
      </c>
      <c r="N16" s="11">
        <v>44074.0</v>
      </c>
      <c r="O16" s="11">
        <v>44104.0</v>
      </c>
      <c r="P16" s="11">
        <v>44135.0</v>
      </c>
      <c r="Q16" s="11">
        <v>44165.0</v>
      </c>
      <c r="R16" s="11">
        <v>44196.0</v>
      </c>
      <c r="S16" s="11">
        <v>44227.0</v>
      </c>
      <c r="T16" s="11">
        <v>44255.0</v>
      </c>
      <c r="U16" s="11" t="s">
        <v>10</v>
      </c>
      <c r="V16" s="11" t="s">
        <v>11</v>
      </c>
      <c r="W16" s="11" t="s">
        <v>44</v>
      </c>
      <c r="X16" s="2"/>
      <c r="Y16" s="2"/>
      <c r="Z16" s="6"/>
      <c r="AA16" s="2"/>
      <c r="AB16" s="6"/>
    </row>
    <row r="17" ht="12.75" customHeight="1">
      <c r="A17" s="13" t="s">
        <v>21</v>
      </c>
      <c r="B17" s="2"/>
      <c r="C17" s="2"/>
      <c r="D17" s="14"/>
      <c r="E17" s="3"/>
      <c r="F17" s="3"/>
      <c r="G17" s="3"/>
      <c r="H17" s="4" t="s">
        <v>22</v>
      </c>
      <c r="I17" s="13" t="str">
        <f>+A17</f>
        <v>6200&gt;020 (Furniture &amp; Fittings&gt;Cost)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2"/>
      <c r="Z17" s="2"/>
      <c r="AA17" s="2"/>
      <c r="AB17" s="2"/>
    </row>
    <row r="18" ht="12.75" customHeight="1">
      <c r="A18" s="8"/>
      <c r="B18" s="2"/>
      <c r="C18" s="2"/>
      <c r="D18" s="14"/>
      <c r="E18" s="3"/>
      <c r="F18" s="3"/>
      <c r="G18" s="3"/>
      <c r="H18" s="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2"/>
      <c r="Y18" s="2"/>
      <c r="Z18" s="2"/>
      <c r="AA18" s="2"/>
      <c r="AB18" s="2"/>
    </row>
    <row r="19" ht="12.75" customHeight="1">
      <c r="A19" s="15">
        <v>42836.0</v>
      </c>
      <c r="B19" s="16">
        <v>30110.0</v>
      </c>
      <c r="C19" s="7" t="s">
        <v>23</v>
      </c>
      <c r="D19" s="17">
        <f>'FAR20'!G18</f>
        <v>52250</v>
      </c>
      <c r="E19" s="3"/>
      <c r="F19" s="3"/>
      <c r="G19" s="3">
        <f t="shared" ref="G19:G24" si="10">+D19+E19-F19</f>
        <v>52250</v>
      </c>
      <c r="H19" s="4"/>
      <c r="I19" s="3">
        <f t="shared" ref="I19:T19" si="9">+$G19/$H$17/12</f>
        <v>725.6944444</v>
      </c>
      <c r="J19" s="3">
        <f t="shared" si="9"/>
        <v>725.6944444</v>
      </c>
      <c r="K19" s="3">
        <f t="shared" si="9"/>
        <v>725.6944444</v>
      </c>
      <c r="L19" s="3">
        <f t="shared" si="9"/>
        <v>725.6944444</v>
      </c>
      <c r="M19" s="3">
        <f t="shared" si="9"/>
        <v>725.6944444</v>
      </c>
      <c r="N19" s="3">
        <f t="shared" si="9"/>
        <v>725.6944444</v>
      </c>
      <c r="O19" s="3">
        <f t="shared" si="9"/>
        <v>725.6944444</v>
      </c>
      <c r="P19" s="3">
        <f t="shared" si="9"/>
        <v>725.6944444</v>
      </c>
      <c r="Q19" s="3">
        <f t="shared" si="9"/>
        <v>725.6944444</v>
      </c>
      <c r="R19" s="3">
        <f t="shared" si="9"/>
        <v>725.6944444</v>
      </c>
      <c r="S19" s="3">
        <f t="shared" si="9"/>
        <v>725.6944444</v>
      </c>
      <c r="T19" s="3">
        <f t="shared" si="9"/>
        <v>725.6944444</v>
      </c>
      <c r="U19" s="3">
        <f t="shared" ref="U19:U24" si="12">SUM(I19:T19)</f>
        <v>8708.333333</v>
      </c>
      <c r="V19" s="3">
        <f>'FAR20'!V18+U19</f>
        <v>33835.25495</v>
      </c>
      <c r="W19" s="3">
        <f t="shared" ref="W19:W24" si="13">+G19-V19</f>
        <v>18414.74505</v>
      </c>
      <c r="X19" s="2"/>
      <c r="Y19" s="2"/>
      <c r="Z19" s="2"/>
      <c r="AA19" s="2"/>
      <c r="AB19" s="2"/>
    </row>
    <row r="20" ht="12.75" customHeight="1">
      <c r="A20" s="15">
        <v>43165.0</v>
      </c>
      <c r="B20" s="16" t="s">
        <v>31</v>
      </c>
      <c r="C20" s="7" t="s">
        <v>32</v>
      </c>
      <c r="D20" s="17">
        <f>'FAR20'!G19</f>
        <v>44144</v>
      </c>
      <c r="E20" s="3"/>
      <c r="F20" s="3"/>
      <c r="G20" s="3">
        <f t="shared" si="10"/>
        <v>44144</v>
      </c>
      <c r="H20" s="4"/>
      <c r="I20" s="3">
        <f t="shared" ref="I20:T20" si="11">+$G20/$H$17/12</f>
        <v>613.1111111</v>
      </c>
      <c r="J20" s="3">
        <f t="shared" si="11"/>
        <v>613.1111111</v>
      </c>
      <c r="K20" s="3">
        <f t="shared" si="11"/>
        <v>613.1111111</v>
      </c>
      <c r="L20" s="3">
        <f t="shared" si="11"/>
        <v>613.1111111</v>
      </c>
      <c r="M20" s="3">
        <f t="shared" si="11"/>
        <v>613.1111111</v>
      </c>
      <c r="N20" s="3">
        <f t="shared" si="11"/>
        <v>613.1111111</v>
      </c>
      <c r="O20" s="3">
        <f t="shared" si="11"/>
        <v>613.1111111</v>
      </c>
      <c r="P20" s="3">
        <f t="shared" si="11"/>
        <v>613.1111111</v>
      </c>
      <c r="Q20" s="3">
        <f t="shared" si="11"/>
        <v>613.1111111</v>
      </c>
      <c r="R20" s="3">
        <f t="shared" si="11"/>
        <v>613.1111111</v>
      </c>
      <c r="S20" s="3">
        <f t="shared" si="11"/>
        <v>613.1111111</v>
      </c>
      <c r="T20" s="3">
        <f t="shared" si="11"/>
        <v>613.1111111</v>
      </c>
      <c r="U20" s="3">
        <f t="shared" si="12"/>
        <v>7357.333333</v>
      </c>
      <c r="V20" s="3">
        <f>'FAR20'!V19+U20</f>
        <v>21962.81583</v>
      </c>
      <c r="W20" s="3">
        <f t="shared" si="13"/>
        <v>22181.18417</v>
      </c>
      <c r="X20" s="2"/>
      <c r="Y20" s="2"/>
      <c r="Z20" s="2"/>
      <c r="AA20" s="2"/>
      <c r="AB20" s="2"/>
    </row>
    <row r="21" ht="12.75" customHeight="1">
      <c r="A21" s="15">
        <v>43179.0</v>
      </c>
      <c r="B21" s="16">
        <v>32006.0</v>
      </c>
      <c r="C21" s="7" t="s">
        <v>33</v>
      </c>
      <c r="D21" s="17">
        <f>'FAR20'!G20</f>
        <v>19430</v>
      </c>
      <c r="E21" s="3"/>
      <c r="F21" s="3"/>
      <c r="G21" s="3">
        <f t="shared" si="10"/>
        <v>19430</v>
      </c>
      <c r="H21" s="4"/>
      <c r="I21" s="3">
        <f t="shared" ref="I21:T21" si="14">+$G21/$H$17/12</f>
        <v>269.8611111</v>
      </c>
      <c r="J21" s="3">
        <f t="shared" si="14"/>
        <v>269.8611111</v>
      </c>
      <c r="K21" s="3">
        <f t="shared" si="14"/>
        <v>269.8611111</v>
      </c>
      <c r="L21" s="3">
        <f t="shared" si="14"/>
        <v>269.8611111</v>
      </c>
      <c r="M21" s="3">
        <f t="shared" si="14"/>
        <v>269.8611111</v>
      </c>
      <c r="N21" s="3">
        <f t="shared" si="14"/>
        <v>269.8611111</v>
      </c>
      <c r="O21" s="3">
        <f t="shared" si="14"/>
        <v>269.8611111</v>
      </c>
      <c r="P21" s="3">
        <f t="shared" si="14"/>
        <v>269.8611111</v>
      </c>
      <c r="Q21" s="3">
        <f t="shared" si="14"/>
        <v>269.8611111</v>
      </c>
      <c r="R21" s="3">
        <f t="shared" si="14"/>
        <v>269.8611111</v>
      </c>
      <c r="S21" s="3">
        <f t="shared" si="14"/>
        <v>269.8611111</v>
      </c>
      <c r="T21" s="3">
        <f t="shared" si="14"/>
        <v>269.8611111</v>
      </c>
      <c r="U21" s="3">
        <f t="shared" si="12"/>
        <v>3238.333333</v>
      </c>
      <c r="V21" s="3">
        <f>'FAR20'!V20+U21</f>
        <v>9542.732496</v>
      </c>
      <c r="W21" s="3">
        <f t="shared" si="13"/>
        <v>9887.267504</v>
      </c>
      <c r="X21" s="2"/>
      <c r="Y21" s="2"/>
      <c r="Z21" s="2"/>
      <c r="AA21" s="2"/>
      <c r="AB21" s="2"/>
    </row>
    <row r="22" ht="12.75" customHeight="1">
      <c r="A22" s="15">
        <v>43578.0</v>
      </c>
      <c r="B22" s="16" t="s">
        <v>36</v>
      </c>
      <c r="C22" s="7" t="s">
        <v>37</v>
      </c>
      <c r="D22" s="17">
        <f>'FAR20'!G21</f>
        <v>26544</v>
      </c>
      <c r="E22" s="3"/>
      <c r="F22" s="3"/>
      <c r="G22" s="3">
        <f t="shared" si="10"/>
        <v>26544</v>
      </c>
      <c r="H22" s="4"/>
      <c r="I22" s="3">
        <f t="shared" ref="I22:T22" si="15">+$G22/$H$17/12</f>
        <v>368.6666667</v>
      </c>
      <c r="J22" s="3">
        <f t="shared" si="15"/>
        <v>368.6666667</v>
      </c>
      <c r="K22" s="3">
        <f t="shared" si="15"/>
        <v>368.6666667</v>
      </c>
      <c r="L22" s="3">
        <f t="shared" si="15"/>
        <v>368.6666667</v>
      </c>
      <c r="M22" s="3">
        <f t="shared" si="15"/>
        <v>368.6666667</v>
      </c>
      <c r="N22" s="3">
        <f t="shared" si="15"/>
        <v>368.6666667</v>
      </c>
      <c r="O22" s="3">
        <f t="shared" si="15"/>
        <v>368.6666667</v>
      </c>
      <c r="P22" s="3">
        <f t="shared" si="15"/>
        <v>368.6666667</v>
      </c>
      <c r="Q22" s="3">
        <f t="shared" si="15"/>
        <v>368.6666667</v>
      </c>
      <c r="R22" s="3">
        <f t="shared" si="15"/>
        <v>368.6666667</v>
      </c>
      <c r="S22" s="3">
        <f t="shared" si="15"/>
        <v>368.6666667</v>
      </c>
      <c r="T22" s="3">
        <f t="shared" si="15"/>
        <v>368.6666667</v>
      </c>
      <c r="U22" s="3">
        <f t="shared" si="12"/>
        <v>4424</v>
      </c>
      <c r="V22" s="3">
        <f>'FAR20'!V21+U22</f>
        <v>8195.510502</v>
      </c>
      <c r="W22" s="3">
        <f t="shared" si="13"/>
        <v>18348.4895</v>
      </c>
      <c r="X22" s="2"/>
      <c r="Y22" s="2"/>
      <c r="Z22" s="2"/>
      <c r="AA22" s="2"/>
      <c r="AB22" s="2"/>
    </row>
    <row r="23" ht="12.75" customHeight="1">
      <c r="A23" s="15">
        <v>43710.0</v>
      </c>
      <c r="B23" s="16">
        <v>34825.0</v>
      </c>
      <c r="C23" s="7" t="s">
        <v>38</v>
      </c>
      <c r="D23" s="17">
        <f>'FAR20'!G22</f>
        <v>15767</v>
      </c>
      <c r="E23" s="3"/>
      <c r="F23" s="3"/>
      <c r="G23" s="3">
        <f t="shared" si="10"/>
        <v>15767</v>
      </c>
      <c r="H23" s="4"/>
      <c r="I23" s="3">
        <f t="shared" ref="I23:T23" si="16">+$G23/$H$17/12</f>
        <v>218.9861111</v>
      </c>
      <c r="J23" s="3">
        <f t="shared" si="16"/>
        <v>218.9861111</v>
      </c>
      <c r="K23" s="3">
        <f t="shared" si="16"/>
        <v>218.9861111</v>
      </c>
      <c r="L23" s="3">
        <f t="shared" si="16"/>
        <v>218.9861111</v>
      </c>
      <c r="M23" s="3">
        <f t="shared" si="16"/>
        <v>218.9861111</v>
      </c>
      <c r="N23" s="3">
        <f t="shared" si="16"/>
        <v>218.9861111</v>
      </c>
      <c r="O23" s="3">
        <f t="shared" si="16"/>
        <v>218.9861111</v>
      </c>
      <c r="P23" s="3">
        <f t="shared" si="16"/>
        <v>218.9861111</v>
      </c>
      <c r="Q23" s="3">
        <f t="shared" si="16"/>
        <v>218.9861111</v>
      </c>
      <c r="R23" s="3">
        <f t="shared" si="16"/>
        <v>218.9861111</v>
      </c>
      <c r="S23" s="3">
        <f t="shared" si="16"/>
        <v>218.9861111</v>
      </c>
      <c r="T23" s="3">
        <f t="shared" si="16"/>
        <v>218.9861111</v>
      </c>
      <c r="U23" s="3">
        <f t="shared" si="12"/>
        <v>2627.833333</v>
      </c>
      <c r="V23" s="3">
        <f>'FAR20'!V22+U23</f>
        <v>3941.75</v>
      </c>
      <c r="W23" s="3">
        <f t="shared" si="13"/>
        <v>11825.25</v>
      </c>
      <c r="X23" s="2"/>
      <c r="Y23" s="2"/>
      <c r="Z23" s="2"/>
      <c r="AA23" s="2"/>
      <c r="AB23" s="2"/>
    </row>
    <row r="24" ht="12.75" customHeight="1">
      <c r="A24" s="15">
        <v>43710.0</v>
      </c>
      <c r="B24" s="16">
        <v>34825.0</v>
      </c>
      <c r="C24" s="7" t="s">
        <v>39</v>
      </c>
      <c r="D24" s="17">
        <f>'FAR20'!G23</f>
        <v>25647</v>
      </c>
      <c r="E24" s="17"/>
      <c r="F24" s="3"/>
      <c r="G24" s="3">
        <f t="shared" si="10"/>
        <v>25647</v>
      </c>
      <c r="H24" s="4"/>
      <c r="I24" s="3">
        <f t="shared" ref="I24:T24" si="17">+$G24/$H$17/12</f>
        <v>356.2083333</v>
      </c>
      <c r="J24" s="3">
        <f t="shared" si="17"/>
        <v>356.2083333</v>
      </c>
      <c r="K24" s="3">
        <f t="shared" si="17"/>
        <v>356.2083333</v>
      </c>
      <c r="L24" s="3">
        <f t="shared" si="17"/>
        <v>356.2083333</v>
      </c>
      <c r="M24" s="3">
        <f t="shared" si="17"/>
        <v>356.2083333</v>
      </c>
      <c r="N24" s="3">
        <f t="shared" si="17"/>
        <v>356.2083333</v>
      </c>
      <c r="O24" s="3">
        <f t="shared" si="17"/>
        <v>356.2083333</v>
      </c>
      <c r="P24" s="3">
        <f t="shared" si="17"/>
        <v>356.2083333</v>
      </c>
      <c r="Q24" s="3">
        <f t="shared" si="17"/>
        <v>356.2083333</v>
      </c>
      <c r="R24" s="3">
        <f t="shared" si="17"/>
        <v>356.2083333</v>
      </c>
      <c r="S24" s="3">
        <f t="shared" si="17"/>
        <v>356.2083333</v>
      </c>
      <c r="T24" s="3">
        <f t="shared" si="17"/>
        <v>356.2083333</v>
      </c>
      <c r="U24" s="3">
        <f t="shared" si="12"/>
        <v>4274.5</v>
      </c>
      <c r="V24" s="3">
        <f>'FAR20'!V23+U24</f>
        <v>6411.75</v>
      </c>
      <c r="W24" s="3">
        <f t="shared" si="13"/>
        <v>19235.25</v>
      </c>
      <c r="X24" s="2"/>
      <c r="Y24" s="2"/>
      <c r="Z24" s="2"/>
      <c r="AA24" s="2"/>
      <c r="AB24" s="2"/>
    </row>
    <row r="25" ht="12.75" customHeight="1">
      <c r="A25" s="15"/>
      <c r="B25" s="16"/>
      <c r="C25" s="7"/>
      <c r="D25" s="3"/>
      <c r="E25" s="17"/>
      <c r="F25" s="3"/>
      <c r="G25" s="3"/>
      <c r="H25" s="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2"/>
      <c r="Z25" s="2"/>
      <c r="AA25" s="2"/>
      <c r="AB25" s="2"/>
    </row>
    <row r="26" ht="12.75" customHeight="1">
      <c r="A26" s="23"/>
      <c r="B26" s="23"/>
      <c r="C26" s="23"/>
      <c r="D26" s="22">
        <f t="shared" ref="D26:E26" si="18">SUM(D17:D25)</f>
        <v>183782</v>
      </c>
      <c r="E26" s="22">
        <f t="shared" si="18"/>
        <v>0</v>
      </c>
      <c r="F26" s="22">
        <f>SUM(F17:F24)</f>
        <v>0</v>
      </c>
      <c r="G26" s="22">
        <f>SUM(D26:F26)</f>
        <v>183782</v>
      </c>
      <c r="H26" s="4"/>
      <c r="I26" s="22">
        <f t="shared" ref="I26:W26" si="19">SUM(I19:I25)</f>
        <v>2552.527778</v>
      </c>
      <c r="J26" s="22">
        <f t="shared" si="19"/>
        <v>2552.527778</v>
      </c>
      <c r="K26" s="22">
        <f t="shared" si="19"/>
        <v>2552.527778</v>
      </c>
      <c r="L26" s="22">
        <f t="shared" si="19"/>
        <v>2552.527778</v>
      </c>
      <c r="M26" s="22">
        <f t="shared" si="19"/>
        <v>2552.527778</v>
      </c>
      <c r="N26" s="22">
        <f t="shared" si="19"/>
        <v>2552.527778</v>
      </c>
      <c r="O26" s="22">
        <f t="shared" si="19"/>
        <v>2552.527778</v>
      </c>
      <c r="P26" s="22">
        <f t="shared" si="19"/>
        <v>2552.527778</v>
      </c>
      <c r="Q26" s="22">
        <f t="shared" si="19"/>
        <v>2552.527778</v>
      </c>
      <c r="R26" s="22">
        <f t="shared" si="19"/>
        <v>2552.527778</v>
      </c>
      <c r="S26" s="22">
        <f t="shared" si="19"/>
        <v>2552.527778</v>
      </c>
      <c r="T26" s="22">
        <f t="shared" si="19"/>
        <v>2552.527778</v>
      </c>
      <c r="U26" s="22">
        <f t="shared" si="19"/>
        <v>30630.33333</v>
      </c>
      <c r="V26" s="22">
        <f t="shared" si="19"/>
        <v>83889.81377</v>
      </c>
      <c r="W26" s="22">
        <f t="shared" si="19"/>
        <v>99892.18623</v>
      </c>
      <c r="X26" s="2"/>
      <c r="Y26" s="23"/>
      <c r="Z26" s="23"/>
      <c r="AA26" s="23"/>
      <c r="AB26" s="23"/>
    </row>
    <row r="27" ht="12.75" customHeight="1">
      <c r="A27" s="23"/>
      <c r="B27" s="23"/>
      <c r="C27" s="23"/>
      <c r="D27" s="24"/>
      <c r="E27" s="24"/>
      <c r="F27" s="24"/>
      <c r="G27" s="24"/>
      <c r="H27" s="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"/>
      <c r="Y27" s="23"/>
      <c r="Z27" s="23"/>
      <c r="AA27" s="23"/>
      <c r="AB27" s="23"/>
    </row>
    <row r="28" ht="12.75" customHeight="1">
      <c r="A28" s="8" t="s">
        <v>2</v>
      </c>
      <c r="B28" s="8" t="s">
        <v>3</v>
      </c>
      <c r="C28" s="8" t="s">
        <v>4</v>
      </c>
      <c r="D28" s="9" t="s">
        <v>18</v>
      </c>
      <c r="E28" s="9" t="s">
        <v>6</v>
      </c>
      <c r="F28" s="9" t="s">
        <v>20</v>
      </c>
      <c r="G28" s="9" t="s">
        <v>8</v>
      </c>
      <c r="H28" s="10" t="s">
        <v>9</v>
      </c>
      <c r="I28" s="11">
        <v>43921.0</v>
      </c>
      <c r="J28" s="11">
        <v>43951.0</v>
      </c>
      <c r="K28" s="11">
        <v>43982.0</v>
      </c>
      <c r="L28" s="11">
        <v>44012.0</v>
      </c>
      <c r="M28" s="11">
        <v>44043.0</v>
      </c>
      <c r="N28" s="11">
        <v>44074.0</v>
      </c>
      <c r="O28" s="11">
        <v>44104.0</v>
      </c>
      <c r="P28" s="11">
        <v>44135.0</v>
      </c>
      <c r="Q28" s="11">
        <v>44165.0</v>
      </c>
      <c r="R28" s="11">
        <v>44196.0</v>
      </c>
      <c r="S28" s="11">
        <v>44227.0</v>
      </c>
      <c r="T28" s="11">
        <v>44255.0</v>
      </c>
      <c r="U28" s="11" t="s">
        <v>10</v>
      </c>
      <c r="V28" s="11" t="s">
        <v>11</v>
      </c>
      <c r="W28" s="11" t="s">
        <v>44</v>
      </c>
      <c r="X28" s="2"/>
      <c r="Y28" s="2"/>
      <c r="Z28" s="6"/>
      <c r="AA28" s="2"/>
      <c r="AB28" s="6"/>
    </row>
    <row r="29" ht="12.75" customHeight="1">
      <c r="A29" s="13" t="s">
        <v>24</v>
      </c>
      <c r="B29" s="2"/>
      <c r="C29" s="2"/>
      <c r="D29" s="3"/>
      <c r="E29" s="14"/>
      <c r="F29" s="3"/>
      <c r="G29" s="3"/>
      <c r="H29" s="4" t="s">
        <v>25</v>
      </c>
      <c r="I29" s="13" t="str">
        <f>+A29</f>
        <v>6300&gt;020 (Motor Vehicles&gt;Cost)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2"/>
      <c r="Z29" s="2"/>
      <c r="AA29" s="2"/>
      <c r="AB29" s="2"/>
    </row>
    <row r="30" ht="12.75" customHeight="1">
      <c r="A30" s="8"/>
      <c r="B30" s="2"/>
      <c r="C30" s="2"/>
      <c r="D30" s="3"/>
      <c r="E30" s="14"/>
      <c r="F30" s="3"/>
      <c r="G30" s="3"/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2"/>
      <c r="Y30" s="2"/>
      <c r="Z30" s="2"/>
      <c r="AA30" s="2"/>
      <c r="AB30" s="2"/>
    </row>
    <row r="31" ht="12.75" customHeight="1">
      <c r="A31" s="15">
        <v>42860.0</v>
      </c>
      <c r="B31" s="16">
        <v>8.900964E7</v>
      </c>
      <c r="C31" s="7" t="s">
        <v>26</v>
      </c>
      <c r="D31" s="3">
        <v>255969.92</v>
      </c>
      <c r="E31" s="17"/>
      <c r="F31" s="3"/>
      <c r="G31" s="3">
        <f>+D31+E31-F31</f>
        <v>255969.92</v>
      </c>
      <c r="H31" s="4"/>
      <c r="I31" s="3">
        <f t="shared" ref="I31:T31" si="20">+$G31/$H$29/12</f>
        <v>4266.165333</v>
      </c>
      <c r="J31" s="3">
        <f t="shared" si="20"/>
        <v>4266.165333</v>
      </c>
      <c r="K31" s="3">
        <f t="shared" si="20"/>
        <v>4266.165333</v>
      </c>
      <c r="L31" s="3">
        <f t="shared" si="20"/>
        <v>4266.165333</v>
      </c>
      <c r="M31" s="3">
        <f t="shared" si="20"/>
        <v>4266.165333</v>
      </c>
      <c r="N31" s="3">
        <f t="shared" si="20"/>
        <v>4266.165333</v>
      </c>
      <c r="O31" s="3">
        <f t="shared" si="20"/>
        <v>4266.165333</v>
      </c>
      <c r="P31" s="3">
        <f t="shared" si="20"/>
        <v>4266.165333</v>
      </c>
      <c r="Q31" s="3">
        <f t="shared" si="20"/>
        <v>4266.165333</v>
      </c>
      <c r="R31" s="3">
        <f t="shared" si="20"/>
        <v>4266.165333</v>
      </c>
      <c r="S31" s="3">
        <f t="shared" si="20"/>
        <v>4266.165333</v>
      </c>
      <c r="T31" s="3">
        <f t="shared" si="20"/>
        <v>4266.165333</v>
      </c>
      <c r="U31" s="3">
        <f>SUM(I31:T31)</f>
        <v>51193.984</v>
      </c>
      <c r="V31" s="3">
        <f>U31+'FAR20'!V30</f>
        <v>195624.1348</v>
      </c>
      <c r="W31" s="3">
        <f>+G31-V31</f>
        <v>60345.78525</v>
      </c>
      <c r="X31" s="2"/>
      <c r="Y31" s="2"/>
      <c r="Z31" s="2"/>
      <c r="AA31" s="2"/>
      <c r="AB31" s="2"/>
    </row>
    <row r="32" ht="12.75" customHeight="1">
      <c r="A32" s="7"/>
      <c r="B32" s="7"/>
      <c r="C32" s="7"/>
      <c r="D32" s="3"/>
      <c r="E32" s="17"/>
      <c r="F32" s="3"/>
      <c r="G32" s="3"/>
      <c r="H32" s="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2"/>
      <c r="Z32" s="2"/>
      <c r="AA32" s="2"/>
      <c r="AB32" s="2"/>
    </row>
    <row r="33" ht="12.75" customHeight="1">
      <c r="A33" s="23"/>
      <c r="B33" s="23"/>
      <c r="C33" s="23"/>
      <c r="D33" s="22">
        <f t="shared" ref="D33:F33" si="21">SUM(D31)</f>
        <v>255969.92</v>
      </c>
      <c r="E33" s="21">
        <f t="shared" si="21"/>
        <v>0</v>
      </c>
      <c r="F33" s="22">
        <f t="shared" si="21"/>
        <v>0</v>
      </c>
      <c r="G33" s="22">
        <f>SUM(D33:F33)</f>
        <v>255969.92</v>
      </c>
      <c r="H33" s="4"/>
      <c r="I33" s="22">
        <f t="shared" ref="I33:W33" si="22">SUM(I31)</f>
        <v>4266.165333</v>
      </c>
      <c r="J33" s="22">
        <f t="shared" si="22"/>
        <v>4266.165333</v>
      </c>
      <c r="K33" s="22">
        <f t="shared" si="22"/>
        <v>4266.165333</v>
      </c>
      <c r="L33" s="22">
        <f t="shared" si="22"/>
        <v>4266.165333</v>
      </c>
      <c r="M33" s="22">
        <f t="shared" si="22"/>
        <v>4266.165333</v>
      </c>
      <c r="N33" s="22">
        <f t="shared" si="22"/>
        <v>4266.165333</v>
      </c>
      <c r="O33" s="22">
        <f t="shared" si="22"/>
        <v>4266.165333</v>
      </c>
      <c r="P33" s="22">
        <f t="shared" si="22"/>
        <v>4266.165333</v>
      </c>
      <c r="Q33" s="22">
        <f t="shared" si="22"/>
        <v>4266.165333</v>
      </c>
      <c r="R33" s="22">
        <f t="shared" si="22"/>
        <v>4266.165333</v>
      </c>
      <c r="S33" s="22">
        <f t="shared" si="22"/>
        <v>4266.165333</v>
      </c>
      <c r="T33" s="22">
        <f t="shared" si="22"/>
        <v>4266.165333</v>
      </c>
      <c r="U33" s="22">
        <f t="shared" si="22"/>
        <v>51193.984</v>
      </c>
      <c r="V33" s="22">
        <f t="shared" si="22"/>
        <v>195624.1348</v>
      </c>
      <c r="W33" s="22">
        <f t="shared" si="22"/>
        <v>60345.78525</v>
      </c>
      <c r="X33" s="23"/>
      <c r="Y33" s="23"/>
      <c r="Z33" s="23"/>
      <c r="AA33" s="23"/>
      <c r="AB33" s="23"/>
    </row>
    <row r="34" ht="12.75" customHeight="1">
      <c r="A34" s="2"/>
      <c r="B34" s="2"/>
      <c r="C34" s="2"/>
      <c r="D34" s="3"/>
      <c r="E34" s="9"/>
      <c r="F34" s="3"/>
      <c r="G34" s="3"/>
      <c r="H34" s="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2"/>
      <c r="Y34" s="2"/>
      <c r="Z34" s="2"/>
      <c r="AA34" s="2"/>
      <c r="AB34" s="2"/>
    </row>
    <row r="35" ht="12.75" customHeight="1">
      <c r="A35" s="23" t="s">
        <v>27</v>
      </c>
      <c r="B35" s="2"/>
      <c r="C35" s="2"/>
      <c r="D35" s="22">
        <f t="shared" ref="D35:G35" si="23">D14+D26+D33</f>
        <v>610882.02</v>
      </c>
      <c r="E35" s="22">
        <f t="shared" si="23"/>
        <v>92565.27</v>
      </c>
      <c r="F35" s="22">
        <f t="shared" si="23"/>
        <v>0</v>
      </c>
      <c r="G35" s="22">
        <f t="shared" si="23"/>
        <v>703447.29</v>
      </c>
      <c r="H35" s="4"/>
      <c r="I35" s="22">
        <f t="shared" ref="I35:W35" si="24">I14+I26+I33</f>
        <v>11572.307</v>
      </c>
      <c r="J35" s="22">
        <f t="shared" si="24"/>
        <v>10845.74033</v>
      </c>
      <c r="K35" s="22">
        <f t="shared" si="24"/>
        <v>10845.74033</v>
      </c>
      <c r="L35" s="22">
        <f t="shared" si="24"/>
        <v>10845.74033</v>
      </c>
      <c r="M35" s="22">
        <f t="shared" si="24"/>
        <v>10845.74033</v>
      </c>
      <c r="N35" s="22">
        <f t="shared" si="24"/>
        <v>10845.74033</v>
      </c>
      <c r="O35" s="22">
        <f t="shared" si="24"/>
        <v>10845.74033</v>
      </c>
      <c r="P35" s="22">
        <f t="shared" si="24"/>
        <v>10845.74033</v>
      </c>
      <c r="Q35" s="22">
        <f t="shared" si="24"/>
        <v>9739.832556</v>
      </c>
      <c r="R35" s="22">
        <f t="shared" si="24"/>
        <v>9383.212556</v>
      </c>
      <c r="S35" s="22">
        <f t="shared" si="24"/>
        <v>9383.212556</v>
      </c>
      <c r="T35" s="22">
        <f t="shared" si="24"/>
        <v>9383.212556</v>
      </c>
      <c r="U35" s="22">
        <f t="shared" si="24"/>
        <v>125381.9596</v>
      </c>
      <c r="V35" s="22">
        <f t="shared" si="24"/>
        <v>450644.0522</v>
      </c>
      <c r="W35" s="22">
        <f t="shared" si="24"/>
        <v>252803.2378</v>
      </c>
      <c r="X35" s="2"/>
      <c r="Y35" s="2"/>
      <c r="Z35" s="2"/>
      <c r="AA35" s="2"/>
      <c r="AB35" s="2"/>
    </row>
    <row r="36" ht="12.75" customHeight="1">
      <c r="A36" s="2"/>
      <c r="B36" s="2"/>
      <c r="C36" s="2"/>
      <c r="D36" s="3"/>
      <c r="E36" s="3"/>
      <c r="F36" s="3"/>
      <c r="G36" s="3"/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2"/>
      <c r="Y36" s="2"/>
      <c r="Z36" s="2"/>
      <c r="AA36" s="2"/>
      <c r="AB36" s="2"/>
    </row>
    <row r="37" ht="12.75" customHeight="1">
      <c r="A37" s="2"/>
      <c r="B37" s="2"/>
      <c r="C37" s="2"/>
      <c r="D37" s="3"/>
      <c r="E37" s="3"/>
      <c r="F37" s="3"/>
      <c r="G37" s="3"/>
      <c r="H37" s="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2"/>
      <c r="Z37" s="2"/>
      <c r="AA37" s="2"/>
      <c r="AB37" s="2"/>
    </row>
    <row r="38" ht="12.75" customHeight="1">
      <c r="A38" s="2"/>
      <c r="B38" s="2"/>
      <c r="C38" s="2"/>
      <c r="D38" s="3"/>
      <c r="E38" s="3"/>
      <c r="F38" s="3"/>
      <c r="G38" s="3"/>
      <c r="H38" s="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2"/>
      <c r="Z38" s="2"/>
      <c r="AA38" s="2"/>
      <c r="AB38" s="2"/>
    </row>
    <row r="39" ht="12.75" customHeight="1">
      <c r="A39" s="2"/>
      <c r="B39" s="2"/>
      <c r="C39" s="2"/>
      <c r="D39" s="3"/>
      <c r="E39" s="3"/>
      <c r="F39" s="3"/>
      <c r="G39" s="3"/>
      <c r="H39" s="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2"/>
      <c r="Y39" s="2"/>
      <c r="Z39" s="2"/>
      <c r="AA39" s="2"/>
      <c r="AB39" s="2"/>
    </row>
    <row r="40" ht="12.75" customHeight="1">
      <c r="A40" s="2"/>
      <c r="B40" s="2"/>
      <c r="C40" s="2"/>
      <c r="D40" s="3"/>
      <c r="E40" s="3"/>
      <c r="F40" s="3"/>
      <c r="G40" s="3"/>
      <c r="H40" s="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2"/>
      <c r="Y40" s="2"/>
      <c r="Z40" s="2"/>
      <c r="AA40" s="2"/>
      <c r="AB40" s="2"/>
    </row>
    <row r="41" ht="12.75" customHeight="1">
      <c r="A41" s="2"/>
      <c r="B41" s="2"/>
      <c r="C41" s="2"/>
      <c r="D41" s="3"/>
      <c r="E41" s="3"/>
      <c r="F41" s="3"/>
      <c r="G41" s="3"/>
      <c r="H41" s="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2"/>
      <c r="Z41" s="2"/>
      <c r="AA41" s="2"/>
      <c r="AB41" s="2"/>
    </row>
    <row r="42" ht="12.75" customHeight="1">
      <c r="A42" s="2"/>
      <c r="B42" s="2"/>
      <c r="C42" s="2"/>
      <c r="D42" s="3"/>
      <c r="E42" s="3"/>
      <c r="F42" s="3"/>
      <c r="G42" s="3"/>
      <c r="H42" s="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2"/>
      <c r="Y42" s="2"/>
      <c r="Z42" s="2"/>
      <c r="AA42" s="2"/>
      <c r="AB42" s="2"/>
    </row>
    <row r="43" ht="12.75" customHeight="1">
      <c r="A43" s="2"/>
      <c r="B43" s="2"/>
      <c r="C43" s="2"/>
      <c r="D43" s="3"/>
      <c r="E43" s="3"/>
      <c r="F43" s="3"/>
      <c r="G43" s="3"/>
      <c r="H43" s="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2"/>
      <c r="Y43" s="2"/>
      <c r="Z43" s="2"/>
      <c r="AA43" s="2"/>
      <c r="AB43" s="2"/>
    </row>
    <row r="44" ht="12.75" customHeight="1">
      <c r="A44" s="2"/>
      <c r="B44" s="2"/>
      <c r="C44" s="2"/>
      <c r="D44" s="3"/>
      <c r="E44" s="3"/>
      <c r="F44" s="3"/>
      <c r="G44" s="3"/>
      <c r="H44" s="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2"/>
      <c r="Y44" s="2"/>
      <c r="Z44" s="2"/>
      <c r="AA44" s="2"/>
      <c r="AB44" s="2"/>
    </row>
    <row r="45" ht="12.75" customHeight="1">
      <c r="A45" s="2"/>
      <c r="B45" s="2"/>
      <c r="C45" s="2"/>
      <c r="D45" s="3"/>
      <c r="E45" s="3"/>
      <c r="F45" s="3"/>
      <c r="G45" s="3"/>
      <c r="H45" s="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2"/>
      <c r="Y45" s="2"/>
      <c r="Z45" s="2"/>
      <c r="AA45" s="2"/>
      <c r="AB45" s="2"/>
    </row>
    <row r="46" ht="12.75" customHeight="1">
      <c r="A46" s="2"/>
      <c r="B46" s="2"/>
      <c r="C46" s="2"/>
      <c r="D46" s="3"/>
      <c r="E46" s="3"/>
      <c r="F46" s="3"/>
      <c r="G46" s="3"/>
      <c r="H46" s="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2"/>
      <c r="Y46" s="2"/>
      <c r="Z46" s="2"/>
      <c r="AA46" s="2"/>
      <c r="AB46" s="2"/>
    </row>
    <row r="47" ht="12.75" customHeight="1">
      <c r="A47" s="2"/>
      <c r="B47" s="2"/>
      <c r="C47" s="2"/>
      <c r="D47" s="3"/>
      <c r="E47" s="3"/>
      <c r="F47" s="3"/>
      <c r="G47" s="3"/>
      <c r="H47" s="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2"/>
      <c r="Y47" s="2"/>
      <c r="Z47" s="2"/>
      <c r="AA47" s="2"/>
      <c r="AB47" s="2"/>
    </row>
    <row r="48" ht="12.75" customHeight="1">
      <c r="A48" s="2"/>
      <c r="B48" s="2"/>
      <c r="C48" s="2"/>
      <c r="D48" s="3"/>
      <c r="E48" s="3"/>
      <c r="F48" s="3"/>
      <c r="G48" s="3"/>
      <c r="H48" s="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2"/>
      <c r="Y48" s="2"/>
      <c r="Z48" s="2"/>
      <c r="AA48" s="2"/>
      <c r="AB48" s="2"/>
    </row>
    <row r="49" ht="12.75" customHeight="1">
      <c r="A49" s="2"/>
      <c r="B49" s="2"/>
      <c r="C49" s="2"/>
      <c r="D49" s="3"/>
      <c r="E49" s="3"/>
      <c r="F49" s="3"/>
      <c r="G49" s="3"/>
      <c r="H49" s="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2"/>
      <c r="Y49" s="2"/>
      <c r="Z49" s="2"/>
      <c r="AA49" s="2"/>
      <c r="AB49" s="2"/>
    </row>
    <row r="50" ht="12.75" customHeight="1">
      <c r="A50" s="2"/>
      <c r="B50" s="2"/>
      <c r="C50" s="2"/>
      <c r="D50" s="3"/>
      <c r="E50" s="3"/>
      <c r="F50" s="3"/>
      <c r="G50" s="3"/>
      <c r="H50" s="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2"/>
      <c r="Y50" s="2"/>
      <c r="Z50" s="2"/>
      <c r="AA50" s="2"/>
      <c r="AB50" s="2"/>
    </row>
    <row r="51" ht="12.75" customHeight="1">
      <c r="A51" s="2"/>
      <c r="B51" s="2"/>
      <c r="C51" s="2"/>
      <c r="D51" s="3"/>
      <c r="E51" s="3"/>
      <c r="F51" s="3"/>
      <c r="G51" s="3"/>
      <c r="H51" s="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2"/>
      <c r="Y51" s="2"/>
      <c r="Z51" s="2"/>
      <c r="AA51" s="2"/>
      <c r="AB51" s="2"/>
    </row>
    <row r="52" ht="12.75" customHeight="1">
      <c r="A52" s="2"/>
      <c r="B52" s="2"/>
      <c r="C52" s="2"/>
      <c r="D52" s="3"/>
      <c r="E52" s="3"/>
      <c r="F52" s="3"/>
      <c r="G52" s="3"/>
      <c r="H52" s="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2"/>
      <c r="Y52" s="2"/>
      <c r="Z52" s="2"/>
      <c r="AA52" s="2"/>
      <c r="AB52" s="2"/>
    </row>
    <row r="53" ht="12.75" customHeight="1">
      <c r="A53" s="2"/>
      <c r="B53" s="2"/>
      <c r="C53" s="2"/>
      <c r="D53" s="3"/>
      <c r="E53" s="3"/>
      <c r="F53" s="3"/>
      <c r="G53" s="3"/>
      <c r="H53" s="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2"/>
      <c r="Y53" s="2"/>
      <c r="Z53" s="2"/>
      <c r="AA53" s="2"/>
      <c r="AB53" s="2"/>
    </row>
    <row r="54" ht="12.75" customHeight="1">
      <c r="A54" s="2"/>
      <c r="B54" s="2"/>
      <c r="C54" s="2"/>
      <c r="D54" s="3"/>
      <c r="E54" s="3"/>
      <c r="F54" s="3"/>
      <c r="G54" s="3"/>
      <c r="H54" s="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2"/>
      <c r="Y54" s="2"/>
      <c r="Z54" s="2"/>
      <c r="AA54" s="2"/>
      <c r="AB54" s="2"/>
    </row>
    <row r="55" ht="12.75" customHeight="1">
      <c r="A55" s="2"/>
      <c r="B55" s="2"/>
      <c r="C55" s="2"/>
      <c r="D55" s="3"/>
      <c r="E55" s="3"/>
      <c r="F55" s="3"/>
      <c r="G55" s="3"/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2"/>
      <c r="Y55" s="2"/>
      <c r="Z55" s="2"/>
      <c r="AA55" s="2"/>
      <c r="AB55" s="2"/>
    </row>
    <row r="56" ht="12.75" customHeight="1">
      <c r="A56" s="2"/>
      <c r="B56" s="2"/>
      <c r="C56" s="2"/>
      <c r="D56" s="3"/>
      <c r="E56" s="3"/>
      <c r="F56" s="3"/>
      <c r="G56" s="3"/>
      <c r="H56" s="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2"/>
      <c r="Y56" s="2"/>
      <c r="Z56" s="2"/>
      <c r="AA56" s="2"/>
      <c r="AB56" s="2"/>
    </row>
    <row r="57" ht="12.75" customHeight="1">
      <c r="A57" s="2"/>
      <c r="B57" s="2"/>
      <c r="C57" s="2"/>
      <c r="D57" s="3"/>
      <c r="E57" s="3"/>
      <c r="F57" s="3"/>
      <c r="G57" s="3"/>
      <c r="H57" s="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2"/>
      <c r="Y57" s="2"/>
      <c r="Z57" s="2"/>
      <c r="AA57" s="2"/>
      <c r="AB57" s="2"/>
    </row>
    <row r="58" ht="12.75" customHeight="1">
      <c r="A58" s="2"/>
      <c r="B58" s="2"/>
      <c r="C58" s="2"/>
      <c r="D58" s="3"/>
      <c r="E58" s="3"/>
      <c r="F58" s="3"/>
      <c r="G58" s="3"/>
      <c r="H58" s="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2"/>
      <c r="Y58" s="2"/>
      <c r="Z58" s="2"/>
      <c r="AA58" s="2"/>
      <c r="AB58" s="2"/>
    </row>
    <row r="59" ht="12.75" customHeight="1">
      <c r="A59" s="2"/>
      <c r="B59" s="2"/>
      <c r="C59" s="2"/>
      <c r="D59" s="3"/>
      <c r="E59" s="3"/>
      <c r="F59" s="3"/>
      <c r="G59" s="3"/>
      <c r="H59" s="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2"/>
      <c r="Y59" s="2"/>
      <c r="Z59" s="2"/>
      <c r="AA59" s="2"/>
      <c r="AB59" s="2"/>
    </row>
    <row r="60" ht="12.75" customHeight="1">
      <c r="A60" s="2"/>
      <c r="B60" s="2"/>
      <c r="C60" s="2"/>
      <c r="D60" s="3"/>
      <c r="E60" s="3"/>
      <c r="F60" s="3"/>
      <c r="G60" s="3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2"/>
      <c r="Y60" s="2"/>
      <c r="Z60" s="2"/>
      <c r="AA60" s="2"/>
      <c r="AB60" s="2"/>
    </row>
    <row r="61" ht="12.75" customHeight="1">
      <c r="A61" s="2"/>
      <c r="B61" s="2"/>
      <c r="C61" s="2"/>
      <c r="D61" s="3"/>
      <c r="E61" s="3"/>
      <c r="F61" s="3"/>
      <c r="G61" s="3"/>
      <c r="H61" s="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2"/>
      <c r="Y61" s="2"/>
      <c r="Z61" s="2"/>
      <c r="AA61" s="2"/>
      <c r="AB61" s="2"/>
    </row>
    <row r="62" ht="12.75" customHeight="1">
      <c r="A62" s="2"/>
      <c r="B62" s="2"/>
      <c r="C62" s="2"/>
      <c r="D62" s="3"/>
      <c r="E62" s="3"/>
      <c r="F62" s="3"/>
      <c r="G62" s="3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2"/>
      <c r="Y62" s="2"/>
      <c r="Z62" s="2"/>
      <c r="AA62" s="2"/>
      <c r="AB62" s="2"/>
    </row>
    <row r="63" ht="12.75" customHeight="1">
      <c r="A63" s="2"/>
      <c r="B63" s="2"/>
      <c r="C63" s="2"/>
      <c r="D63" s="3"/>
      <c r="E63" s="3"/>
      <c r="F63" s="3"/>
      <c r="G63" s="3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"/>
      <c r="Y63" s="2"/>
      <c r="Z63" s="2"/>
      <c r="AA63" s="2"/>
      <c r="AB63" s="2"/>
    </row>
    <row r="64" ht="12.75" customHeight="1">
      <c r="A64" s="2"/>
      <c r="B64" s="2"/>
      <c r="C64" s="2"/>
      <c r="D64" s="3"/>
      <c r="E64" s="3"/>
      <c r="F64" s="3"/>
      <c r="G64" s="3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2"/>
      <c r="Y64" s="2"/>
      <c r="Z64" s="2"/>
      <c r="AA64" s="2"/>
      <c r="AB64" s="2"/>
    </row>
    <row r="65" ht="12.75" customHeight="1">
      <c r="A65" s="2"/>
      <c r="B65" s="2"/>
      <c r="C65" s="2"/>
      <c r="D65" s="3"/>
      <c r="E65" s="3"/>
      <c r="F65" s="3"/>
      <c r="G65" s="3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2"/>
      <c r="Y65" s="2"/>
      <c r="Z65" s="2"/>
      <c r="AA65" s="2"/>
      <c r="AB65" s="2"/>
    </row>
    <row r="66" ht="12.75" customHeight="1">
      <c r="A66" s="2"/>
      <c r="B66" s="2"/>
      <c r="C66" s="2"/>
      <c r="D66" s="3"/>
      <c r="E66" s="3"/>
      <c r="F66" s="3"/>
      <c r="G66" s="3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2"/>
      <c r="Y66" s="2"/>
      <c r="Z66" s="2"/>
      <c r="AA66" s="2"/>
      <c r="AB66" s="2"/>
    </row>
    <row r="67" ht="12.75" customHeight="1">
      <c r="A67" s="2"/>
      <c r="B67" s="2"/>
      <c r="C67" s="2"/>
      <c r="D67" s="3"/>
      <c r="E67" s="3"/>
      <c r="F67" s="3"/>
      <c r="G67" s="3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2"/>
      <c r="Y67" s="2"/>
      <c r="Z67" s="2"/>
      <c r="AA67" s="2"/>
      <c r="AB67" s="2"/>
    </row>
    <row r="68" ht="12.75" customHeight="1">
      <c r="A68" s="2"/>
      <c r="B68" s="2"/>
      <c r="C68" s="2"/>
      <c r="D68" s="3"/>
      <c r="E68" s="3"/>
      <c r="F68" s="3"/>
      <c r="G68" s="3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2"/>
      <c r="Y68" s="2"/>
      <c r="Z68" s="2"/>
      <c r="AA68" s="2"/>
      <c r="AB68" s="2"/>
    </row>
    <row r="69" ht="12.75" customHeight="1">
      <c r="A69" s="2"/>
      <c r="B69" s="2"/>
      <c r="C69" s="2"/>
      <c r="D69" s="3"/>
      <c r="E69" s="3"/>
      <c r="F69" s="3"/>
      <c r="G69" s="3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2"/>
      <c r="Y69" s="2"/>
      <c r="Z69" s="2"/>
      <c r="AA69" s="2"/>
      <c r="AB69" s="2"/>
    </row>
    <row r="70" ht="12.75" customHeight="1">
      <c r="A70" s="2"/>
      <c r="B70" s="2"/>
      <c r="C70" s="2"/>
      <c r="D70" s="3"/>
      <c r="E70" s="3"/>
      <c r="F70" s="3"/>
      <c r="G70" s="3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2"/>
      <c r="Y70" s="2"/>
      <c r="Z70" s="2"/>
      <c r="AA70" s="2"/>
      <c r="AB70" s="2"/>
    </row>
    <row r="71" ht="12.75" customHeight="1">
      <c r="A71" s="2"/>
      <c r="B71" s="2"/>
      <c r="C71" s="2"/>
      <c r="D71" s="3"/>
      <c r="E71" s="3"/>
      <c r="F71" s="3"/>
      <c r="G71" s="3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2"/>
      <c r="Y71" s="2"/>
      <c r="Z71" s="2"/>
      <c r="AA71" s="2"/>
      <c r="AB71" s="2"/>
    </row>
    <row r="72" ht="12.75" customHeight="1">
      <c r="A72" s="2"/>
      <c r="B72" s="2"/>
      <c r="C72" s="2"/>
      <c r="D72" s="3"/>
      <c r="E72" s="3"/>
      <c r="F72" s="3"/>
      <c r="G72" s="3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2"/>
      <c r="Y72" s="2"/>
      <c r="Z72" s="2"/>
      <c r="AA72" s="2"/>
      <c r="AB72" s="2"/>
    </row>
    <row r="73" ht="12.75" customHeight="1">
      <c r="A73" s="2"/>
      <c r="B73" s="2"/>
      <c r="C73" s="2"/>
      <c r="D73" s="3"/>
      <c r="E73" s="3"/>
      <c r="F73" s="3"/>
      <c r="G73" s="3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2"/>
      <c r="Y73" s="2"/>
      <c r="Z73" s="2"/>
      <c r="AA73" s="2"/>
      <c r="AB73" s="2"/>
    </row>
    <row r="74" ht="12.75" customHeight="1">
      <c r="A74" s="2"/>
      <c r="B74" s="2"/>
      <c r="C74" s="2"/>
      <c r="D74" s="3"/>
      <c r="E74" s="3"/>
      <c r="F74" s="3"/>
      <c r="G74" s="3"/>
      <c r="H74" s="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2"/>
      <c r="Y74" s="2"/>
      <c r="Z74" s="2"/>
      <c r="AA74" s="2"/>
      <c r="AB74" s="2"/>
    </row>
    <row r="75" ht="12.75" customHeight="1">
      <c r="A75" s="2"/>
      <c r="B75" s="2"/>
      <c r="C75" s="2"/>
      <c r="D75" s="3"/>
      <c r="E75" s="3"/>
      <c r="F75" s="3"/>
      <c r="G75" s="3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2"/>
      <c r="Y75" s="2"/>
      <c r="Z75" s="2"/>
      <c r="AA75" s="2"/>
      <c r="AB75" s="2"/>
    </row>
    <row r="76" ht="12.75" customHeight="1">
      <c r="A76" s="2"/>
      <c r="B76" s="2"/>
      <c r="C76" s="2"/>
      <c r="D76" s="3"/>
      <c r="E76" s="3"/>
      <c r="F76" s="3"/>
      <c r="G76" s="3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2"/>
      <c r="Y76" s="2"/>
      <c r="Z76" s="2"/>
      <c r="AA76" s="2"/>
      <c r="AB76" s="2"/>
    </row>
    <row r="77" ht="12.75" customHeight="1">
      <c r="A77" s="2"/>
      <c r="B77" s="2"/>
      <c r="C77" s="2"/>
      <c r="D77" s="3"/>
      <c r="E77" s="3"/>
      <c r="F77" s="3"/>
      <c r="G77" s="3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2"/>
      <c r="Y77" s="2"/>
      <c r="Z77" s="2"/>
      <c r="AA77" s="2"/>
      <c r="AB77" s="2"/>
    </row>
    <row r="78" ht="12.75" customHeight="1">
      <c r="A78" s="2"/>
      <c r="B78" s="2"/>
      <c r="C78" s="2"/>
      <c r="D78" s="3"/>
      <c r="E78" s="3"/>
      <c r="F78" s="3"/>
      <c r="G78" s="3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2"/>
      <c r="Y78" s="2"/>
      <c r="Z78" s="2"/>
      <c r="AA78" s="2"/>
      <c r="AB78" s="2"/>
    </row>
    <row r="79" ht="12.75" customHeight="1">
      <c r="A79" s="2"/>
      <c r="B79" s="2"/>
      <c r="C79" s="2"/>
      <c r="D79" s="3"/>
      <c r="E79" s="3"/>
      <c r="F79" s="3"/>
      <c r="G79" s="3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2"/>
      <c r="Y79" s="2"/>
      <c r="Z79" s="2"/>
      <c r="AA79" s="2"/>
      <c r="AB79" s="2"/>
    </row>
    <row r="80" ht="12.75" customHeight="1">
      <c r="A80" s="2"/>
      <c r="B80" s="2"/>
      <c r="C80" s="2"/>
      <c r="D80" s="3"/>
      <c r="E80" s="3"/>
      <c r="F80" s="3"/>
      <c r="G80" s="3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2"/>
      <c r="Y80" s="2"/>
      <c r="Z80" s="2"/>
      <c r="AA80" s="2"/>
      <c r="AB80" s="2"/>
    </row>
    <row r="81" ht="12.75" customHeight="1">
      <c r="A81" s="2"/>
      <c r="B81" s="2"/>
      <c r="C81" s="2"/>
      <c r="D81" s="3"/>
      <c r="E81" s="3"/>
      <c r="F81" s="3"/>
      <c r="G81" s="3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2"/>
      <c r="Y81" s="2"/>
      <c r="Z81" s="2"/>
      <c r="AA81" s="2"/>
      <c r="AB81" s="2"/>
    </row>
    <row r="82" ht="12.75" customHeight="1">
      <c r="A82" s="2"/>
      <c r="B82" s="2"/>
      <c r="C82" s="2"/>
      <c r="D82" s="3"/>
      <c r="E82" s="3"/>
      <c r="F82" s="3"/>
      <c r="G82" s="3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2"/>
      <c r="Y82" s="2"/>
      <c r="Z82" s="2"/>
      <c r="AA82" s="2"/>
      <c r="AB82" s="2"/>
    </row>
    <row r="83" ht="12.75" customHeight="1">
      <c r="A83" s="2"/>
      <c r="B83" s="2"/>
      <c r="C83" s="2"/>
      <c r="D83" s="3"/>
      <c r="E83" s="3"/>
      <c r="F83" s="3"/>
      <c r="G83" s="3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2"/>
      <c r="Y83" s="2"/>
      <c r="Z83" s="2"/>
      <c r="AA83" s="2"/>
      <c r="AB83" s="2"/>
    </row>
    <row r="84" ht="12.75" customHeight="1">
      <c r="A84" s="2"/>
      <c r="B84" s="2"/>
      <c r="C84" s="2"/>
      <c r="D84" s="3"/>
      <c r="E84" s="3"/>
      <c r="F84" s="3"/>
      <c r="G84" s="3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2"/>
      <c r="Y84" s="2"/>
      <c r="Z84" s="2"/>
      <c r="AA84" s="2"/>
      <c r="AB84" s="2"/>
    </row>
    <row r="85" ht="12.75" customHeight="1">
      <c r="A85" s="2"/>
      <c r="B85" s="2"/>
      <c r="C85" s="2"/>
      <c r="D85" s="3"/>
      <c r="E85" s="3"/>
      <c r="F85" s="3"/>
      <c r="G85" s="3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2"/>
      <c r="Y85" s="2"/>
      <c r="Z85" s="2"/>
      <c r="AA85" s="2"/>
      <c r="AB85" s="2"/>
    </row>
    <row r="86" ht="12.75" customHeight="1">
      <c r="A86" s="2"/>
      <c r="B86" s="2"/>
      <c r="C86" s="2"/>
      <c r="D86" s="3"/>
      <c r="E86" s="3"/>
      <c r="F86" s="3"/>
      <c r="G86" s="3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2"/>
      <c r="Y86" s="2"/>
      <c r="Z86" s="2"/>
      <c r="AA86" s="2"/>
      <c r="AB86" s="2"/>
    </row>
    <row r="87" ht="12.75" customHeight="1">
      <c r="A87" s="2"/>
      <c r="B87" s="2"/>
      <c r="C87" s="2"/>
      <c r="D87" s="3"/>
      <c r="E87" s="3"/>
      <c r="F87" s="3"/>
      <c r="G87" s="3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2"/>
      <c r="Y87" s="2"/>
      <c r="Z87" s="2"/>
      <c r="AA87" s="2"/>
      <c r="AB87" s="2"/>
    </row>
    <row r="88" ht="12.75" customHeight="1">
      <c r="A88" s="2"/>
      <c r="B88" s="2"/>
      <c r="C88" s="2"/>
      <c r="D88" s="3"/>
      <c r="E88" s="3"/>
      <c r="F88" s="3"/>
      <c r="G88" s="3"/>
      <c r="H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2"/>
      <c r="Y88" s="2"/>
      <c r="Z88" s="2"/>
      <c r="AA88" s="2"/>
      <c r="AB88" s="2"/>
    </row>
    <row r="89" ht="12.75" customHeight="1">
      <c r="A89" s="2"/>
      <c r="B89" s="2"/>
      <c r="C89" s="2"/>
      <c r="D89" s="3"/>
      <c r="E89" s="3"/>
      <c r="F89" s="3"/>
      <c r="G89" s="3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2"/>
      <c r="Y89" s="2"/>
      <c r="Z89" s="2"/>
      <c r="AA89" s="2"/>
      <c r="AB89" s="2"/>
    </row>
    <row r="90" ht="12.75" customHeight="1">
      <c r="A90" s="2"/>
      <c r="B90" s="2"/>
      <c r="C90" s="2"/>
      <c r="D90" s="3"/>
      <c r="E90" s="3"/>
      <c r="F90" s="3"/>
      <c r="G90" s="3"/>
      <c r="H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2"/>
      <c r="Y90" s="2"/>
      <c r="Z90" s="2"/>
      <c r="AA90" s="2"/>
      <c r="AB90" s="2"/>
    </row>
    <row r="91" ht="12.75" customHeight="1">
      <c r="A91" s="2"/>
      <c r="B91" s="2"/>
      <c r="C91" s="2"/>
      <c r="D91" s="3"/>
      <c r="E91" s="3"/>
      <c r="F91" s="3"/>
      <c r="G91" s="3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2"/>
      <c r="Y91" s="2"/>
      <c r="Z91" s="2"/>
      <c r="AA91" s="2"/>
      <c r="AB91" s="2"/>
    </row>
    <row r="92" ht="12.75" customHeight="1">
      <c r="A92" s="2"/>
      <c r="B92" s="2"/>
      <c r="C92" s="2"/>
      <c r="D92" s="3"/>
      <c r="E92" s="3"/>
      <c r="F92" s="3"/>
      <c r="G92" s="3"/>
      <c r="H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2"/>
      <c r="Y92" s="2"/>
      <c r="Z92" s="2"/>
      <c r="AA92" s="2"/>
      <c r="AB92" s="2"/>
    </row>
    <row r="93" ht="12.75" customHeight="1">
      <c r="A93" s="2"/>
      <c r="B93" s="2"/>
      <c r="C93" s="2"/>
      <c r="D93" s="3"/>
      <c r="E93" s="3"/>
      <c r="F93" s="3"/>
      <c r="G93" s="3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2"/>
      <c r="Y93" s="2"/>
      <c r="Z93" s="2"/>
      <c r="AA93" s="2"/>
      <c r="AB93" s="2"/>
    </row>
    <row r="94" ht="12.75" customHeight="1">
      <c r="A94" s="2"/>
      <c r="B94" s="2"/>
      <c r="C94" s="2"/>
      <c r="D94" s="3"/>
      <c r="E94" s="3"/>
      <c r="F94" s="3"/>
      <c r="G94" s="3"/>
      <c r="H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2"/>
      <c r="Y94" s="2"/>
      <c r="Z94" s="2"/>
      <c r="AA94" s="2"/>
      <c r="AB94" s="2"/>
    </row>
    <row r="95" ht="12.75" customHeight="1">
      <c r="A95" s="2"/>
      <c r="B95" s="2"/>
      <c r="C95" s="2"/>
      <c r="D95" s="3"/>
      <c r="E95" s="3"/>
      <c r="F95" s="3"/>
      <c r="G95" s="3"/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2"/>
      <c r="Y95" s="2"/>
      <c r="Z95" s="2"/>
      <c r="AA95" s="2"/>
      <c r="AB95" s="2"/>
    </row>
    <row r="96" ht="12.75" customHeight="1">
      <c r="A96" s="2"/>
      <c r="B96" s="2"/>
      <c r="C96" s="2"/>
      <c r="D96" s="3"/>
      <c r="E96" s="3"/>
      <c r="F96" s="3"/>
      <c r="G96" s="3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2"/>
      <c r="Y96" s="2"/>
      <c r="Z96" s="2"/>
      <c r="AA96" s="2"/>
      <c r="AB96" s="2"/>
    </row>
    <row r="97" ht="12.75" customHeight="1">
      <c r="A97" s="2"/>
      <c r="B97" s="2"/>
      <c r="C97" s="2"/>
      <c r="D97" s="3"/>
      <c r="E97" s="3"/>
      <c r="F97" s="3"/>
      <c r="G97" s="3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2"/>
      <c r="Y97" s="2"/>
      <c r="Z97" s="2"/>
      <c r="AA97" s="2"/>
      <c r="AB97" s="2"/>
    </row>
    <row r="98" ht="12.75" customHeight="1">
      <c r="A98" s="2"/>
      <c r="B98" s="2"/>
      <c r="C98" s="2"/>
      <c r="D98" s="3"/>
      <c r="E98" s="3"/>
      <c r="F98" s="3"/>
      <c r="G98" s="3"/>
      <c r="H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2"/>
      <c r="Y98" s="2"/>
      <c r="Z98" s="2"/>
      <c r="AA98" s="2"/>
      <c r="AB98" s="2"/>
    </row>
    <row r="99" ht="12.75" customHeight="1">
      <c r="A99" s="2"/>
      <c r="B99" s="2"/>
      <c r="C99" s="2"/>
      <c r="D99" s="3"/>
      <c r="E99" s="3"/>
      <c r="F99" s="3"/>
      <c r="G99" s="3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2"/>
      <c r="Y99" s="2"/>
      <c r="Z99" s="2"/>
      <c r="AA99" s="2"/>
      <c r="AB99" s="2"/>
    </row>
    <row r="100" ht="12.75" customHeight="1">
      <c r="A100" s="2"/>
      <c r="B100" s="2"/>
      <c r="C100" s="2"/>
      <c r="D100" s="3"/>
      <c r="E100" s="3"/>
      <c r="F100" s="3"/>
      <c r="G100" s="3"/>
      <c r="H100" s="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2"/>
      <c r="Y100" s="2"/>
      <c r="Z100" s="2"/>
      <c r="AA100" s="2"/>
      <c r="AB100" s="2"/>
    </row>
    <row r="101" ht="12.75" customHeight="1">
      <c r="A101" s="2"/>
      <c r="B101" s="2"/>
      <c r="C101" s="2"/>
      <c r="D101" s="3"/>
      <c r="E101" s="3"/>
      <c r="F101" s="3"/>
      <c r="G101" s="3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2"/>
      <c r="Y101" s="2"/>
      <c r="Z101" s="2"/>
      <c r="AA101" s="2"/>
      <c r="AB101" s="2"/>
    </row>
    <row r="102" ht="12.75" customHeight="1">
      <c r="A102" s="2"/>
      <c r="B102" s="2"/>
      <c r="C102" s="2"/>
      <c r="D102" s="3"/>
      <c r="E102" s="3"/>
      <c r="F102" s="3"/>
      <c r="G102" s="3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2"/>
      <c r="Y102" s="2"/>
      <c r="Z102" s="2"/>
      <c r="AA102" s="2"/>
      <c r="AB102" s="2"/>
    </row>
    <row r="103" ht="12.75" customHeight="1">
      <c r="A103" s="2"/>
      <c r="B103" s="2"/>
      <c r="C103" s="2"/>
      <c r="D103" s="3"/>
      <c r="E103" s="3"/>
      <c r="F103" s="3"/>
      <c r="G103" s="3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2"/>
      <c r="Y103" s="2"/>
      <c r="Z103" s="2"/>
      <c r="AA103" s="2"/>
      <c r="AB103" s="2"/>
    </row>
    <row r="104" ht="12.75" customHeight="1">
      <c r="A104" s="2"/>
      <c r="B104" s="2"/>
      <c r="C104" s="2"/>
      <c r="D104" s="3"/>
      <c r="E104" s="3"/>
      <c r="F104" s="3"/>
      <c r="G104" s="3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2"/>
      <c r="Y104" s="2"/>
      <c r="Z104" s="2"/>
      <c r="AA104" s="2"/>
      <c r="AB104" s="2"/>
    </row>
    <row r="105" ht="12.75" customHeight="1">
      <c r="A105" s="2"/>
      <c r="B105" s="2"/>
      <c r="C105" s="2"/>
      <c r="D105" s="3"/>
      <c r="E105" s="3"/>
      <c r="F105" s="3"/>
      <c r="G105" s="3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2"/>
      <c r="Y105" s="2"/>
      <c r="Z105" s="2"/>
      <c r="AA105" s="2"/>
      <c r="AB105" s="2"/>
    </row>
    <row r="106" ht="12.75" customHeight="1">
      <c r="A106" s="2"/>
      <c r="B106" s="2"/>
      <c r="C106" s="2"/>
      <c r="D106" s="3"/>
      <c r="E106" s="3"/>
      <c r="F106" s="3"/>
      <c r="G106" s="3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2"/>
      <c r="Y106" s="2"/>
      <c r="Z106" s="2"/>
      <c r="AA106" s="2"/>
      <c r="AB106" s="2"/>
    </row>
    <row r="107" ht="12.75" customHeight="1">
      <c r="A107" s="2"/>
      <c r="B107" s="2"/>
      <c r="C107" s="2"/>
      <c r="D107" s="3"/>
      <c r="E107" s="3"/>
      <c r="F107" s="3"/>
      <c r="G107" s="3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2"/>
      <c r="Y107" s="2"/>
      <c r="Z107" s="2"/>
      <c r="AA107" s="2"/>
      <c r="AB107" s="2"/>
    </row>
    <row r="108" ht="12.75" customHeight="1">
      <c r="A108" s="2"/>
      <c r="B108" s="2"/>
      <c r="C108" s="2"/>
      <c r="D108" s="3"/>
      <c r="E108" s="3"/>
      <c r="F108" s="3"/>
      <c r="G108" s="3"/>
      <c r="H108" s="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2"/>
      <c r="Y108" s="2"/>
      <c r="Z108" s="2"/>
      <c r="AA108" s="2"/>
      <c r="AB108" s="2"/>
    </row>
    <row r="109" ht="12.75" customHeight="1">
      <c r="A109" s="2"/>
      <c r="B109" s="2"/>
      <c r="C109" s="2"/>
      <c r="D109" s="3"/>
      <c r="E109" s="3"/>
      <c r="F109" s="3"/>
      <c r="G109" s="3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2"/>
      <c r="Y109" s="2"/>
      <c r="Z109" s="2"/>
      <c r="AA109" s="2"/>
      <c r="AB109" s="2"/>
    </row>
    <row r="110" ht="12.75" customHeight="1">
      <c r="A110" s="2"/>
      <c r="B110" s="2"/>
      <c r="C110" s="2"/>
      <c r="D110" s="3"/>
      <c r="E110" s="3"/>
      <c r="F110" s="3"/>
      <c r="G110" s="3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2"/>
      <c r="Y110" s="2"/>
      <c r="Z110" s="2"/>
      <c r="AA110" s="2"/>
      <c r="AB110" s="2"/>
    </row>
    <row r="111" ht="12.75" customHeight="1">
      <c r="A111" s="2"/>
      <c r="B111" s="2"/>
      <c r="C111" s="2"/>
      <c r="D111" s="3"/>
      <c r="E111" s="3"/>
      <c r="F111" s="3"/>
      <c r="G111" s="3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2"/>
      <c r="Y111" s="2"/>
      <c r="Z111" s="2"/>
      <c r="AA111" s="2"/>
      <c r="AB111" s="2"/>
    </row>
    <row r="112" ht="12.75" customHeight="1">
      <c r="A112" s="2"/>
      <c r="B112" s="2"/>
      <c r="C112" s="2"/>
      <c r="D112" s="3"/>
      <c r="E112" s="3"/>
      <c r="F112" s="3"/>
      <c r="G112" s="3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2"/>
      <c r="Y112" s="2"/>
      <c r="Z112" s="2"/>
      <c r="AA112" s="2"/>
      <c r="AB112" s="2"/>
    </row>
    <row r="113" ht="12.75" customHeight="1">
      <c r="A113" s="2"/>
      <c r="B113" s="2"/>
      <c r="C113" s="2"/>
      <c r="D113" s="3"/>
      <c r="E113" s="3"/>
      <c r="F113" s="3"/>
      <c r="G113" s="3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2"/>
      <c r="Y113" s="2"/>
      <c r="Z113" s="2"/>
      <c r="AA113" s="2"/>
      <c r="AB113" s="2"/>
    </row>
    <row r="114" ht="12.75" customHeight="1">
      <c r="A114" s="2"/>
      <c r="B114" s="2"/>
      <c r="C114" s="2"/>
      <c r="D114" s="3"/>
      <c r="E114" s="3"/>
      <c r="F114" s="3"/>
      <c r="G114" s="3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2"/>
      <c r="Y114" s="2"/>
      <c r="Z114" s="2"/>
      <c r="AA114" s="2"/>
      <c r="AB114" s="2"/>
    </row>
    <row r="115" ht="12.75" customHeight="1">
      <c r="A115" s="2"/>
      <c r="B115" s="2"/>
      <c r="C115" s="2"/>
      <c r="D115" s="3"/>
      <c r="E115" s="3"/>
      <c r="F115" s="3"/>
      <c r="G115" s="3"/>
      <c r="H115" s="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2"/>
      <c r="Y115" s="2"/>
      <c r="Z115" s="2"/>
      <c r="AA115" s="2"/>
      <c r="AB115" s="2"/>
    </row>
    <row r="116" ht="12.75" customHeight="1">
      <c r="A116" s="2"/>
      <c r="B116" s="2"/>
      <c r="C116" s="2"/>
      <c r="D116" s="3"/>
      <c r="E116" s="3"/>
      <c r="F116" s="3"/>
      <c r="G116" s="3"/>
      <c r="H116" s="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2"/>
      <c r="Y116" s="2"/>
      <c r="Z116" s="2"/>
      <c r="AA116" s="2"/>
      <c r="AB116" s="2"/>
    </row>
    <row r="117" ht="12.75" customHeight="1">
      <c r="A117" s="2"/>
      <c r="B117" s="2"/>
      <c r="C117" s="2"/>
      <c r="D117" s="3"/>
      <c r="E117" s="3"/>
      <c r="F117" s="3"/>
      <c r="G117" s="3"/>
      <c r="H117" s="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2"/>
      <c r="Y117" s="2"/>
      <c r="Z117" s="2"/>
      <c r="AA117" s="2"/>
      <c r="AB117" s="2"/>
    </row>
    <row r="118" ht="12.75" customHeight="1">
      <c r="A118" s="2"/>
      <c r="B118" s="2"/>
      <c r="C118" s="2"/>
      <c r="D118" s="3"/>
      <c r="E118" s="3"/>
      <c r="F118" s="3"/>
      <c r="G118" s="3"/>
      <c r="H118" s="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2"/>
      <c r="Y118" s="2"/>
      <c r="Z118" s="2"/>
      <c r="AA118" s="2"/>
      <c r="AB118" s="2"/>
    </row>
    <row r="119" ht="12.75" customHeight="1">
      <c r="A119" s="2"/>
      <c r="B119" s="2"/>
      <c r="C119" s="2"/>
      <c r="D119" s="3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2"/>
      <c r="Y119" s="2"/>
      <c r="Z119" s="2"/>
      <c r="AA119" s="2"/>
      <c r="AB119" s="2"/>
    </row>
    <row r="120" ht="12.75" customHeight="1">
      <c r="A120" s="2"/>
      <c r="B120" s="2"/>
      <c r="C120" s="2"/>
      <c r="D120" s="3"/>
      <c r="E120" s="3"/>
      <c r="F120" s="3"/>
      <c r="G120" s="3"/>
      <c r="H120" s="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2"/>
      <c r="Y120" s="2"/>
      <c r="Z120" s="2"/>
      <c r="AA120" s="2"/>
      <c r="AB120" s="2"/>
    </row>
    <row r="121" ht="12.75" customHeight="1">
      <c r="A121" s="2"/>
      <c r="B121" s="2"/>
      <c r="C121" s="2"/>
      <c r="D121" s="3"/>
      <c r="E121" s="3"/>
      <c r="F121" s="3"/>
      <c r="G121" s="3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2"/>
      <c r="Y121" s="2"/>
      <c r="Z121" s="2"/>
      <c r="AA121" s="2"/>
      <c r="AB121" s="2"/>
    </row>
    <row r="122" ht="12.75" customHeight="1">
      <c r="A122" s="2"/>
      <c r="B122" s="2"/>
      <c r="C122" s="2"/>
      <c r="D122" s="3"/>
      <c r="E122" s="3"/>
      <c r="F122" s="3"/>
      <c r="G122" s="3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2"/>
      <c r="Y122" s="2"/>
      <c r="Z122" s="2"/>
      <c r="AA122" s="2"/>
      <c r="AB122" s="2"/>
    </row>
    <row r="123" ht="12.75" customHeight="1">
      <c r="A123" s="2"/>
      <c r="B123" s="2"/>
      <c r="C123" s="2"/>
      <c r="D123" s="3"/>
      <c r="E123" s="3"/>
      <c r="F123" s="3"/>
      <c r="G123" s="3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2"/>
      <c r="Y123" s="2"/>
      <c r="Z123" s="2"/>
      <c r="AA123" s="2"/>
      <c r="AB123" s="2"/>
    </row>
    <row r="124" ht="12.75" customHeight="1">
      <c r="A124" s="2"/>
      <c r="B124" s="2"/>
      <c r="C124" s="2"/>
      <c r="D124" s="3"/>
      <c r="E124" s="3"/>
      <c r="F124" s="3"/>
      <c r="G124" s="3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2"/>
      <c r="Y124" s="2"/>
      <c r="Z124" s="2"/>
      <c r="AA124" s="2"/>
      <c r="AB124" s="2"/>
    </row>
    <row r="125" ht="12.75" customHeight="1">
      <c r="A125" s="2"/>
      <c r="B125" s="2"/>
      <c r="C125" s="2"/>
      <c r="D125" s="3"/>
      <c r="E125" s="3"/>
      <c r="F125" s="3"/>
      <c r="G125" s="3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2"/>
      <c r="Y125" s="2"/>
      <c r="Z125" s="2"/>
      <c r="AA125" s="2"/>
      <c r="AB125" s="2"/>
    </row>
    <row r="126" ht="12.75" customHeight="1">
      <c r="A126" s="2"/>
      <c r="B126" s="2"/>
      <c r="C126" s="2"/>
      <c r="D126" s="3"/>
      <c r="E126" s="3"/>
      <c r="F126" s="3"/>
      <c r="G126" s="3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2"/>
      <c r="Y126" s="2"/>
      <c r="Z126" s="2"/>
      <c r="AA126" s="2"/>
      <c r="AB126" s="2"/>
    </row>
    <row r="127" ht="12.75" customHeight="1">
      <c r="A127" s="2"/>
      <c r="B127" s="2"/>
      <c r="C127" s="2"/>
      <c r="D127" s="3"/>
      <c r="E127" s="3"/>
      <c r="F127" s="3"/>
      <c r="G127" s="3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2"/>
      <c r="Y127" s="2"/>
      <c r="Z127" s="2"/>
      <c r="AA127" s="2"/>
      <c r="AB127" s="2"/>
    </row>
    <row r="128" ht="12.75" customHeight="1">
      <c r="A128" s="2"/>
      <c r="B128" s="2"/>
      <c r="C128" s="2"/>
      <c r="D128" s="3"/>
      <c r="E128" s="3"/>
      <c r="F128" s="3"/>
      <c r="G128" s="3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2"/>
      <c r="Y128" s="2"/>
      <c r="Z128" s="2"/>
      <c r="AA128" s="2"/>
      <c r="AB128" s="2"/>
    </row>
    <row r="129" ht="12.75" customHeight="1">
      <c r="A129" s="2"/>
      <c r="B129" s="2"/>
      <c r="C129" s="2"/>
      <c r="D129" s="3"/>
      <c r="E129" s="3"/>
      <c r="F129" s="3"/>
      <c r="G129" s="3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2"/>
      <c r="Y129" s="2"/>
      <c r="Z129" s="2"/>
      <c r="AA129" s="2"/>
      <c r="AB129" s="2"/>
    </row>
    <row r="130" ht="12.75" customHeight="1">
      <c r="A130" s="2"/>
      <c r="B130" s="2"/>
      <c r="C130" s="2"/>
      <c r="D130" s="3"/>
      <c r="E130" s="3"/>
      <c r="F130" s="3"/>
      <c r="G130" s="3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2"/>
      <c r="Y130" s="2"/>
      <c r="Z130" s="2"/>
      <c r="AA130" s="2"/>
      <c r="AB130" s="2"/>
    </row>
    <row r="131" ht="12.75" customHeight="1">
      <c r="A131" s="2"/>
      <c r="B131" s="2"/>
      <c r="C131" s="2"/>
      <c r="D131" s="3"/>
      <c r="E131" s="3"/>
      <c r="F131" s="3"/>
      <c r="G131" s="3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2"/>
      <c r="Y131" s="2"/>
      <c r="Z131" s="2"/>
      <c r="AA131" s="2"/>
      <c r="AB131" s="2"/>
    </row>
    <row r="132" ht="12.75" customHeight="1">
      <c r="A132" s="2"/>
      <c r="B132" s="2"/>
      <c r="C132" s="2"/>
      <c r="D132" s="3"/>
      <c r="E132" s="3"/>
      <c r="F132" s="3"/>
      <c r="G132" s="3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2"/>
      <c r="Y132" s="2"/>
      <c r="Z132" s="2"/>
      <c r="AA132" s="2"/>
      <c r="AB132" s="2"/>
    </row>
    <row r="133" ht="12.75" customHeight="1">
      <c r="A133" s="2"/>
      <c r="B133" s="2"/>
      <c r="C133" s="2"/>
      <c r="D133" s="3"/>
      <c r="E133" s="3"/>
      <c r="F133" s="3"/>
      <c r="G133" s="3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2"/>
      <c r="Y133" s="2"/>
      <c r="Z133" s="2"/>
      <c r="AA133" s="2"/>
      <c r="AB133" s="2"/>
    </row>
    <row r="134" ht="12.75" customHeight="1">
      <c r="A134" s="2"/>
      <c r="B134" s="2"/>
      <c r="C134" s="2"/>
      <c r="D134" s="3"/>
      <c r="E134" s="3"/>
      <c r="F134" s="3"/>
      <c r="G134" s="3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2"/>
      <c r="Y134" s="2"/>
      <c r="Z134" s="2"/>
      <c r="AA134" s="2"/>
      <c r="AB134" s="2"/>
    </row>
    <row r="135" ht="12.75" customHeight="1">
      <c r="A135" s="2"/>
      <c r="B135" s="2"/>
      <c r="C135" s="2"/>
      <c r="D135" s="3"/>
      <c r="E135" s="3"/>
      <c r="F135" s="3"/>
      <c r="G135" s="3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2"/>
      <c r="Y135" s="2"/>
      <c r="Z135" s="2"/>
      <c r="AA135" s="2"/>
      <c r="AB135" s="2"/>
    </row>
    <row r="136" ht="12.75" customHeight="1">
      <c r="A136" s="2"/>
      <c r="B136" s="2"/>
      <c r="C136" s="2"/>
      <c r="D136" s="3"/>
      <c r="E136" s="3"/>
      <c r="F136" s="3"/>
      <c r="G136" s="3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2"/>
      <c r="Y136" s="2"/>
      <c r="Z136" s="2"/>
      <c r="AA136" s="2"/>
      <c r="AB136" s="2"/>
    </row>
    <row r="137" ht="12.75" customHeight="1">
      <c r="A137" s="2"/>
      <c r="B137" s="2"/>
      <c r="C137" s="2"/>
      <c r="D137" s="3"/>
      <c r="E137" s="3"/>
      <c r="F137" s="3"/>
      <c r="G137" s="3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2"/>
      <c r="Y137" s="2"/>
      <c r="Z137" s="2"/>
      <c r="AA137" s="2"/>
      <c r="AB137" s="2"/>
    </row>
    <row r="138" ht="12.75" customHeight="1">
      <c r="A138" s="2"/>
      <c r="B138" s="2"/>
      <c r="C138" s="2"/>
      <c r="D138" s="3"/>
      <c r="E138" s="3"/>
      <c r="F138" s="3"/>
      <c r="G138" s="3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2"/>
      <c r="Y138" s="2"/>
      <c r="Z138" s="2"/>
      <c r="AA138" s="2"/>
      <c r="AB138" s="2"/>
    </row>
    <row r="139" ht="12.75" customHeight="1">
      <c r="A139" s="2"/>
      <c r="B139" s="2"/>
      <c r="C139" s="2"/>
      <c r="D139" s="3"/>
      <c r="E139" s="3"/>
      <c r="F139" s="3"/>
      <c r="G139" s="3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2"/>
      <c r="Y139" s="2"/>
      <c r="Z139" s="2"/>
      <c r="AA139" s="2"/>
      <c r="AB139" s="2"/>
    </row>
    <row r="140" ht="12.75" customHeight="1">
      <c r="A140" s="2"/>
      <c r="B140" s="2"/>
      <c r="C140" s="2"/>
      <c r="D140" s="3"/>
      <c r="E140" s="3"/>
      <c r="F140" s="3"/>
      <c r="G140" s="3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2"/>
      <c r="Y140" s="2"/>
      <c r="Z140" s="2"/>
      <c r="AA140" s="2"/>
      <c r="AB140" s="2"/>
    </row>
    <row r="141" ht="12.75" customHeight="1">
      <c r="A141" s="2"/>
      <c r="B141" s="2"/>
      <c r="C141" s="2"/>
      <c r="D141" s="3"/>
      <c r="E141" s="3"/>
      <c r="F141" s="3"/>
      <c r="G141" s="3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2"/>
      <c r="Y141" s="2"/>
      <c r="Z141" s="2"/>
      <c r="AA141" s="2"/>
      <c r="AB141" s="2"/>
    </row>
    <row r="142" ht="12.75" customHeight="1">
      <c r="A142" s="2"/>
      <c r="B142" s="2"/>
      <c r="C142" s="2"/>
      <c r="D142" s="3"/>
      <c r="E142" s="3"/>
      <c r="F142" s="3"/>
      <c r="G142" s="3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2"/>
      <c r="Y142" s="2"/>
      <c r="Z142" s="2"/>
      <c r="AA142" s="2"/>
      <c r="AB142" s="2"/>
    </row>
    <row r="143" ht="12.75" customHeight="1">
      <c r="A143" s="2"/>
      <c r="B143" s="2"/>
      <c r="C143" s="2"/>
      <c r="D143" s="3"/>
      <c r="E143" s="3"/>
      <c r="F143" s="3"/>
      <c r="G143" s="3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2"/>
      <c r="Y143" s="2"/>
      <c r="Z143" s="2"/>
      <c r="AA143" s="2"/>
      <c r="AB143" s="2"/>
    </row>
    <row r="144" ht="12.75" customHeight="1">
      <c r="A144" s="2"/>
      <c r="B144" s="2"/>
      <c r="C144" s="2"/>
      <c r="D144" s="3"/>
      <c r="E144" s="3"/>
      <c r="F144" s="3"/>
      <c r="G144" s="3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2"/>
      <c r="Y144" s="2"/>
      <c r="Z144" s="2"/>
      <c r="AA144" s="2"/>
      <c r="AB144" s="2"/>
    </row>
    <row r="145" ht="12.75" customHeight="1">
      <c r="A145" s="2"/>
      <c r="B145" s="2"/>
      <c r="C145" s="2"/>
      <c r="D145" s="3"/>
      <c r="E145" s="3"/>
      <c r="F145" s="3"/>
      <c r="G145" s="3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2"/>
      <c r="Y145" s="2"/>
      <c r="Z145" s="2"/>
      <c r="AA145" s="2"/>
      <c r="AB145" s="2"/>
    </row>
    <row r="146" ht="12.75" customHeight="1">
      <c r="A146" s="2"/>
      <c r="B146" s="2"/>
      <c r="C146" s="2"/>
      <c r="D146" s="3"/>
      <c r="E146" s="3"/>
      <c r="F146" s="3"/>
      <c r="G146" s="3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2"/>
      <c r="Y146" s="2"/>
      <c r="Z146" s="2"/>
      <c r="AA146" s="2"/>
      <c r="AB146" s="2"/>
    </row>
    <row r="147" ht="12.75" customHeight="1">
      <c r="A147" s="2"/>
      <c r="B147" s="2"/>
      <c r="C147" s="2"/>
      <c r="D147" s="3"/>
      <c r="E147" s="3"/>
      <c r="F147" s="3"/>
      <c r="G147" s="3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2"/>
      <c r="Y147" s="2"/>
      <c r="Z147" s="2"/>
      <c r="AA147" s="2"/>
      <c r="AB147" s="2"/>
    </row>
    <row r="148" ht="12.75" customHeight="1">
      <c r="A148" s="2"/>
      <c r="B148" s="2"/>
      <c r="C148" s="2"/>
      <c r="D148" s="3"/>
      <c r="E148" s="3"/>
      <c r="F148" s="3"/>
      <c r="G148" s="3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2"/>
      <c r="Y148" s="2"/>
      <c r="Z148" s="2"/>
      <c r="AA148" s="2"/>
      <c r="AB148" s="2"/>
    </row>
    <row r="149" ht="12.75" customHeight="1">
      <c r="A149" s="2"/>
      <c r="B149" s="2"/>
      <c r="C149" s="2"/>
      <c r="D149" s="3"/>
      <c r="E149" s="3"/>
      <c r="F149" s="3"/>
      <c r="G149" s="3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2"/>
      <c r="Y149" s="2"/>
      <c r="Z149" s="2"/>
      <c r="AA149" s="2"/>
      <c r="AB149" s="2"/>
    </row>
    <row r="150" ht="12.75" customHeight="1">
      <c r="A150" s="2"/>
      <c r="B150" s="2"/>
      <c r="C150" s="2"/>
      <c r="D150" s="3"/>
      <c r="E150" s="3"/>
      <c r="F150" s="3"/>
      <c r="G150" s="3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2"/>
      <c r="Y150" s="2"/>
      <c r="Z150" s="2"/>
      <c r="AA150" s="2"/>
      <c r="AB150" s="2"/>
    </row>
    <row r="151" ht="12.75" customHeight="1">
      <c r="A151" s="2"/>
      <c r="B151" s="2"/>
      <c r="C151" s="2"/>
      <c r="D151" s="3"/>
      <c r="E151" s="3"/>
      <c r="F151" s="3"/>
      <c r="G151" s="3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2"/>
      <c r="Y151" s="2"/>
      <c r="Z151" s="2"/>
      <c r="AA151" s="2"/>
      <c r="AB151" s="2"/>
    </row>
    <row r="152" ht="12.75" customHeight="1">
      <c r="A152" s="2"/>
      <c r="B152" s="2"/>
      <c r="C152" s="2"/>
      <c r="D152" s="3"/>
      <c r="E152" s="3"/>
      <c r="F152" s="3"/>
      <c r="G152" s="3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2"/>
      <c r="Y152" s="2"/>
      <c r="Z152" s="2"/>
      <c r="AA152" s="2"/>
      <c r="AB152" s="2"/>
    </row>
    <row r="153" ht="12.75" customHeight="1">
      <c r="A153" s="2"/>
      <c r="B153" s="2"/>
      <c r="C153" s="2"/>
      <c r="D153" s="3"/>
      <c r="E153" s="3"/>
      <c r="F153" s="3"/>
      <c r="G153" s="3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2"/>
      <c r="Y153" s="2"/>
      <c r="Z153" s="2"/>
      <c r="AA153" s="2"/>
      <c r="AB153" s="2"/>
    </row>
    <row r="154" ht="12.75" customHeight="1">
      <c r="A154" s="2"/>
      <c r="B154" s="2"/>
      <c r="C154" s="2"/>
      <c r="D154" s="3"/>
      <c r="E154" s="3"/>
      <c r="F154" s="3"/>
      <c r="G154" s="3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2"/>
      <c r="Y154" s="2"/>
      <c r="Z154" s="2"/>
      <c r="AA154" s="2"/>
      <c r="AB154" s="2"/>
    </row>
    <row r="155" ht="12.75" customHeight="1">
      <c r="A155" s="2"/>
      <c r="B155" s="2"/>
      <c r="C155" s="2"/>
      <c r="D155" s="3"/>
      <c r="E155" s="3"/>
      <c r="F155" s="3"/>
      <c r="G155" s="3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2"/>
      <c r="Y155" s="2"/>
      <c r="Z155" s="2"/>
      <c r="AA155" s="2"/>
      <c r="AB155" s="2"/>
    </row>
    <row r="156" ht="12.75" customHeight="1">
      <c r="A156" s="2"/>
      <c r="B156" s="2"/>
      <c r="C156" s="2"/>
      <c r="D156" s="3"/>
      <c r="E156" s="3"/>
      <c r="F156" s="3"/>
      <c r="G156" s="3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2"/>
      <c r="Y156" s="2"/>
      <c r="Z156" s="2"/>
      <c r="AA156" s="2"/>
      <c r="AB156" s="2"/>
    </row>
    <row r="157" ht="12.75" customHeight="1">
      <c r="A157" s="2"/>
      <c r="B157" s="2"/>
      <c r="C157" s="2"/>
      <c r="D157" s="3"/>
      <c r="E157" s="3"/>
      <c r="F157" s="3"/>
      <c r="G157" s="3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2"/>
      <c r="Y157" s="2"/>
      <c r="Z157" s="2"/>
      <c r="AA157" s="2"/>
      <c r="AB157" s="2"/>
    </row>
    <row r="158" ht="12.75" customHeight="1">
      <c r="A158" s="2"/>
      <c r="B158" s="2"/>
      <c r="C158" s="2"/>
      <c r="D158" s="3"/>
      <c r="E158" s="3"/>
      <c r="F158" s="3"/>
      <c r="G158" s="3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2"/>
      <c r="Y158" s="2"/>
      <c r="Z158" s="2"/>
      <c r="AA158" s="2"/>
      <c r="AB158" s="2"/>
    </row>
    <row r="159" ht="12.75" customHeight="1">
      <c r="A159" s="2"/>
      <c r="B159" s="2"/>
      <c r="C159" s="2"/>
      <c r="D159" s="3"/>
      <c r="E159" s="3"/>
      <c r="F159" s="3"/>
      <c r="G159" s="3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2"/>
      <c r="Y159" s="2"/>
      <c r="Z159" s="2"/>
      <c r="AA159" s="2"/>
      <c r="AB159" s="2"/>
    </row>
    <row r="160" ht="12.75" customHeight="1">
      <c r="A160" s="2"/>
      <c r="B160" s="2"/>
      <c r="C160" s="2"/>
      <c r="D160" s="3"/>
      <c r="E160" s="3"/>
      <c r="F160" s="3"/>
      <c r="G160" s="3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2"/>
      <c r="Y160" s="2"/>
      <c r="Z160" s="2"/>
      <c r="AA160" s="2"/>
      <c r="AB160" s="2"/>
    </row>
    <row r="161" ht="12.75" customHeight="1">
      <c r="A161" s="2"/>
      <c r="B161" s="2"/>
      <c r="C161" s="2"/>
      <c r="D161" s="3"/>
      <c r="E161" s="3"/>
      <c r="F161" s="3"/>
      <c r="G161" s="3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2"/>
      <c r="Y161" s="2"/>
      <c r="Z161" s="2"/>
      <c r="AA161" s="2"/>
      <c r="AB161" s="2"/>
    </row>
    <row r="162" ht="12.75" customHeight="1">
      <c r="A162" s="2"/>
      <c r="B162" s="2"/>
      <c r="C162" s="2"/>
      <c r="D162" s="3"/>
      <c r="E162" s="3"/>
      <c r="F162" s="3"/>
      <c r="G162" s="3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2"/>
      <c r="Y162" s="2"/>
      <c r="Z162" s="2"/>
      <c r="AA162" s="2"/>
      <c r="AB162" s="2"/>
    </row>
    <row r="163" ht="12.75" customHeight="1">
      <c r="A163" s="2"/>
      <c r="B163" s="2"/>
      <c r="C163" s="2"/>
      <c r="D163" s="3"/>
      <c r="E163" s="3"/>
      <c r="F163" s="3"/>
      <c r="G163" s="3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2"/>
      <c r="Y163" s="2"/>
      <c r="Z163" s="2"/>
      <c r="AA163" s="2"/>
      <c r="AB163" s="2"/>
    </row>
    <row r="164" ht="12.75" customHeight="1">
      <c r="A164" s="2"/>
      <c r="B164" s="2"/>
      <c r="C164" s="2"/>
      <c r="D164" s="3"/>
      <c r="E164" s="3"/>
      <c r="F164" s="3"/>
      <c r="G164" s="3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2"/>
      <c r="Y164" s="2"/>
      <c r="Z164" s="2"/>
      <c r="AA164" s="2"/>
      <c r="AB164" s="2"/>
    </row>
    <row r="165" ht="12.75" customHeight="1">
      <c r="A165" s="2"/>
      <c r="B165" s="2"/>
      <c r="C165" s="2"/>
      <c r="D165" s="3"/>
      <c r="E165" s="3"/>
      <c r="F165" s="3"/>
      <c r="G165" s="3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2"/>
      <c r="Y165" s="2"/>
      <c r="Z165" s="2"/>
      <c r="AA165" s="2"/>
      <c r="AB165" s="2"/>
    </row>
    <row r="166" ht="12.75" customHeight="1">
      <c r="A166" s="2"/>
      <c r="B166" s="2"/>
      <c r="C166" s="2"/>
      <c r="D166" s="3"/>
      <c r="E166" s="3"/>
      <c r="F166" s="3"/>
      <c r="G166" s="3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2"/>
      <c r="Y166" s="2"/>
      <c r="Z166" s="2"/>
      <c r="AA166" s="2"/>
      <c r="AB166" s="2"/>
    </row>
    <row r="167" ht="12.75" customHeight="1">
      <c r="A167" s="2"/>
      <c r="B167" s="2"/>
      <c r="C167" s="2"/>
      <c r="D167" s="3"/>
      <c r="E167" s="3"/>
      <c r="F167" s="3"/>
      <c r="G167" s="3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2"/>
      <c r="Y167" s="2"/>
      <c r="Z167" s="2"/>
      <c r="AA167" s="2"/>
      <c r="AB167" s="2"/>
    </row>
    <row r="168" ht="12.75" customHeight="1">
      <c r="A168" s="2"/>
      <c r="B168" s="2"/>
      <c r="C168" s="2"/>
      <c r="D168" s="3"/>
      <c r="E168" s="3"/>
      <c r="F168" s="3"/>
      <c r="G168" s="3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2"/>
      <c r="Y168" s="2"/>
      <c r="Z168" s="2"/>
      <c r="AA168" s="2"/>
      <c r="AB168" s="2"/>
    </row>
    <row r="169" ht="12.75" customHeight="1">
      <c r="A169" s="2"/>
      <c r="B169" s="2"/>
      <c r="C169" s="2"/>
      <c r="D169" s="3"/>
      <c r="E169" s="3"/>
      <c r="F169" s="3"/>
      <c r="G169" s="3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2"/>
      <c r="Y169" s="2"/>
      <c r="Z169" s="2"/>
      <c r="AA169" s="2"/>
      <c r="AB169" s="2"/>
    </row>
    <row r="170" ht="12.75" customHeight="1">
      <c r="A170" s="2"/>
      <c r="B170" s="2"/>
      <c r="C170" s="2"/>
      <c r="D170" s="3"/>
      <c r="E170" s="3"/>
      <c r="F170" s="3"/>
      <c r="G170" s="3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2"/>
      <c r="Y170" s="2"/>
      <c r="Z170" s="2"/>
      <c r="AA170" s="2"/>
      <c r="AB170" s="2"/>
    </row>
    <row r="171" ht="12.75" customHeight="1">
      <c r="A171" s="2"/>
      <c r="B171" s="2"/>
      <c r="C171" s="2"/>
      <c r="D171" s="3"/>
      <c r="E171" s="3"/>
      <c r="F171" s="3"/>
      <c r="G171" s="3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2"/>
      <c r="Y171" s="2"/>
      <c r="Z171" s="2"/>
      <c r="AA171" s="2"/>
      <c r="AB171" s="2"/>
    </row>
    <row r="172" ht="12.75" customHeight="1">
      <c r="A172" s="2"/>
      <c r="B172" s="2"/>
      <c r="C172" s="2"/>
      <c r="D172" s="3"/>
      <c r="E172" s="3"/>
      <c r="F172" s="3"/>
      <c r="G172" s="3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"/>
      <c r="Y172" s="2"/>
      <c r="Z172" s="2"/>
      <c r="AA172" s="2"/>
      <c r="AB172" s="2"/>
    </row>
    <row r="173" ht="12.75" customHeight="1">
      <c r="A173" s="2"/>
      <c r="B173" s="2"/>
      <c r="C173" s="2"/>
      <c r="D173" s="3"/>
      <c r="E173" s="3"/>
      <c r="F173" s="3"/>
      <c r="G173" s="3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"/>
      <c r="Y173" s="2"/>
      <c r="Z173" s="2"/>
      <c r="AA173" s="2"/>
      <c r="AB173" s="2"/>
    </row>
    <row r="174" ht="12.75" customHeight="1">
      <c r="A174" s="2"/>
      <c r="B174" s="2"/>
      <c r="C174" s="2"/>
      <c r="D174" s="3"/>
      <c r="E174" s="3"/>
      <c r="F174" s="3"/>
      <c r="G174" s="3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"/>
      <c r="Y174" s="2"/>
      <c r="Z174" s="2"/>
      <c r="AA174" s="2"/>
      <c r="AB174" s="2"/>
    </row>
    <row r="175" ht="12.75" customHeight="1">
      <c r="A175" s="2"/>
      <c r="B175" s="2"/>
      <c r="C175" s="2"/>
      <c r="D175" s="3"/>
      <c r="E175" s="3"/>
      <c r="F175" s="3"/>
      <c r="G175" s="3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"/>
      <c r="Y175" s="2"/>
      <c r="Z175" s="2"/>
      <c r="AA175" s="2"/>
      <c r="AB175" s="2"/>
    </row>
    <row r="176" ht="12.75" customHeight="1">
      <c r="A176" s="2"/>
      <c r="B176" s="2"/>
      <c r="C176" s="2"/>
      <c r="D176" s="3"/>
      <c r="E176" s="3"/>
      <c r="F176" s="3"/>
      <c r="G176" s="3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"/>
      <c r="Y176" s="2"/>
      <c r="Z176" s="2"/>
      <c r="AA176" s="2"/>
      <c r="AB176" s="2"/>
    </row>
    <row r="177" ht="12.75" customHeight="1">
      <c r="A177" s="2"/>
      <c r="B177" s="2"/>
      <c r="C177" s="2"/>
      <c r="D177" s="3"/>
      <c r="E177" s="3"/>
      <c r="F177" s="3"/>
      <c r="G177" s="3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"/>
      <c r="Y177" s="2"/>
      <c r="Z177" s="2"/>
      <c r="AA177" s="2"/>
      <c r="AB177" s="2"/>
    </row>
    <row r="178" ht="12.75" customHeight="1">
      <c r="A178" s="2"/>
      <c r="B178" s="2"/>
      <c r="C178" s="2"/>
      <c r="D178" s="3"/>
      <c r="E178" s="3"/>
      <c r="F178" s="3"/>
      <c r="G178" s="3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2"/>
      <c r="Y178" s="2"/>
      <c r="Z178" s="2"/>
      <c r="AA178" s="2"/>
      <c r="AB178" s="2"/>
    </row>
    <row r="179" ht="12.75" customHeight="1">
      <c r="A179" s="2"/>
      <c r="B179" s="2"/>
      <c r="C179" s="2"/>
      <c r="D179" s="3"/>
      <c r="E179" s="3"/>
      <c r="F179" s="3"/>
      <c r="G179" s="3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2"/>
      <c r="Y179" s="2"/>
      <c r="Z179" s="2"/>
      <c r="AA179" s="2"/>
      <c r="AB179" s="2"/>
    </row>
    <row r="180" ht="12.75" customHeight="1">
      <c r="A180" s="2"/>
      <c r="B180" s="2"/>
      <c r="C180" s="2"/>
      <c r="D180" s="3"/>
      <c r="E180" s="3"/>
      <c r="F180" s="3"/>
      <c r="G180" s="3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2"/>
      <c r="Y180" s="2"/>
      <c r="Z180" s="2"/>
      <c r="AA180" s="2"/>
      <c r="AB180" s="2"/>
    </row>
    <row r="181" ht="12.75" customHeight="1">
      <c r="A181" s="2"/>
      <c r="B181" s="2"/>
      <c r="C181" s="2"/>
      <c r="D181" s="3"/>
      <c r="E181" s="3"/>
      <c r="F181" s="3"/>
      <c r="G181" s="3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2"/>
      <c r="Y181" s="2"/>
      <c r="Z181" s="2"/>
      <c r="AA181" s="2"/>
      <c r="AB181" s="2"/>
    </row>
    <row r="182" ht="12.75" customHeight="1">
      <c r="A182" s="2"/>
      <c r="B182" s="2"/>
      <c r="C182" s="2"/>
      <c r="D182" s="3"/>
      <c r="E182" s="3"/>
      <c r="F182" s="3"/>
      <c r="G182" s="3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2"/>
      <c r="Y182" s="2"/>
      <c r="Z182" s="2"/>
      <c r="AA182" s="2"/>
      <c r="AB182" s="2"/>
    </row>
    <row r="183" ht="12.75" customHeight="1">
      <c r="A183" s="2"/>
      <c r="B183" s="2"/>
      <c r="C183" s="2"/>
      <c r="D183" s="3"/>
      <c r="E183" s="3"/>
      <c r="F183" s="3"/>
      <c r="G183" s="3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2"/>
      <c r="Y183" s="2"/>
      <c r="Z183" s="2"/>
      <c r="AA183" s="2"/>
      <c r="AB183" s="2"/>
    </row>
    <row r="184" ht="12.75" customHeight="1">
      <c r="A184" s="2"/>
      <c r="B184" s="2"/>
      <c r="C184" s="2"/>
      <c r="D184" s="3"/>
      <c r="E184" s="3"/>
      <c r="F184" s="3"/>
      <c r="G184" s="3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2"/>
      <c r="Y184" s="2"/>
      <c r="Z184" s="2"/>
      <c r="AA184" s="2"/>
      <c r="AB184" s="2"/>
    </row>
    <row r="185" ht="12.75" customHeight="1">
      <c r="A185" s="2"/>
      <c r="B185" s="2"/>
      <c r="C185" s="2"/>
      <c r="D185" s="3"/>
      <c r="E185" s="3"/>
      <c r="F185" s="3"/>
      <c r="G185" s="3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2"/>
      <c r="Y185" s="2"/>
      <c r="Z185" s="2"/>
      <c r="AA185" s="2"/>
      <c r="AB185" s="2"/>
    </row>
    <row r="186" ht="12.75" customHeight="1">
      <c r="A186" s="2"/>
      <c r="B186" s="2"/>
      <c r="C186" s="2"/>
      <c r="D186" s="3"/>
      <c r="E186" s="3"/>
      <c r="F186" s="3"/>
      <c r="G186" s="3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2"/>
      <c r="Y186" s="2"/>
      <c r="Z186" s="2"/>
      <c r="AA186" s="2"/>
      <c r="AB186" s="2"/>
    </row>
    <row r="187" ht="12.75" customHeight="1">
      <c r="A187" s="2"/>
      <c r="B187" s="2"/>
      <c r="C187" s="2"/>
      <c r="D187" s="3"/>
      <c r="E187" s="3"/>
      <c r="F187" s="3"/>
      <c r="G187" s="3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2"/>
      <c r="Y187" s="2"/>
      <c r="Z187" s="2"/>
      <c r="AA187" s="2"/>
      <c r="AB187" s="2"/>
    </row>
    <row r="188" ht="12.75" customHeight="1">
      <c r="A188" s="2"/>
      <c r="B188" s="2"/>
      <c r="C188" s="2"/>
      <c r="D188" s="3"/>
      <c r="E188" s="3"/>
      <c r="F188" s="3"/>
      <c r="G188" s="3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2"/>
      <c r="Y188" s="2"/>
      <c r="Z188" s="2"/>
      <c r="AA188" s="2"/>
      <c r="AB188" s="2"/>
    </row>
    <row r="189" ht="12.75" customHeight="1">
      <c r="A189" s="2"/>
      <c r="B189" s="2"/>
      <c r="C189" s="2"/>
      <c r="D189" s="3"/>
      <c r="E189" s="3"/>
      <c r="F189" s="3"/>
      <c r="G189" s="3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2"/>
      <c r="Y189" s="2"/>
      <c r="Z189" s="2"/>
      <c r="AA189" s="2"/>
      <c r="AB189" s="2"/>
    </row>
    <row r="190" ht="12.75" customHeight="1">
      <c r="A190" s="2"/>
      <c r="B190" s="2"/>
      <c r="C190" s="2"/>
      <c r="D190" s="3"/>
      <c r="E190" s="3"/>
      <c r="F190" s="3"/>
      <c r="G190" s="3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2"/>
      <c r="Y190" s="2"/>
      <c r="Z190" s="2"/>
      <c r="AA190" s="2"/>
      <c r="AB190" s="2"/>
    </row>
    <row r="191" ht="12.75" customHeight="1">
      <c r="A191" s="2"/>
      <c r="B191" s="2"/>
      <c r="C191" s="2"/>
      <c r="D191" s="3"/>
      <c r="E191" s="3"/>
      <c r="F191" s="3"/>
      <c r="G191" s="3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2"/>
      <c r="Y191" s="2"/>
      <c r="Z191" s="2"/>
      <c r="AA191" s="2"/>
      <c r="AB191" s="2"/>
    </row>
    <row r="192" ht="12.75" customHeight="1">
      <c r="A192" s="2"/>
      <c r="B192" s="2"/>
      <c r="C192" s="2"/>
      <c r="D192" s="3"/>
      <c r="E192" s="3"/>
      <c r="F192" s="3"/>
      <c r="G192" s="3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2"/>
      <c r="Y192" s="2"/>
      <c r="Z192" s="2"/>
      <c r="AA192" s="2"/>
      <c r="AB192" s="2"/>
    </row>
    <row r="193" ht="12.75" customHeight="1">
      <c r="A193" s="2"/>
      <c r="B193" s="2"/>
      <c r="C193" s="2"/>
      <c r="D193" s="3"/>
      <c r="E193" s="3"/>
      <c r="F193" s="3"/>
      <c r="G193" s="3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2"/>
      <c r="Y193" s="2"/>
      <c r="Z193" s="2"/>
      <c r="AA193" s="2"/>
      <c r="AB193" s="2"/>
    </row>
    <row r="194" ht="12.75" customHeight="1">
      <c r="A194" s="2"/>
      <c r="B194" s="2"/>
      <c r="C194" s="2"/>
      <c r="D194" s="3"/>
      <c r="E194" s="3"/>
      <c r="F194" s="3"/>
      <c r="G194" s="3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2"/>
      <c r="Y194" s="2"/>
      <c r="Z194" s="2"/>
      <c r="AA194" s="2"/>
      <c r="AB194" s="2"/>
    </row>
    <row r="195" ht="12.75" customHeight="1">
      <c r="A195" s="2"/>
      <c r="B195" s="2"/>
      <c r="C195" s="2"/>
      <c r="D195" s="3"/>
      <c r="E195" s="3"/>
      <c r="F195" s="3"/>
      <c r="G195" s="3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2"/>
      <c r="Y195" s="2"/>
      <c r="Z195" s="2"/>
      <c r="AA195" s="2"/>
      <c r="AB195" s="2"/>
    </row>
    <row r="196" ht="12.75" customHeight="1">
      <c r="A196" s="2"/>
      <c r="B196" s="2"/>
      <c r="C196" s="2"/>
      <c r="D196" s="3"/>
      <c r="E196" s="3"/>
      <c r="F196" s="3"/>
      <c r="G196" s="3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2"/>
      <c r="Y196" s="2"/>
      <c r="Z196" s="2"/>
      <c r="AA196" s="2"/>
      <c r="AB196" s="2"/>
    </row>
    <row r="197" ht="12.75" customHeight="1">
      <c r="A197" s="2"/>
      <c r="B197" s="2"/>
      <c r="C197" s="2"/>
      <c r="D197" s="3"/>
      <c r="E197" s="3"/>
      <c r="F197" s="3"/>
      <c r="G197" s="3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2"/>
      <c r="Y197" s="2"/>
      <c r="Z197" s="2"/>
      <c r="AA197" s="2"/>
      <c r="AB197" s="2"/>
    </row>
    <row r="198" ht="12.75" customHeight="1">
      <c r="A198" s="2"/>
      <c r="B198" s="2"/>
      <c r="C198" s="2"/>
      <c r="D198" s="3"/>
      <c r="E198" s="3"/>
      <c r="F198" s="3"/>
      <c r="G198" s="3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2"/>
      <c r="Y198" s="2"/>
      <c r="Z198" s="2"/>
      <c r="AA198" s="2"/>
      <c r="AB198" s="2"/>
    </row>
    <row r="199" ht="12.75" customHeight="1">
      <c r="A199" s="2"/>
      <c r="B199" s="2"/>
      <c r="C199" s="2"/>
      <c r="D199" s="3"/>
      <c r="E199" s="3"/>
      <c r="F199" s="3"/>
      <c r="G199" s="3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2"/>
      <c r="Y199" s="2"/>
      <c r="Z199" s="2"/>
      <c r="AA199" s="2"/>
      <c r="AB199" s="2"/>
    </row>
    <row r="200" ht="12.75" customHeight="1">
      <c r="A200" s="2"/>
      <c r="B200" s="2"/>
      <c r="C200" s="2"/>
      <c r="D200" s="3"/>
      <c r="E200" s="3"/>
      <c r="F200" s="3"/>
      <c r="G200" s="3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2"/>
      <c r="Y200" s="2"/>
      <c r="Z200" s="2"/>
      <c r="AA200" s="2"/>
      <c r="AB200" s="2"/>
    </row>
    <row r="201" ht="12.75" customHeight="1">
      <c r="A201" s="2"/>
      <c r="B201" s="2"/>
      <c r="C201" s="2"/>
      <c r="D201" s="3"/>
      <c r="E201" s="3"/>
      <c r="F201" s="3"/>
      <c r="G201" s="3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2"/>
      <c r="Y201" s="2"/>
      <c r="Z201" s="2"/>
      <c r="AA201" s="2"/>
      <c r="AB201" s="2"/>
    </row>
    <row r="202" ht="12.75" customHeight="1">
      <c r="A202" s="2"/>
      <c r="B202" s="2"/>
      <c r="C202" s="2"/>
      <c r="D202" s="3"/>
      <c r="E202" s="3"/>
      <c r="F202" s="3"/>
      <c r="G202" s="3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2"/>
      <c r="Y202" s="2"/>
      <c r="Z202" s="2"/>
      <c r="AA202" s="2"/>
      <c r="AB202" s="2"/>
    </row>
    <row r="203" ht="12.75" customHeight="1">
      <c r="A203" s="2"/>
      <c r="B203" s="2"/>
      <c r="C203" s="2"/>
      <c r="D203" s="3"/>
      <c r="E203" s="3"/>
      <c r="F203" s="3"/>
      <c r="G203" s="3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2"/>
      <c r="Y203" s="2"/>
      <c r="Z203" s="2"/>
      <c r="AA203" s="2"/>
      <c r="AB203" s="2"/>
    </row>
    <row r="204" ht="12.75" customHeight="1">
      <c r="A204" s="2"/>
      <c r="B204" s="2"/>
      <c r="C204" s="2"/>
      <c r="D204" s="3"/>
      <c r="E204" s="3"/>
      <c r="F204" s="3"/>
      <c r="G204" s="3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2"/>
      <c r="Y204" s="2"/>
      <c r="Z204" s="2"/>
      <c r="AA204" s="2"/>
      <c r="AB204" s="2"/>
    </row>
    <row r="205" ht="12.75" customHeight="1">
      <c r="A205" s="2"/>
      <c r="B205" s="2"/>
      <c r="C205" s="2"/>
      <c r="D205" s="3"/>
      <c r="E205" s="3"/>
      <c r="F205" s="3"/>
      <c r="G205" s="3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2"/>
      <c r="Y205" s="2"/>
      <c r="Z205" s="2"/>
      <c r="AA205" s="2"/>
      <c r="AB205" s="2"/>
    </row>
    <row r="206" ht="12.75" customHeight="1">
      <c r="A206" s="2"/>
      <c r="B206" s="2"/>
      <c r="C206" s="2"/>
      <c r="D206" s="3"/>
      <c r="E206" s="3"/>
      <c r="F206" s="3"/>
      <c r="G206" s="3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2"/>
      <c r="Y206" s="2"/>
      <c r="Z206" s="2"/>
      <c r="AA206" s="2"/>
      <c r="AB206" s="2"/>
    </row>
    <row r="207" ht="12.75" customHeight="1">
      <c r="A207" s="2"/>
      <c r="B207" s="2"/>
      <c r="C207" s="2"/>
      <c r="D207" s="3"/>
      <c r="E207" s="3"/>
      <c r="F207" s="3"/>
      <c r="G207" s="3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2"/>
      <c r="Y207" s="2"/>
      <c r="Z207" s="2"/>
      <c r="AA207" s="2"/>
      <c r="AB207" s="2"/>
    </row>
    <row r="208" ht="12.75" customHeight="1">
      <c r="A208" s="2"/>
      <c r="B208" s="2"/>
      <c r="C208" s="2"/>
      <c r="D208" s="3"/>
      <c r="E208" s="3"/>
      <c r="F208" s="3"/>
      <c r="G208" s="3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2"/>
      <c r="Y208" s="2"/>
      <c r="Z208" s="2"/>
      <c r="AA208" s="2"/>
      <c r="AB208" s="2"/>
    </row>
    <row r="209" ht="12.75" customHeight="1">
      <c r="A209" s="2"/>
      <c r="B209" s="2"/>
      <c r="C209" s="2"/>
      <c r="D209" s="3"/>
      <c r="E209" s="3"/>
      <c r="F209" s="3"/>
      <c r="G209" s="3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2"/>
      <c r="Y209" s="2"/>
      <c r="Z209" s="2"/>
      <c r="AA209" s="2"/>
      <c r="AB209" s="2"/>
    </row>
    <row r="210" ht="12.75" customHeight="1">
      <c r="A210" s="2"/>
      <c r="B210" s="2"/>
      <c r="C210" s="2"/>
      <c r="D210" s="3"/>
      <c r="E210" s="3"/>
      <c r="F210" s="3"/>
      <c r="G210" s="3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2"/>
      <c r="Y210" s="2"/>
      <c r="Z210" s="2"/>
      <c r="AA210" s="2"/>
      <c r="AB210" s="2"/>
    </row>
    <row r="211" ht="12.75" customHeight="1">
      <c r="A211" s="2"/>
      <c r="B211" s="2"/>
      <c r="C211" s="2"/>
      <c r="D211" s="3"/>
      <c r="E211" s="3"/>
      <c r="F211" s="3"/>
      <c r="G211" s="3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2"/>
      <c r="Y211" s="2"/>
      <c r="Z211" s="2"/>
      <c r="AA211" s="2"/>
      <c r="AB211" s="2"/>
    </row>
    <row r="212" ht="12.75" customHeight="1">
      <c r="A212" s="2"/>
      <c r="B212" s="2"/>
      <c r="C212" s="2"/>
      <c r="D212" s="3"/>
      <c r="E212" s="3"/>
      <c r="F212" s="3"/>
      <c r="G212" s="3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2"/>
      <c r="Y212" s="2"/>
      <c r="Z212" s="2"/>
      <c r="AA212" s="2"/>
      <c r="AB212" s="2"/>
    </row>
    <row r="213" ht="12.75" customHeight="1">
      <c r="A213" s="2"/>
      <c r="B213" s="2"/>
      <c r="C213" s="2"/>
      <c r="D213" s="3"/>
      <c r="E213" s="3"/>
      <c r="F213" s="3"/>
      <c r="G213" s="3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2"/>
      <c r="Y213" s="2"/>
      <c r="Z213" s="2"/>
      <c r="AA213" s="2"/>
      <c r="AB213" s="2"/>
    </row>
    <row r="214" ht="12.75" customHeight="1">
      <c r="A214" s="2"/>
      <c r="B214" s="2"/>
      <c r="C214" s="2"/>
      <c r="D214" s="3"/>
      <c r="E214" s="3"/>
      <c r="F214" s="3"/>
      <c r="G214" s="3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2"/>
      <c r="Y214" s="2"/>
      <c r="Z214" s="2"/>
      <c r="AA214" s="2"/>
      <c r="AB214" s="2"/>
    </row>
    <row r="215" ht="12.75" customHeight="1">
      <c r="A215" s="2"/>
      <c r="B215" s="2"/>
      <c r="C215" s="2"/>
      <c r="D215" s="3"/>
      <c r="E215" s="3"/>
      <c r="F215" s="3"/>
      <c r="G215" s="3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2"/>
      <c r="Y215" s="2"/>
      <c r="Z215" s="2"/>
      <c r="AA215" s="2"/>
      <c r="AB215" s="2"/>
    </row>
    <row r="216" ht="12.75" customHeight="1">
      <c r="A216" s="2"/>
      <c r="B216" s="2"/>
      <c r="C216" s="2"/>
      <c r="D216" s="3"/>
      <c r="E216" s="3"/>
      <c r="F216" s="3"/>
      <c r="G216" s="3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2"/>
      <c r="Y216" s="2"/>
      <c r="Z216" s="2"/>
      <c r="AA216" s="2"/>
      <c r="AB216" s="2"/>
    </row>
    <row r="217" ht="12.75" customHeight="1">
      <c r="A217" s="2"/>
      <c r="B217" s="2"/>
      <c r="C217" s="2"/>
      <c r="D217" s="3"/>
      <c r="E217" s="3"/>
      <c r="F217" s="3"/>
      <c r="G217" s="3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"/>
      <c r="Y217" s="2"/>
      <c r="Z217" s="2"/>
      <c r="AA217" s="2"/>
      <c r="AB217" s="2"/>
    </row>
    <row r="218" ht="12.75" customHeight="1">
      <c r="A218" s="2"/>
      <c r="B218" s="2"/>
      <c r="C218" s="2"/>
      <c r="D218" s="3"/>
      <c r="E218" s="3"/>
      <c r="F218" s="3"/>
      <c r="G218" s="3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2"/>
      <c r="Y218" s="2"/>
      <c r="Z218" s="2"/>
      <c r="AA218" s="2"/>
      <c r="AB218" s="2"/>
    </row>
    <row r="219" ht="12.75" customHeight="1">
      <c r="A219" s="2"/>
      <c r="B219" s="2"/>
      <c r="C219" s="2"/>
      <c r="D219" s="3"/>
      <c r="E219" s="3"/>
      <c r="F219" s="3"/>
      <c r="G219" s="3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2"/>
      <c r="Y219" s="2"/>
      <c r="Z219" s="2"/>
      <c r="AA219" s="2"/>
      <c r="AB219" s="2"/>
    </row>
    <row r="220" ht="12.75" customHeight="1">
      <c r="A220" s="2"/>
      <c r="B220" s="2"/>
      <c r="C220" s="2"/>
      <c r="D220" s="3"/>
      <c r="E220" s="3"/>
      <c r="F220" s="3"/>
      <c r="G220" s="3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2"/>
      <c r="Y220" s="2"/>
      <c r="Z220" s="2"/>
      <c r="AA220" s="2"/>
      <c r="AB220" s="2"/>
    </row>
    <row r="221" ht="12.75" customHeight="1">
      <c r="A221" s="2"/>
      <c r="B221" s="2"/>
      <c r="C221" s="2"/>
      <c r="D221" s="3"/>
      <c r="E221" s="3"/>
      <c r="F221" s="3"/>
      <c r="G221" s="3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2"/>
      <c r="Y221" s="2"/>
      <c r="Z221" s="2"/>
      <c r="AA221" s="2"/>
      <c r="AB221" s="2"/>
    </row>
    <row r="222" ht="12.75" customHeight="1">
      <c r="A222" s="2"/>
      <c r="B222" s="2"/>
      <c r="C222" s="2"/>
      <c r="D222" s="3"/>
      <c r="E222" s="3"/>
      <c r="F222" s="3"/>
      <c r="G222" s="3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2"/>
      <c r="Y222" s="2"/>
      <c r="Z222" s="2"/>
      <c r="AA222" s="2"/>
      <c r="AB222" s="2"/>
    </row>
    <row r="223" ht="12.75" customHeight="1">
      <c r="A223" s="2"/>
      <c r="B223" s="2"/>
      <c r="C223" s="2"/>
      <c r="D223" s="3"/>
      <c r="E223" s="3"/>
      <c r="F223" s="3"/>
      <c r="G223" s="3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2"/>
      <c r="Y223" s="2"/>
      <c r="Z223" s="2"/>
      <c r="AA223" s="2"/>
      <c r="AB223" s="2"/>
    </row>
    <row r="224" ht="12.75" customHeight="1">
      <c r="A224" s="2"/>
      <c r="B224" s="2"/>
      <c r="C224" s="2"/>
      <c r="D224" s="3"/>
      <c r="E224" s="3"/>
      <c r="F224" s="3"/>
      <c r="G224" s="3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2"/>
      <c r="Y224" s="2"/>
      <c r="Z224" s="2"/>
      <c r="AA224" s="2"/>
      <c r="AB224" s="2"/>
    </row>
    <row r="225" ht="12.75" customHeight="1">
      <c r="A225" s="2"/>
      <c r="B225" s="2"/>
      <c r="C225" s="2"/>
      <c r="D225" s="3"/>
      <c r="E225" s="3"/>
      <c r="F225" s="3"/>
      <c r="G225" s="3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2"/>
      <c r="Y225" s="2"/>
      <c r="Z225" s="2"/>
      <c r="AA225" s="2"/>
      <c r="AB225" s="2"/>
    </row>
    <row r="226" ht="12.75" customHeight="1">
      <c r="A226" s="2"/>
      <c r="B226" s="2"/>
      <c r="C226" s="2"/>
      <c r="D226" s="3"/>
      <c r="E226" s="3"/>
      <c r="F226" s="3"/>
      <c r="G226" s="3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2"/>
      <c r="Y226" s="2"/>
      <c r="Z226" s="2"/>
      <c r="AA226" s="2"/>
      <c r="AB226" s="2"/>
    </row>
    <row r="227" ht="12.75" customHeight="1">
      <c r="A227" s="2"/>
      <c r="B227" s="2"/>
      <c r="C227" s="2"/>
      <c r="D227" s="3"/>
      <c r="E227" s="3"/>
      <c r="F227" s="3"/>
      <c r="G227" s="3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2"/>
      <c r="Y227" s="2"/>
      <c r="Z227" s="2"/>
      <c r="AA227" s="2"/>
      <c r="AB227" s="2"/>
    </row>
    <row r="228" ht="12.75" customHeight="1">
      <c r="A228" s="2"/>
      <c r="B228" s="2"/>
      <c r="C228" s="2"/>
      <c r="D228" s="3"/>
      <c r="E228" s="3"/>
      <c r="F228" s="3"/>
      <c r="G228" s="3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2"/>
      <c r="Y228" s="2"/>
      <c r="Z228" s="2"/>
      <c r="AA228" s="2"/>
      <c r="AB228" s="2"/>
    </row>
    <row r="229" ht="12.75" customHeight="1">
      <c r="A229" s="2"/>
      <c r="B229" s="2"/>
      <c r="C229" s="2"/>
      <c r="D229" s="3"/>
      <c r="E229" s="3"/>
      <c r="F229" s="3"/>
      <c r="G229" s="3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2"/>
      <c r="Y229" s="2"/>
      <c r="Z229" s="2"/>
      <c r="AA229" s="2"/>
      <c r="AB229" s="2"/>
    </row>
    <row r="230" ht="12.75" customHeight="1">
      <c r="A230" s="2"/>
      <c r="B230" s="2"/>
      <c r="C230" s="2"/>
      <c r="D230" s="3"/>
      <c r="E230" s="3"/>
      <c r="F230" s="3"/>
      <c r="G230" s="3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2"/>
      <c r="Y230" s="2"/>
      <c r="Z230" s="2"/>
      <c r="AA230" s="2"/>
      <c r="AB230" s="2"/>
    </row>
    <row r="231" ht="12.75" customHeight="1">
      <c r="A231" s="2"/>
      <c r="B231" s="2"/>
      <c r="C231" s="2"/>
      <c r="D231" s="3"/>
      <c r="E231" s="3"/>
      <c r="F231" s="3"/>
      <c r="G231" s="3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2"/>
      <c r="Y231" s="2"/>
      <c r="Z231" s="2"/>
      <c r="AA231" s="2"/>
      <c r="AB231" s="2"/>
    </row>
    <row r="232" ht="12.75" customHeight="1">
      <c r="A232" s="2"/>
      <c r="B232" s="2"/>
      <c r="C232" s="2"/>
      <c r="D232" s="3"/>
      <c r="E232" s="3"/>
      <c r="F232" s="3"/>
      <c r="G232" s="3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2"/>
      <c r="Y232" s="2"/>
      <c r="Z232" s="2"/>
      <c r="AA232" s="2"/>
      <c r="AB232" s="2"/>
    </row>
    <row r="233" ht="12.75" customHeight="1">
      <c r="A233" s="2"/>
      <c r="B233" s="2"/>
      <c r="C233" s="2"/>
      <c r="D233" s="3"/>
      <c r="E233" s="3"/>
      <c r="F233" s="3"/>
      <c r="G233" s="3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2"/>
      <c r="Y233" s="2"/>
      <c r="Z233" s="2"/>
      <c r="AA233" s="2"/>
      <c r="AB233" s="2"/>
    </row>
    <row r="234" ht="12.75" customHeight="1">
      <c r="A234" s="2"/>
      <c r="B234" s="2"/>
      <c r="C234" s="2"/>
      <c r="D234" s="3"/>
      <c r="E234" s="3"/>
      <c r="F234" s="3"/>
      <c r="G234" s="3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2"/>
      <c r="Y234" s="2"/>
      <c r="Z234" s="2"/>
      <c r="AA234" s="2"/>
      <c r="AB234" s="2"/>
    </row>
    <row r="235" ht="12.75" customHeight="1">
      <c r="A235" s="2"/>
      <c r="B235" s="2"/>
      <c r="C235" s="2"/>
      <c r="D235" s="3"/>
      <c r="E235" s="3"/>
      <c r="F235" s="3"/>
      <c r="G235" s="3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2"/>
      <c r="Y235" s="2"/>
      <c r="Z235" s="2"/>
      <c r="AA235" s="2"/>
      <c r="AB235" s="2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</row>
  </sheetData>
  <printOptions/>
  <pageMargins bottom="0.75" footer="0.0" header="0.0" left="0.7" right="0.7" top="0.75"/>
  <pageSetup paperSize="9" scale="63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0"/>
    <col customWidth="1" min="3" max="3" width="27.86"/>
    <col customWidth="1" min="4" max="4" width="10.86"/>
    <col customWidth="1" min="5" max="5" width="8.29"/>
    <col customWidth="1" min="6" max="6" width="4.43"/>
    <col customWidth="1" min="7" max="7" width="8.71"/>
    <col customWidth="1" min="8" max="8" width="3.43"/>
    <col customWidth="1" min="9" max="9" width="8.0"/>
    <col customWidth="1" min="10" max="20" width="7.86"/>
    <col customWidth="1" min="21" max="21" width="8.71"/>
    <col customWidth="1" min="22" max="22" width="9.57"/>
    <col customWidth="1" min="23" max="23" width="10.0"/>
    <col customWidth="1" min="24" max="28" width="9.0"/>
  </cols>
  <sheetData>
    <row r="1" ht="12.75" customHeight="1">
      <c r="A1" s="1" t="s">
        <v>0</v>
      </c>
      <c r="B1" s="2"/>
      <c r="C1" s="2"/>
      <c r="D1" s="3"/>
      <c r="E1" s="3"/>
      <c r="F1" s="3"/>
      <c r="G1" s="3"/>
      <c r="H1" s="4"/>
      <c r="I1" s="1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2"/>
      <c r="Y1" s="2"/>
      <c r="Z1" s="6"/>
      <c r="AA1" s="2"/>
      <c r="AB1" s="6"/>
    </row>
    <row r="2" ht="12.75" customHeight="1">
      <c r="A2" s="1"/>
      <c r="B2" s="2"/>
      <c r="C2" s="2"/>
      <c r="D2" s="3"/>
      <c r="E2" s="3"/>
      <c r="F2" s="3"/>
      <c r="G2" s="3"/>
      <c r="H2" s="4"/>
      <c r="I2" s="1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2"/>
      <c r="Y2" s="2"/>
      <c r="Z2" s="6"/>
      <c r="AA2" s="2"/>
      <c r="AB2" s="6"/>
    </row>
    <row r="3" ht="12.75" customHeight="1">
      <c r="A3" s="7" t="s">
        <v>48</v>
      </c>
      <c r="B3" s="2"/>
      <c r="C3" s="2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2"/>
      <c r="Y3" s="2"/>
      <c r="Z3" s="6"/>
      <c r="AA3" s="2"/>
      <c r="AB3" s="6"/>
    </row>
    <row r="4" ht="12.75" customHeight="1">
      <c r="A4" s="29" t="s">
        <v>2</v>
      </c>
      <c r="B4" s="29" t="s">
        <v>3</v>
      </c>
      <c r="C4" s="29" t="s">
        <v>4</v>
      </c>
      <c r="D4" s="30" t="s">
        <v>5</v>
      </c>
      <c r="E4" s="30" t="s">
        <v>6</v>
      </c>
      <c r="F4" s="30" t="s">
        <v>20</v>
      </c>
      <c r="G4" s="30" t="s">
        <v>8</v>
      </c>
      <c r="H4" s="31" t="s">
        <v>9</v>
      </c>
      <c r="I4" s="11">
        <v>44286.0</v>
      </c>
      <c r="J4" s="11">
        <v>44316.0</v>
      </c>
      <c r="K4" s="11">
        <v>44347.0</v>
      </c>
      <c r="L4" s="11">
        <v>44377.0</v>
      </c>
      <c r="M4" s="11">
        <v>44408.0</v>
      </c>
      <c r="N4" s="11">
        <v>44439.0</v>
      </c>
      <c r="O4" s="11">
        <v>44469.0</v>
      </c>
      <c r="P4" s="11">
        <v>44500.0</v>
      </c>
      <c r="Q4" s="11">
        <v>44530.0</v>
      </c>
      <c r="R4" s="11">
        <v>44561.0</v>
      </c>
      <c r="S4" s="11">
        <v>44592.0</v>
      </c>
      <c r="T4" s="11">
        <v>44620.0</v>
      </c>
      <c r="U4" s="26" t="s">
        <v>10</v>
      </c>
      <c r="V4" s="11" t="s">
        <v>11</v>
      </c>
      <c r="W4" s="11" t="s">
        <v>49</v>
      </c>
      <c r="X4" s="2"/>
      <c r="Y4" s="2"/>
      <c r="Z4" s="6"/>
      <c r="AA4" s="2"/>
      <c r="AB4" s="6"/>
    </row>
    <row r="5" ht="12.75" customHeight="1">
      <c r="A5" s="12"/>
      <c r="B5" s="12"/>
      <c r="C5" s="2"/>
      <c r="D5" s="3"/>
      <c r="E5" s="3"/>
      <c r="F5" s="3"/>
      <c r="G5" s="3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2"/>
      <c r="Y5" s="2"/>
      <c r="Z5" s="6"/>
      <c r="AA5" s="2"/>
      <c r="AB5" s="6"/>
    </row>
    <row r="6" ht="12.75" customHeight="1">
      <c r="A6" s="13" t="s">
        <v>13</v>
      </c>
      <c r="B6" s="2"/>
      <c r="C6" s="2"/>
      <c r="D6" s="3"/>
      <c r="E6" s="14"/>
      <c r="F6" s="3"/>
      <c r="G6" s="3"/>
      <c r="H6" s="4"/>
      <c r="I6" s="13" t="str">
        <f>+A6</f>
        <v>6100&gt;020 (Computer Equipment&gt;Cost)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"/>
      <c r="Y6" s="2"/>
      <c r="Z6" s="6"/>
      <c r="AA6" s="2"/>
      <c r="AB6" s="6"/>
    </row>
    <row r="7" ht="12.75" customHeight="1">
      <c r="A7" s="8"/>
      <c r="B7" s="2"/>
      <c r="C7" s="2"/>
      <c r="D7" s="3"/>
      <c r="E7" s="14"/>
      <c r="F7" s="3"/>
      <c r="G7" s="3"/>
      <c r="H7" s="4">
        <v>3.0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2"/>
      <c r="Y7" s="2"/>
      <c r="Z7" s="6"/>
      <c r="AA7" s="2"/>
      <c r="AB7" s="6"/>
    </row>
    <row r="8" ht="12.75" customHeight="1">
      <c r="A8" s="15">
        <v>42825.0</v>
      </c>
      <c r="B8" s="16">
        <v>18431.0</v>
      </c>
      <c r="C8" s="7" t="s">
        <v>14</v>
      </c>
      <c r="D8" s="17">
        <f>'FAR21'!G8</f>
        <v>16077.6</v>
      </c>
      <c r="E8" s="17"/>
      <c r="F8" s="3"/>
      <c r="G8" s="3">
        <f t="shared" ref="G8:G12" si="1">+D8+E8-F8</f>
        <v>16077.6</v>
      </c>
      <c r="H8" s="4"/>
      <c r="I8" s="28">
        <v>0.0</v>
      </c>
      <c r="J8" s="28">
        <v>0.0</v>
      </c>
      <c r="K8" s="28">
        <v>0.0</v>
      </c>
      <c r="L8" s="28">
        <v>0.0</v>
      </c>
      <c r="M8" s="28">
        <v>0.0</v>
      </c>
      <c r="N8" s="28">
        <v>0.0</v>
      </c>
      <c r="O8" s="28">
        <v>0.0</v>
      </c>
      <c r="P8" s="28">
        <v>0.0</v>
      </c>
      <c r="Q8" s="28">
        <v>0.0</v>
      </c>
      <c r="R8" s="28">
        <v>0.0</v>
      </c>
      <c r="S8" s="28">
        <v>0.0</v>
      </c>
      <c r="T8" s="28">
        <v>0.0</v>
      </c>
      <c r="U8" s="28">
        <f t="shared" ref="U8:U12" si="2">SUM(I8:T8)</f>
        <v>0</v>
      </c>
      <c r="V8" s="3">
        <f>'FAR21'!V8+U8</f>
        <v>16077.6</v>
      </c>
      <c r="W8" s="3">
        <f t="shared" ref="W8:W12" si="3">+G8-V8</f>
        <v>0</v>
      </c>
      <c r="X8" s="2"/>
      <c r="Y8" s="2"/>
      <c r="Z8" s="6"/>
      <c r="AA8" s="2"/>
      <c r="AB8" s="6"/>
    </row>
    <row r="9" ht="12.75" customHeight="1">
      <c r="A9" s="15">
        <v>42825.0</v>
      </c>
      <c r="B9" s="16">
        <v>18431.0</v>
      </c>
      <c r="C9" s="7" t="s">
        <v>15</v>
      </c>
      <c r="D9" s="17">
        <f>'FAR21'!G9</f>
        <v>10078.8</v>
      </c>
      <c r="E9" s="17"/>
      <c r="F9" s="3"/>
      <c r="G9" s="3">
        <f t="shared" si="1"/>
        <v>10078.8</v>
      </c>
      <c r="H9" s="4"/>
      <c r="I9" s="28">
        <v>0.0</v>
      </c>
      <c r="J9" s="28">
        <v>0.0</v>
      </c>
      <c r="K9" s="28">
        <v>0.0</v>
      </c>
      <c r="L9" s="28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  <c r="S9" s="28">
        <v>0.0</v>
      </c>
      <c r="T9" s="28">
        <v>0.0</v>
      </c>
      <c r="U9" s="28">
        <f t="shared" si="2"/>
        <v>0</v>
      </c>
      <c r="V9" s="3">
        <f>'FAR21'!V9+U9</f>
        <v>10078.8</v>
      </c>
      <c r="W9" s="3">
        <f t="shared" si="3"/>
        <v>0</v>
      </c>
      <c r="X9" s="2"/>
      <c r="Y9" s="2"/>
      <c r="Z9" s="6"/>
      <c r="AA9" s="2"/>
      <c r="AB9" s="6"/>
    </row>
    <row r="10" ht="12.75" customHeight="1">
      <c r="A10" s="15">
        <v>43046.0</v>
      </c>
      <c r="B10" s="16" t="s">
        <v>16</v>
      </c>
      <c r="C10" s="7" t="s">
        <v>17</v>
      </c>
      <c r="D10" s="17">
        <f>'FAR21'!G10</f>
        <v>52651</v>
      </c>
      <c r="E10" s="17"/>
      <c r="F10" s="3"/>
      <c r="G10" s="3">
        <f t="shared" si="1"/>
        <v>52651</v>
      </c>
      <c r="H10" s="4"/>
      <c r="I10" s="28">
        <v>0.0</v>
      </c>
      <c r="J10" s="28">
        <v>0.0</v>
      </c>
      <c r="K10" s="28">
        <v>0.0</v>
      </c>
      <c r="L10" s="28">
        <v>0.0</v>
      </c>
      <c r="M10" s="28">
        <v>0.0</v>
      </c>
      <c r="N10" s="28">
        <v>0.0</v>
      </c>
      <c r="O10" s="28">
        <v>0.0</v>
      </c>
      <c r="P10" s="28">
        <v>0.0</v>
      </c>
      <c r="Q10" s="28">
        <v>0.0</v>
      </c>
      <c r="R10" s="28">
        <v>0.0</v>
      </c>
      <c r="S10" s="28">
        <v>0.0</v>
      </c>
      <c r="T10" s="28">
        <v>0.0</v>
      </c>
      <c r="U10" s="28">
        <f t="shared" si="2"/>
        <v>0</v>
      </c>
      <c r="V10" s="3">
        <f>'FAR21'!V10+U10</f>
        <v>52651.00364</v>
      </c>
      <c r="W10" s="3">
        <f t="shared" si="3"/>
        <v>-0.003637747337</v>
      </c>
      <c r="X10" s="2"/>
      <c r="Y10" s="2"/>
      <c r="Z10" s="6"/>
      <c r="AA10" s="2"/>
      <c r="AB10" s="6"/>
    </row>
    <row r="11" ht="12.75" customHeight="1">
      <c r="A11" s="15">
        <v>43160.0</v>
      </c>
      <c r="B11" s="16">
        <v>21643.0</v>
      </c>
      <c r="C11" s="7" t="s">
        <v>30</v>
      </c>
      <c r="D11" s="17">
        <f>'FAR21'!G11</f>
        <v>92322.7</v>
      </c>
      <c r="E11" s="17"/>
      <c r="F11" s="3"/>
      <c r="G11" s="3">
        <f t="shared" si="1"/>
        <v>92322.7</v>
      </c>
      <c r="H11" s="4"/>
      <c r="I11" s="28">
        <v>0.0</v>
      </c>
      <c r="J11" s="28">
        <v>0.0</v>
      </c>
      <c r="K11" s="28">
        <v>0.0</v>
      </c>
      <c r="L11" s="28">
        <v>0.0</v>
      </c>
      <c r="M11" s="28">
        <v>0.0</v>
      </c>
      <c r="N11" s="28">
        <v>0.0</v>
      </c>
      <c r="O11" s="28">
        <v>0.0</v>
      </c>
      <c r="P11" s="28">
        <v>0.0</v>
      </c>
      <c r="Q11" s="28">
        <v>0.0</v>
      </c>
      <c r="R11" s="28">
        <v>0.0</v>
      </c>
      <c r="S11" s="28">
        <v>0.0</v>
      </c>
      <c r="T11" s="28">
        <v>0.0</v>
      </c>
      <c r="U11" s="28">
        <f t="shared" si="2"/>
        <v>0</v>
      </c>
      <c r="V11" s="3">
        <f>'FAR21'!V11+U11</f>
        <v>92322.7</v>
      </c>
      <c r="W11" s="3">
        <f t="shared" si="3"/>
        <v>0</v>
      </c>
      <c r="X11" s="2"/>
      <c r="Y11" s="2"/>
      <c r="Z11" s="6"/>
      <c r="AA11" s="2"/>
      <c r="AB11" s="6"/>
    </row>
    <row r="12" ht="12.75" customHeight="1">
      <c r="A12" s="19">
        <v>44144.0</v>
      </c>
      <c r="B12" s="32" t="s">
        <v>45</v>
      </c>
      <c r="C12" s="13" t="s">
        <v>46</v>
      </c>
      <c r="D12" s="17">
        <f>'FAR21'!G12</f>
        <v>92565.27</v>
      </c>
      <c r="E12" s="17"/>
      <c r="F12" s="3"/>
      <c r="G12" s="3">
        <f t="shared" si="1"/>
        <v>92565.27</v>
      </c>
      <c r="H12" s="4"/>
      <c r="I12" s="3">
        <f t="shared" ref="I12:T12" si="4">+$G12/$H$7/12</f>
        <v>2571.2575</v>
      </c>
      <c r="J12" s="3">
        <f t="shared" si="4"/>
        <v>2571.2575</v>
      </c>
      <c r="K12" s="3">
        <f t="shared" si="4"/>
        <v>2571.2575</v>
      </c>
      <c r="L12" s="3">
        <f t="shared" si="4"/>
        <v>2571.2575</v>
      </c>
      <c r="M12" s="3">
        <f t="shared" si="4"/>
        <v>2571.2575</v>
      </c>
      <c r="N12" s="3">
        <f t="shared" si="4"/>
        <v>2571.2575</v>
      </c>
      <c r="O12" s="3">
        <f t="shared" si="4"/>
        <v>2571.2575</v>
      </c>
      <c r="P12" s="3">
        <f t="shared" si="4"/>
        <v>2571.2575</v>
      </c>
      <c r="Q12" s="3">
        <f t="shared" si="4"/>
        <v>2571.2575</v>
      </c>
      <c r="R12" s="3">
        <f t="shared" si="4"/>
        <v>2571.2575</v>
      </c>
      <c r="S12" s="3">
        <f t="shared" si="4"/>
        <v>2571.2575</v>
      </c>
      <c r="T12" s="3">
        <f t="shared" si="4"/>
        <v>2571.2575</v>
      </c>
      <c r="U12" s="28">
        <f t="shared" si="2"/>
        <v>30855.09</v>
      </c>
      <c r="V12" s="3">
        <f>'FAR21'!V12+U12</f>
        <v>30855.09</v>
      </c>
      <c r="W12" s="3">
        <f t="shared" si="3"/>
        <v>61710.18</v>
      </c>
      <c r="X12" s="2"/>
      <c r="Y12" s="2"/>
      <c r="Z12" s="6"/>
      <c r="AA12" s="2"/>
      <c r="AB12" s="6"/>
    </row>
    <row r="13" ht="12.75" customHeight="1">
      <c r="A13" s="19" t="s">
        <v>50</v>
      </c>
      <c r="B13" s="18"/>
      <c r="C13" s="7"/>
      <c r="D13" s="3"/>
      <c r="E13" s="17"/>
      <c r="F13" s="3"/>
      <c r="G13" s="3"/>
      <c r="H13" s="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  <c r="Y13" s="2"/>
      <c r="Z13" s="6"/>
      <c r="AA13" s="2"/>
      <c r="AB13" s="2"/>
    </row>
    <row r="14" ht="12.75" customHeight="1">
      <c r="A14" s="19"/>
      <c r="B14" s="20"/>
      <c r="C14" s="13"/>
      <c r="D14" s="21">
        <f t="shared" ref="D14:E14" si="5">SUM(D6:D13)</f>
        <v>263695.37</v>
      </c>
      <c r="E14" s="21">
        <f t="shared" si="5"/>
        <v>0</v>
      </c>
      <c r="F14" s="22"/>
      <c r="G14" s="22">
        <f>SUM(G8:G13)</f>
        <v>263695.37</v>
      </c>
      <c r="H14" s="4"/>
      <c r="I14" s="22">
        <f t="shared" ref="I14:W14" si="6">SUM(I8:I13)</f>
        <v>2571.2575</v>
      </c>
      <c r="J14" s="22">
        <f t="shared" si="6"/>
        <v>2571.2575</v>
      </c>
      <c r="K14" s="22">
        <f t="shared" si="6"/>
        <v>2571.2575</v>
      </c>
      <c r="L14" s="22">
        <f t="shared" si="6"/>
        <v>2571.2575</v>
      </c>
      <c r="M14" s="22">
        <f t="shared" si="6"/>
        <v>2571.2575</v>
      </c>
      <c r="N14" s="22">
        <f t="shared" si="6"/>
        <v>2571.2575</v>
      </c>
      <c r="O14" s="22">
        <f t="shared" si="6"/>
        <v>2571.2575</v>
      </c>
      <c r="P14" s="22">
        <f t="shared" si="6"/>
        <v>2571.2575</v>
      </c>
      <c r="Q14" s="22">
        <f t="shared" si="6"/>
        <v>2571.2575</v>
      </c>
      <c r="R14" s="22">
        <f t="shared" si="6"/>
        <v>2571.2575</v>
      </c>
      <c r="S14" s="22">
        <f t="shared" si="6"/>
        <v>2571.2575</v>
      </c>
      <c r="T14" s="22">
        <f t="shared" si="6"/>
        <v>2571.2575</v>
      </c>
      <c r="U14" s="22">
        <f t="shared" si="6"/>
        <v>30855.09</v>
      </c>
      <c r="V14" s="22">
        <f t="shared" si="6"/>
        <v>201985.1936</v>
      </c>
      <c r="W14" s="22">
        <f t="shared" si="6"/>
        <v>61710.17636</v>
      </c>
      <c r="X14" s="2"/>
      <c r="Y14" s="2"/>
      <c r="Z14" s="6"/>
      <c r="AA14" s="23"/>
      <c r="AB14" s="23"/>
    </row>
    <row r="15" ht="12.75" customHeight="1">
      <c r="A15" s="15"/>
      <c r="B15" s="18"/>
      <c r="C15" s="7"/>
      <c r="D15" s="3"/>
      <c r="E15" s="17"/>
      <c r="F15" s="3"/>
      <c r="G15" s="3"/>
      <c r="H15" s="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  <c r="Y15" s="2"/>
      <c r="Z15" s="6"/>
      <c r="AA15" s="2"/>
      <c r="AB15" s="2"/>
    </row>
    <row r="16" ht="12.75" customHeight="1">
      <c r="A16" s="8" t="s">
        <v>2</v>
      </c>
      <c r="B16" s="8" t="s">
        <v>3</v>
      </c>
      <c r="C16" s="8" t="s">
        <v>4</v>
      </c>
      <c r="D16" s="9" t="s">
        <v>18</v>
      </c>
      <c r="E16" s="9" t="s">
        <v>6</v>
      </c>
      <c r="F16" s="9" t="s">
        <v>20</v>
      </c>
      <c r="G16" s="9" t="s">
        <v>8</v>
      </c>
      <c r="H16" s="10" t="s">
        <v>9</v>
      </c>
      <c r="I16" s="11">
        <v>44286.0</v>
      </c>
      <c r="J16" s="11">
        <v>44316.0</v>
      </c>
      <c r="K16" s="11">
        <v>44347.0</v>
      </c>
      <c r="L16" s="11">
        <v>44377.0</v>
      </c>
      <c r="M16" s="11">
        <v>44408.0</v>
      </c>
      <c r="N16" s="11">
        <v>44439.0</v>
      </c>
      <c r="O16" s="11">
        <v>44469.0</v>
      </c>
      <c r="P16" s="11">
        <v>44500.0</v>
      </c>
      <c r="Q16" s="11">
        <v>44530.0</v>
      </c>
      <c r="R16" s="11">
        <v>44561.0</v>
      </c>
      <c r="S16" s="11">
        <v>44592.0</v>
      </c>
      <c r="T16" s="11">
        <v>44255.0</v>
      </c>
      <c r="U16" s="11" t="s">
        <v>10</v>
      </c>
      <c r="V16" s="11" t="s">
        <v>11</v>
      </c>
      <c r="W16" s="11" t="s">
        <v>49</v>
      </c>
      <c r="X16" s="2"/>
      <c r="Y16" s="2"/>
      <c r="Z16" s="6"/>
      <c r="AA16" s="2"/>
      <c r="AB16" s="6"/>
    </row>
    <row r="17" ht="12.75" customHeight="1">
      <c r="A17" s="13" t="s">
        <v>21</v>
      </c>
      <c r="B17" s="2"/>
      <c r="C17" s="2"/>
      <c r="D17" s="14"/>
      <c r="E17" s="3"/>
      <c r="F17" s="3"/>
      <c r="G17" s="3"/>
      <c r="H17" s="4" t="s">
        <v>22</v>
      </c>
      <c r="I17" s="13" t="str">
        <f>+A17</f>
        <v>6200&gt;020 (Furniture &amp; Fittings&gt;Cost)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2"/>
      <c r="Z17" s="2"/>
      <c r="AA17" s="2"/>
      <c r="AB17" s="2"/>
    </row>
    <row r="18" ht="12.75" customHeight="1">
      <c r="A18" s="8"/>
      <c r="B18" s="2"/>
      <c r="C18" s="2"/>
      <c r="D18" s="14"/>
      <c r="E18" s="3"/>
      <c r="F18" s="3"/>
      <c r="G18" s="3"/>
      <c r="H18" s="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2"/>
      <c r="Y18" s="2"/>
      <c r="Z18" s="2"/>
      <c r="AA18" s="2"/>
      <c r="AB18" s="2"/>
    </row>
    <row r="19" ht="12.75" customHeight="1">
      <c r="A19" s="15">
        <v>42836.0</v>
      </c>
      <c r="B19" s="16">
        <v>30110.0</v>
      </c>
      <c r="C19" s="7" t="s">
        <v>23</v>
      </c>
      <c r="D19" s="17">
        <f>'FAR21'!G19</f>
        <v>52250</v>
      </c>
      <c r="E19" s="3"/>
      <c r="F19" s="3"/>
      <c r="G19" s="3">
        <f t="shared" ref="G19:G24" si="8">+D19+E19-F19</f>
        <v>52250</v>
      </c>
      <c r="H19" s="4"/>
      <c r="I19" s="3">
        <f t="shared" ref="I19:T19" si="7">+$G19/$H$17/12</f>
        <v>725.6944444</v>
      </c>
      <c r="J19" s="3">
        <f t="shared" si="7"/>
        <v>725.6944444</v>
      </c>
      <c r="K19" s="3">
        <f t="shared" si="7"/>
        <v>725.6944444</v>
      </c>
      <c r="L19" s="3">
        <f t="shared" si="7"/>
        <v>725.6944444</v>
      </c>
      <c r="M19" s="3">
        <f t="shared" si="7"/>
        <v>725.6944444</v>
      </c>
      <c r="N19" s="3">
        <f t="shared" si="7"/>
        <v>725.6944444</v>
      </c>
      <c r="O19" s="3">
        <f t="shared" si="7"/>
        <v>725.6944444</v>
      </c>
      <c r="P19" s="3">
        <f t="shared" si="7"/>
        <v>725.6944444</v>
      </c>
      <c r="Q19" s="3">
        <f t="shared" si="7"/>
        <v>725.6944444</v>
      </c>
      <c r="R19" s="3">
        <f t="shared" si="7"/>
        <v>725.6944444</v>
      </c>
      <c r="S19" s="3">
        <f t="shared" si="7"/>
        <v>725.6944444</v>
      </c>
      <c r="T19" s="3">
        <f t="shared" si="7"/>
        <v>725.6944444</v>
      </c>
      <c r="U19" s="3">
        <f t="shared" ref="U19:U24" si="10">SUM(I19:T19)</f>
        <v>8708.333333</v>
      </c>
      <c r="V19" s="3">
        <f>'FAR21'!V19+U19</f>
        <v>42543.58828</v>
      </c>
      <c r="W19" s="3">
        <f t="shared" ref="W19:W24" si="11">+G19-V19</f>
        <v>9706.41172</v>
      </c>
      <c r="X19" s="2"/>
      <c r="Y19" s="2"/>
      <c r="Z19" s="2"/>
      <c r="AA19" s="2"/>
      <c r="AB19" s="2"/>
    </row>
    <row r="20" ht="12.75" customHeight="1">
      <c r="A20" s="15">
        <v>43165.0</v>
      </c>
      <c r="B20" s="16" t="s">
        <v>31</v>
      </c>
      <c r="C20" s="7" t="s">
        <v>32</v>
      </c>
      <c r="D20" s="17">
        <f>'FAR21'!G20</f>
        <v>44144</v>
      </c>
      <c r="E20" s="3"/>
      <c r="F20" s="3"/>
      <c r="G20" s="3">
        <f t="shared" si="8"/>
        <v>44144</v>
      </c>
      <c r="H20" s="4"/>
      <c r="I20" s="3">
        <f t="shared" ref="I20:T20" si="9">+$G20/$H$17/12</f>
        <v>613.1111111</v>
      </c>
      <c r="J20" s="3">
        <f t="shared" si="9"/>
        <v>613.1111111</v>
      </c>
      <c r="K20" s="3">
        <f t="shared" si="9"/>
        <v>613.1111111</v>
      </c>
      <c r="L20" s="3">
        <f t="shared" si="9"/>
        <v>613.1111111</v>
      </c>
      <c r="M20" s="3">
        <f t="shared" si="9"/>
        <v>613.1111111</v>
      </c>
      <c r="N20" s="3">
        <f t="shared" si="9"/>
        <v>613.1111111</v>
      </c>
      <c r="O20" s="3">
        <f t="shared" si="9"/>
        <v>613.1111111</v>
      </c>
      <c r="P20" s="3">
        <f t="shared" si="9"/>
        <v>613.1111111</v>
      </c>
      <c r="Q20" s="3">
        <f t="shared" si="9"/>
        <v>613.1111111</v>
      </c>
      <c r="R20" s="3">
        <f t="shared" si="9"/>
        <v>613.1111111</v>
      </c>
      <c r="S20" s="3">
        <f t="shared" si="9"/>
        <v>613.1111111</v>
      </c>
      <c r="T20" s="3">
        <f t="shared" si="9"/>
        <v>613.1111111</v>
      </c>
      <c r="U20" s="3">
        <f t="shared" si="10"/>
        <v>7357.333333</v>
      </c>
      <c r="V20" s="3">
        <f>'FAR21'!V20+U20</f>
        <v>29320.14916</v>
      </c>
      <c r="W20" s="3">
        <f t="shared" si="11"/>
        <v>14823.85084</v>
      </c>
      <c r="X20" s="2"/>
      <c r="Y20" s="2"/>
      <c r="Z20" s="2"/>
      <c r="AA20" s="2"/>
      <c r="AB20" s="2"/>
    </row>
    <row r="21" ht="12.75" customHeight="1">
      <c r="A21" s="15">
        <v>43179.0</v>
      </c>
      <c r="B21" s="16">
        <v>32006.0</v>
      </c>
      <c r="C21" s="7" t="s">
        <v>33</v>
      </c>
      <c r="D21" s="17">
        <f>'FAR21'!G21</f>
        <v>19430</v>
      </c>
      <c r="E21" s="3"/>
      <c r="F21" s="3"/>
      <c r="G21" s="3">
        <f t="shared" si="8"/>
        <v>19430</v>
      </c>
      <c r="H21" s="4"/>
      <c r="I21" s="3">
        <f t="shared" ref="I21:T21" si="12">+$G21/$H$17/12</f>
        <v>269.8611111</v>
      </c>
      <c r="J21" s="3">
        <f t="shared" si="12"/>
        <v>269.8611111</v>
      </c>
      <c r="K21" s="3">
        <f t="shared" si="12"/>
        <v>269.8611111</v>
      </c>
      <c r="L21" s="3">
        <f t="shared" si="12"/>
        <v>269.8611111</v>
      </c>
      <c r="M21" s="3">
        <f t="shared" si="12"/>
        <v>269.8611111</v>
      </c>
      <c r="N21" s="3">
        <f t="shared" si="12"/>
        <v>269.8611111</v>
      </c>
      <c r="O21" s="3">
        <f t="shared" si="12"/>
        <v>269.8611111</v>
      </c>
      <c r="P21" s="3">
        <f t="shared" si="12"/>
        <v>269.8611111</v>
      </c>
      <c r="Q21" s="3">
        <f t="shared" si="12"/>
        <v>269.8611111</v>
      </c>
      <c r="R21" s="3">
        <f t="shared" si="12"/>
        <v>269.8611111</v>
      </c>
      <c r="S21" s="3">
        <f t="shared" si="12"/>
        <v>269.8611111</v>
      </c>
      <c r="T21" s="3">
        <f t="shared" si="12"/>
        <v>269.8611111</v>
      </c>
      <c r="U21" s="3">
        <f t="shared" si="10"/>
        <v>3238.333333</v>
      </c>
      <c r="V21" s="3">
        <f>'FAR21'!V21+U21</f>
        <v>12781.06583</v>
      </c>
      <c r="W21" s="3">
        <f t="shared" si="11"/>
        <v>6648.93417</v>
      </c>
      <c r="X21" s="2"/>
      <c r="Y21" s="2"/>
      <c r="Z21" s="2"/>
      <c r="AA21" s="2"/>
      <c r="AB21" s="2"/>
    </row>
    <row r="22" ht="12.75" customHeight="1">
      <c r="A22" s="15">
        <v>43578.0</v>
      </c>
      <c r="B22" s="16" t="s">
        <v>36</v>
      </c>
      <c r="C22" s="7" t="s">
        <v>37</v>
      </c>
      <c r="D22" s="17">
        <f>'FAR21'!G22</f>
        <v>26544</v>
      </c>
      <c r="E22" s="3"/>
      <c r="F22" s="3"/>
      <c r="G22" s="3">
        <f t="shared" si="8"/>
        <v>26544</v>
      </c>
      <c r="H22" s="4"/>
      <c r="I22" s="3">
        <f t="shared" ref="I22:T22" si="13">+$G22/$H$17/12</f>
        <v>368.6666667</v>
      </c>
      <c r="J22" s="3">
        <f t="shared" si="13"/>
        <v>368.6666667</v>
      </c>
      <c r="K22" s="3">
        <f t="shared" si="13"/>
        <v>368.6666667</v>
      </c>
      <c r="L22" s="3">
        <f t="shared" si="13"/>
        <v>368.6666667</v>
      </c>
      <c r="M22" s="3">
        <f t="shared" si="13"/>
        <v>368.6666667</v>
      </c>
      <c r="N22" s="3">
        <f t="shared" si="13"/>
        <v>368.6666667</v>
      </c>
      <c r="O22" s="3">
        <f t="shared" si="13"/>
        <v>368.6666667</v>
      </c>
      <c r="P22" s="3">
        <f t="shared" si="13"/>
        <v>368.6666667</v>
      </c>
      <c r="Q22" s="3">
        <f t="shared" si="13"/>
        <v>368.6666667</v>
      </c>
      <c r="R22" s="3">
        <f t="shared" si="13"/>
        <v>368.6666667</v>
      </c>
      <c r="S22" s="3">
        <f t="shared" si="13"/>
        <v>368.6666667</v>
      </c>
      <c r="T22" s="3">
        <f t="shared" si="13"/>
        <v>368.6666667</v>
      </c>
      <c r="U22" s="3">
        <f t="shared" si="10"/>
        <v>4424</v>
      </c>
      <c r="V22" s="3">
        <f>'FAR21'!V22+U22</f>
        <v>12619.5105</v>
      </c>
      <c r="W22" s="3">
        <f t="shared" si="11"/>
        <v>13924.4895</v>
      </c>
      <c r="X22" s="2"/>
      <c r="Y22" s="2"/>
      <c r="Z22" s="2"/>
      <c r="AA22" s="2"/>
      <c r="AB22" s="2"/>
    </row>
    <row r="23" ht="12.75" customHeight="1">
      <c r="A23" s="15">
        <v>43710.0</v>
      </c>
      <c r="B23" s="16">
        <v>34825.0</v>
      </c>
      <c r="C23" s="7" t="s">
        <v>38</v>
      </c>
      <c r="D23" s="17">
        <f>'FAR21'!G23</f>
        <v>15767</v>
      </c>
      <c r="E23" s="3"/>
      <c r="F23" s="3"/>
      <c r="G23" s="3">
        <f t="shared" si="8"/>
        <v>15767</v>
      </c>
      <c r="H23" s="4"/>
      <c r="I23" s="3">
        <f t="shared" ref="I23:T23" si="14">+$G23/$H$17/12</f>
        <v>218.9861111</v>
      </c>
      <c r="J23" s="3">
        <f t="shared" si="14"/>
        <v>218.9861111</v>
      </c>
      <c r="K23" s="3">
        <f t="shared" si="14"/>
        <v>218.9861111</v>
      </c>
      <c r="L23" s="3">
        <f t="shared" si="14"/>
        <v>218.9861111</v>
      </c>
      <c r="M23" s="3">
        <f t="shared" si="14"/>
        <v>218.9861111</v>
      </c>
      <c r="N23" s="3">
        <f t="shared" si="14"/>
        <v>218.9861111</v>
      </c>
      <c r="O23" s="3">
        <f t="shared" si="14"/>
        <v>218.9861111</v>
      </c>
      <c r="P23" s="3">
        <f t="shared" si="14"/>
        <v>218.9861111</v>
      </c>
      <c r="Q23" s="3">
        <f t="shared" si="14"/>
        <v>218.9861111</v>
      </c>
      <c r="R23" s="3">
        <f t="shared" si="14"/>
        <v>218.9861111</v>
      </c>
      <c r="S23" s="3">
        <f t="shared" si="14"/>
        <v>218.9861111</v>
      </c>
      <c r="T23" s="3">
        <f t="shared" si="14"/>
        <v>218.9861111</v>
      </c>
      <c r="U23" s="3">
        <f t="shared" si="10"/>
        <v>2627.833333</v>
      </c>
      <c r="V23" s="3">
        <f>'FAR21'!V23+U23</f>
        <v>6569.583333</v>
      </c>
      <c r="W23" s="3">
        <f t="shared" si="11"/>
        <v>9197.416667</v>
      </c>
      <c r="X23" s="2"/>
      <c r="Y23" s="2"/>
      <c r="Z23" s="2"/>
      <c r="AA23" s="2"/>
      <c r="AB23" s="2"/>
    </row>
    <row r="24" ht="12.75" customHeight="1">
      <c r="A24" s="15">
        <v>43710.0</v>
      </c>
      <c r="B24" s="16">
        <v>34825.0</v>
      </c>
      <c r="C24" s="7" t="s">
        <v>39</v>
      </c>
      <c r="D24" s="17">
        <f>'FAR21'!G24</f>
        <v>25647</v>
      </c>
      <c r="E24" s="17"/>
      <c r="F24" s="3"/>
      <c r="G24" s="3">
        <f t="shared" si="8"/>
        <v>25647</v>
      </c>
      <c r="H24" s="4"/>
      <c r="I24" s="3">
        <f t="shared" ref="I24:T24" si="15">+$G24/$H$17/12</f>
        <v>356.2083333</v>
      </c>
      <c r="J24" s="3">
        <f t="shared" si="15"/>
        <v>356.2083333</v>
      </c>
      <c r="K24" s="3">
        <f t="shared" si="15"/>
        <v>356.2083333</v>
      </c>
      <c r="L24" s="3">
        <f t="shared" si="15"/>
        <v>356.2083333</v>
      </c>
      <c r="M24" s="3">
        <f t="shared" si="15"/>
        <v>356.2083333</v>
      </c>
      <c r="N24" s="3">
        <f t="shared" si="15"/>
        <v>356.2083333</v>
      </c>
      <c r="O24" s="3">
        <f t="shared" si="15"/>
        <v>356.2083333</v>
      </c>
      <c r="P24" s="3">
        <f t="shared" si="15"/>
        <v>356.2083333</v>
      </c>
      <c r="Q24" s="3">
        <f t="shared" si="15"/>
        <v>356.2083333</v>
      </c>
      <c r="R24" s="3">
        <f t="shared" si="15"/>
        <v>356.2083333</v>
      </c>
      <c r="S24" s="3">
        <f t="shared" si="15"/>
        <v>356.2083333</v>
      </c>
      <c r="T24" s="3">
        <f t="shared" si="15"/>
        <v>356.2083333</v>
      </c>
      <c r="U24" s="3">
        <f t="shared" si="10"/>
        <v>4274.5</v>
      </c>
      <c r="V24" s="3">
        <f>'FAR21'!V24+U24</f>
        <v>10686.25</v>
      </c>
      <c r="W24" s="3">
        <f t="shared" si="11"/>
        <v>14960.75</v>
      </c>
      <c r="X24" s="2"/>
      <c r="Y24" s="2"/>
      <c r="Z24" s="2"/>
      <c r="AA24" s="2"/>
      <c r="AB24" s="2"/>
    </row>
    <row r="25" ht="12.75" customHeight="1">
      <c r="A25" s="15"/>
      <c r="B25" s="16"/>
      <c r="C25" s="7"/>
      <c r="D25" s="3"/>
      <c r="E25" s="17"/>
      <c r="F25" s="3"/>
      <c r="G25" s="3"/>
      <c r="H25" s="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2"/>
      <c r="Y25" s="2"/>
      <c r="Z25" s="2"/>
      <c r="AA25" s="2"/>
      <c r="AB25" s="2"/>
    </row>
    <row r="26" ht="12.75" customHeight="1">
      <c r="A26" s="23"/>
      <c r="B26" s="23"/>
      <c r="C26" s="23"/>
      <c r="D26" s="22">
        <f t="shared" ref="D26:E26" si="16">SUM(D17:D25)</f>
        <v>183782</v>
      </c>
      <c r="E26" s="22">
        <f t="shared" si="16"/>
        <v>0</v>
      </c>
      <c r="F26" s="22">
        <f>SUM(F17:F24)</f>
        <v>0</v>
      </c>
      <c r="G26" s="22">
        <f>SUM(D26:F26)</f>
        <v>183782</v>
      </c>
      <c r="H26" s="4"/>
      <c r="I26" s="22">
        <f t="shared" ref="I26:W26" si="17">SUM(I19:I25)</f>
        <v>2552.527778</v>
      </c>
      <c r="J26" s="22">
        <f t="shared" si="17"/>
        <v>2552.527778</v>
      </c>
      <c r="K26" s="22">
        <f t="shared" si="17"/>
        <v>2552.527778</v>
      </c>
      <c r="L26" s="22">
        <f t="shared" si="17"/>
        <v>2552.527778</v>
      </c>
      <c r="M26" s="22">
        <f t="shared" si="17"/>
        <v>2552.527778</v>
      </c>
      <c r="N26" s="22">
        <f t="shared" si="17"/>
        <v>2552.527778</v>
      </c>
      <c r="O26" s="22">
        <f t="shared" si="17"/>
        <v>2552.527778</v>
      </c>
      <c r="P26" s="22">
        <f t="shared" si="17"/>
        <v>2552.527778</v>
      </c>
      <c r="Q26" s="22">
        <f t="shared" si="17"/>
        <v>2552.527778</v>
      </c>
      <c r="R26" s="22">
        <f t="shared" si="17"/>
        <v>2552.527778</v>
      </c>
      <c r="S26" s="22">
        <f t="shared" si="17"/>
        <v>2552.527778</v>
      </c>
      <c r="T26" s="22">
        <f t="shared" si="17"/>
        <v>2552.527778</v>
      </c>
      <c r="U26" s="22">
        <f t="shared" si="17"/>
        <v>30630.33333</v>
      </c>
      <c r="V26" s="22">
        <f t="shared" si="17"/>
        <v>114520.1471</v>
      </c>
      <c r="W26" s="22">
        <f t="shared" si="17"/>
        <v>69261.85289</v>
      </c>
      <c r="X26" s="2"/>
      <c r="Y26" s="23"/>
      <c r="Z26" s="23"/>
      <c r="AA26" s="23"/>
      <c r="AB26" s="23"/>
    </row>
    <row r="27" ht="12.75" customHeight="1">
      <c r="A27" s="23"/>
      <c r="B27" s="23"/>
      <c r="C27" s="23"/>
      <c r="D27" s="24"/>
      <c r="E27" s="24"/>
      <c r="F27" s="24"/>
      <c r="G27" s="24"/>
      <c r="H27" s="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"/>
      <c r="Y27" s="23"/>
      <c r="Z27" s="23"/>
      <c r="AA27" s="23"/>
      <c r="AB27" s="23"/>
    </row>
    <row r="28" ht="12.75" customHeight="1">
      <c r="A28" s="8" t="s">
        <v>2</v>
      </c>
      <c r="B28" s="8" t="s">
        <v>3</v>
      </c>
      <c r="C28" s="8" t="s">
        <v>4</v>
      </c>
      <c r="D28" s="9" t="s">
        <v>18</v>
      </c>
      <c r="E28" s="9" t="s">
        <v>6</v>
      </c>
      <c r="F28" s="9" t="s">
        <v>20</v>
      </c>
      <c r="G28" s="9" t="s">
        <v>8</v>
      </c>
      <c r="H28" s="10" t="s">
        <v>9</v>
      </c>
      <c r="I28" s="11">
        <v>44286.0</v>
      </c>
      <c r="J28" s="11">
        <v>44316.0</v>
      </c>
      <c r="K28" s="11">
        <v>44347.0</v>
      </c>
      <c r="L28" s="11">
        <v>44377.0</v>
      </c>
      <c r="M28" s="11">
        <v>44408.0</v>
      </c>
      <c r="N28" s="11">
        <v>44439.0</v>
      </c>
      <c r="O28" s="11">
        <v>44469.0</v>
      </c>
      <c r="P28" s="11">
        <v>44500.0</v>
      </c>
      <c r="Q28" s="11">
        <v>44530.0</v>
      </c>
      <c r="R28" s="11">
        <v>44561.0</v>
      </c>
      <c r="S28" s="11">
        <v>44592.0</v>
      </c>
      <c r="T28" s="11">
        <v>44620.0</v>
      </c>
      <c r="U28" s="11" t="s">
        <v>10</v>
      </c>
      <c r="V28" s="11" t="s">
        <v>11</v>
      </c>
      <c r="W28" s="11" t="s">
        <v>49</v>
      </c>
      <c r="X28" s="2"/>
      <c r="Y28" s="2"/>
      <c r="Z28" s="6"/>
      <c r="AA28" s="2"/>
      <c r="AB28" s="6"/>
    </row>
    <row r="29" ht="12.75" customHeight="1">
      <c r="A29" s="13" t="s">
        <v>24</v>
      </c>
      <c r="B29" s="2"/>
      <c r="C29" s="2"/>
      <c r="D29" s="3"/>
      <c r="E29" s="14"/>
      <c r="F29" s="3"/>
      <c r="G29" s="3"/>
      <c r="H29" s="4" t="s">
        <v>25</v>
      </c>
      <c r="I29" s="13" t="str">
        <f>+A29</f>
        <v>6300&gt;020 (Motor Vehicles&gt;Cost)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2"/>
      <c r="Z29" s="2"/>
      <c r="AA29" s="2"/>
      <c r="AB29" s="2"/>
    </row>
    <row r="30" ht="12.75" customHeight="1">
      <c r="A30" s="8"/>
      <c r="B30" s="2"/>
      <c r="C30" s="2"/>
      <c r="D30" s="3"/>
      <c r="E30" s="14"/>
      <c r="F30" s="3"/>
      <c r="G30" s="3"/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2"/>
      <c r="Y30" s="2"/>
      <c r="Z30" s="2"/>
      <c r="AA30" s="2"/>
      <c r="AB30" s="2"/>
    </row>
    <row r="31" ht="12.75" customHeight="1">
      <c r="A31" s="15">
        <v>42860.0</v>
      </c>
      <c r="B31" s="16">
        <v>8.900964E7</v>
      </c>
      <c r="C31" s="7" t="s">
        <v>26</v>
      </c>
      <c r="D31" s="3">
        <f>'FAR21'!G31</f>
        <v>255969.92</v>
      </c>
      <c r="E31" s="17"/>
      <c r="F31" s="3"/>
      <c r="G31" s="3">
        <f>+D31+E31-F31</f>
        <v>255969.92</v>
      </c>
      <c r="H31" s="4"/>
      <c r="I31" s="3">
        <f t="shared" ref="I31:T31" si="18">+$G31/$H$29/12</f>
        <v>4266.165333</v>
      </c>
      <c r="J31" s="3">
        <f t="shared" si="18"/>
        <v>4266.165333</v>
      </c>
      <c r="K31" s="3">
        <f t="shared" si="18"/>
        <v>4266.165333</v>
      </c>
      <c r="L31" s="3">
        <f t="shared" si="18"/>
        <v>4266.165333</v>
      </c>
      <c r="M31" s="3">
        <f t="shared" si="18"/>
        <v>4266.165333</v>
      </c>
      <c r="N31" s="3">
        <f t="shared" si="18"/>
        <v>4266.165333</v>
      </c>
      <c r="O31" s="3">
        <f t="shared" si="18"/>
        <v>4266.165333</v>
      </c>
      <c r="P31" s="3">
        <f t="shared" si="18"/>
        <v>4266.165333</v>
      </c>
      <c r="Q31" s="3">
        <f t="shared" si="18"/>
        <v>4266.165333</v>
      </c>
      <c r="R31" s="3">
        <f t="shared" si="18"/>
        <v>4266.165333</v>
      </c>
      <c r="S31" s="3">
        <f t="shared" si="18"/>
        <v>4266.165333</v>
      </c>
      <c r="T31" s="3">
        <f t="shared" si="18"/>
        <v>4266.165333</v>
      </c>
      <c r="U31" s="3">
        <f>SUM(I31:T31)</f>
        <v>51193.984</v>
      </c>
      <c r="V31" s="3">
        <f>U31+'FAR21'!V31</f>
        <v>246818.1188</v>
      </c>
      <c r="W31" s="3">
        <f>+G31-V31</f>
        <v>9151.801249</v>
      </c>
      <c r="X31" s="2"/>
      <c r="Y31" s="2"/>
      <c r="Z31" s="2"/>
      <c r="AA31" s="2"/>
      <c r="AB31" s="2"/>
    </row>
    <row r="32" ht="12.75" customHeight="1">
      <c r="A32" s="7"/>
      <c r="B32" s="7"/>
      <c r="C32" s="7"/>
      <c r="D32" s="3"/>
      <c r="E32" s="17"/>
      <c r="F32" s="3"/>
      <c r="G32" s="3"/>
      <c r="H32" s="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2"/>
      <c r="Z32" s="2"/>
      <c r="AA32" s="2"/>
      <c r="AB32" s="2"/>
    </row>
    <row r="33" ht="12.75" customHeight="1">
      <c r="A33" s="23"/>
      <c r="B33" s="23"/>
      <c r="C33" s="23"/>
      <c r="D33" s="22">
        <f t="shared" ref="D33:F33" si="19">SUM(D31)</f>
        <v>255969.92</v>
      </c>
      <c r="E33" s="21">
        <f t="shared" si="19"/>
        <v>0</v>
      </c>
      <c r="F33" s="22">
        <f t="shared" si="19"/>
        <v>0</v>
      </c>
      <c r="G33" s="22">
        <f>SUM(D33:F33)</f>
        <v>255969.92</v>
      </c>
      <c r="H33" s="4"/>
      <c r="I33" s="22">
        <f t="shared" ref="I33:W33" si="20">SUM(I31)</f>
        <v>4266.165333</v>
      </c>
      <c r="J33" s="22">
        <f t="shared" si="20"/>
        <v>4266.165333</v>
      </c>
      <c r="K33" s="22">
        <f t="shared" si="20"/>
        <v>4266.165333</v>
      </c>
      <c r="L33" s="22">
        <f t="shared" si="20"/>
        <v>4266.165333</v>
      </c>
      <c r="M33" s="22">
        <f t="shared" si="20"/>
        <v>4266.165333</v>
      </c>
      <c r="N33" s="22">
        <f t="shared" si="20"/>
        <v>4266.165333</v>
      </c>
      <c r="O33" s="22">
        <f t="shared" si="20"/>
        <v>4266.165333</v>
      </c>
      <c r="P33" s="22">
        <f t="shared" si="20"/>
        <v>4266.165333</v>
      </c>
      <c r="Q33" s="22">
        <f t="shared" si="20"/>
        <v>4266.165333</v>
      </c>
      <c r="R33" s="22">
        <f t="shared" si="20"/>
        <v>4266.165333</v>
      </c>
      <c r="S33" s="22">
        <f t="shared" si="20"/>
        <v>4266.165333</v>
      </c>
      <c r="T33" s="22">
        <f t="shared" si="20"/>
        <v>4266.165333</v>
      </c>
      <c r="U33" s="22">
        <f t="shared" si="20"/>
        <v>51193.984</v>
      </c>
      <c r="V33" s="22">
        <f t="shared" si="20"/>
        <v>246818.1188</v>
      </c>
      <c r="W33" s="22">
        <f t="shared" si="20"/>
        <v>9151.801249</v>
      </c>
      <c r="X33" s="23"/>
      <c r="Y33" s="23"/>
      <c r="Z33" s="23"/>
      <c r="AA33" s="23"/>
      <c r="AB33" s="23"/>
    </row>
    <row r="34" ht="12.75" customHeight="1">
      <c r="A34" s="2"/>
      <c r="B34" s="2"/>
      <c r="C34" s="2"/>
      <c r="D34" s="3"/>
      <c r="E34" s="9"/>
      <c r="F34" s="3"/>
      <c r="G34" s="3"/>
      <c r="H34" s="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2"/>
      <c r="Y34" s="2"/>
      <c r="Z34" s="2"/>
      <c r="AA34" s="2"/>
      <c r="AB34" s="2"/>
    </row>
    <row r="35" ht="12.75" customHeight="1">
      <c r="A35" s="23" t="s">
        <v>27</v>
      </c>
      <c r="B35" s="2"/>
      <c r="C35" s="2"/>
      <c r="D35" s="22">
        <f t="shared" ref="D35:G35" si="21">D14+D26+D33</f>
        <v>703447.29</v>
      </c>
      <c r="E35" s="22">
        <f t="shared" si="21"/>
        <v>0</v>
      </c>
      <c r="F35" s="22">
        <f t="shared" si="21"/>
        <v>0</v>
      </c>
      <c r="G35" s="22">
        <f t="shared" si="21"/>
        <v>703447.29</v>
      </c>
      <c r="H35" s="4"/>
      <c r="I35" s="22">
        <f t="shared" ref="I35:W35" si="22">I14+I26+I33</f>
        <v>9389.950611</v>
      </c>
      <c r="J35" s="22">
        <f t="shared" si="22"/>
        <v>9389.950611</v>
      </c>
      <c r="K35" s="22">
        <f t="shared" si="22"/>
        <v>9389.950611</v>
      </c>
      <c r="L35" s="22">
        <f t="shared" si="22"/>
        <v>9389.950611</v>
      </c>
      <c r="M35" s="22">
        <f t="shared" si="22"/>
        <v>9389.950611</v>
      </c>
      <c r="N35" s="22">
        <f t="shared" si="22"/>
        <v>9389.950611</v>
      </c>
      <c r="O35" s="22">
        <f t="shared" si="22"/>
        <v>9389.950611</v>
      </c>
      <c r="P35" s="22">
        <f t="shared" si="22"/>
        <v>9389.950611</v>
      </c>
      <c r="Q35" s="22">
        <f t="shared" si="22"/>
        <v>9389.950611</v>
      </c>
      <c r="R35" s="22">
        <f t="shared" si="22"/>
        <v>9389.950611</v>
      </c>
      <c r="S35" s="22">
        <f t="shared" si="22"/>
        <v>9389.950611</v>
      </c>
      <c r="T35" s="22">
        <f t="shared" si="22"/>
        <v>9389.950611</v>
      </c>
      <c r="U35" s="22">
        <f t="shared" si="22"/>
        <v>112679.4073</v>
      </c>
      <c r="V35" s="22">
        <f t="shared" si="22"/>
        <v>563323.4595</v>
      </c>
      <c r="W35" s="22">
        <f t="shared" si="22"/>
        <v>140123.8305</v>
      </c>
      <c r="X35" s="2"/>
      <c r="Y35" s="2"/>
      <c r="Z35" s="2"/>
      <c r="AA35" s="2"/>
      <c r="AB35" s="2"/>
    </row>
    <row r="36" ht="12.75" customHeight="1">
      <c r="A36" s="2"/>
      <c r="B36" s="2"/>
      <c r="C36" s="2"/>
      <c r="D36" s="3"/>
      <c r="E36" s="3"/>
      <c r="F36" s="3"/>
      <c r="G36" s="3"/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2"/>
      <c r="Y36" s="2"/>
      <c r="Z36" s="2"/>
      <c r="AA36" s="2"/>
      <c r="AB36" s="2"/>
    </row>
    <row r="37" ht="12.75" customHeight="1">
      <c r="A37" s="2"/>
      <c r="B37" s="2"/>
      <c r="C37" s="2"/>
      <c r="D37" s="3"/>
      <c r="E37" s="3"/>
      <c r="F37" s="3"/>
      <c r="G37" s="3"/>
      <c r="H37" s="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2"/>
      <c r="Z37" s="2"/>
      <c r="AA37" s="2"/>
      <c r="AB37" s="2"/>
    </row>
    <row r="38" ht="12.75" customHeight="1">
      <c r="A38" s="2"/>
      <c r="B38" s="2"/>
      <c r="C38" s="2"/>
      <c r="D38" s="3"/>
      <c r="E38" s="3"/>
      <c r="F38" s="3"/>
      <c r="G38" s="3"/>
      <c r="H38" s="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2"/>
      <c r="Z38" s="2"/>
      <c r="AA38" s="2"/>
      <c r="AB38" s="2"/>
    </row>
    <row r="39" ht="12.75" customHeight="1">
      <c r="A39" s="2"/>
      <c r="B39" s="2"/>
      <c r="C39" s="2"/>
      <c r="D39" s="3"/>
      <c r="E39" s="3"/>
      <c r="F39" s="3"/>
      <c r="G39" s="3"/>
      <c r="H39" s="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2"/>
      <c r="Y39" s="2"/>
      <c r="Z39" s="2"/>
      <c r="AA39" s="2"/>
      <c r="AB39" s="2"/>
    </row>
    <row r="40" ht="12.75" customHeight="1">
      <c r="A40" s="2"/>
      <c r="B40" s="2"/>
      <c r="C40" s="2"/>
      <c r="D40" s="3"/>
      <c r="E40" s="3"/>
      <c r="F40" s="3"/>
      <c r="G40" s="3"/>
      <c r="H40" s="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2"/>
      <c r="Y40" s="2"/>
      <c r="Z40" s="2"/>
      <c r="AA40" s="2"/>
      <c r="AB40" s="2"/>
    </row>
    <row r="41" ht="12.75" customHeight="1">
      <c r="A41" s="2"/>
      <c r="B41" s="2"/>
      <c r="C41" s="2"/>
      <c r="D41" s="3"/>
      <c r="E41" s="3"/>
      <c r="F41" s="3"/>
      <c r="G41" s="3"/>
      <c r="H41" s="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2"/>
      <c r="Z41" s="2"/>
      <c r="AA41" s="2"/>
      <c r="AB41" s="2"/>
    </row>
    <row r="42" ht="12.75" customHeight="1">
      <c r="A42" s="2"/>
      <c r="B42" s="2"/>
      <c r="C42" s="2"/>
      <c r="D42" s="3"/>
      <c r="E42" s="3"/>
      <c r="F42" s="3"/>
      <c r="G42" s="3"/>
      <c r="H42" s="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2"/>
      <c r="Y42" s="2"/>
      <c r="Z42" s="2"/>
      <c r="AA42" s="2"/>
      <c r="AB42" s="2"/>
    </row>
    <row r="43" ht="12.75" customHeight="1">
      <c r="A43" s="2"/>
      <c r="B43" s="2"/>
      <c r="C43" s="2"/>
      <c r="D43" s="3"/>
      <c r="E43" s="3"/>
      <c r="F43" s="3"/>
      <c r="G43" s="3"/>
      <c r="H43" s="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2"/>
      <c r="Y43" s="2"/>
      <c r="Z43" s="2"/>
      <c r="AA43" s="2"/>
      <c r="AB43" s="2"/>
    </row>
    <row r="44" ht="12.75" customHeight="1">
      <c r="A44" s="2"/>
      <c r="B44" s="2"/>
      <c r="C44" s="2"/>
      <c r="D44" s="3"/>
      <c r="E44" s="3"/>
      <c r="F44" s="3"/>
      <c r="G44" s="3"/>
      <c r="H44" s="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2"/>
      <c r="Y44" s="2"/>
      <c r="Z44" s="2"/>
      <c r="AA44" s="2"/>
      <c r="AB44" s="2"/>
    </row>
    <row r="45" ht="12.75" customHeight="1">
      <c r="A45" s="2"/>
      <c r="B45" s="2"/>
      <c r="C45" s="2"/>
      <c r="D45" s="3"/>
      <c r="E45" s="3"/>
      <c r="F45" s="3"/>
      <c r="G45" s="3"/>
      <c r="H45" s="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2"/>
      <c r="Y45" s="2"/>
      <c r="Z45" s="2"/>
      <c r="AA45" s="2"/>
      <c r="AB45" s="2"/>
    </row>
    <row r="46" ht="12.75" customHeight="1">
      <c r="A46" s="2"/>
      <c r="B46" s="2"/>
      <c r="C46" s="2"/>
      <c r="D46" s="3"/>
      <c r="E46" s="3"/>
      <c r="F46" s="3"/>
      <c r="G46" s="3"/>
      <c r="H46" s="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2"/>
      <c r="Y46" s="2"/>
      <c r="Z46" s="2"/>
      <c r="AA46" s="2"/>
      <c r="AB46" s="2"/>
    </row>
    <row r="47" ht="12.75" customHeight="1">
      <c r="A47" s="2"/>
      <c r="B47" s="2"/>
      <c r="C47" s="2"/>
      <c r="D47" s="3"/>
      <c r="E47" s="3"/>
      <c r="F47" s="3"/>
      <c r="G47" s="3"/>
      <c r="H47" s="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2"/>
      <c r="Y47" s="2"/>
      <c r="Z47" s="2"/>
      <c r="AA47" s="2"/>
      <c r="AB47" s="2"/>
    </row>
    <row r="48" ht="12.75" customHeight="1">
      <c r="A48" s="2"/>
      <c r="B48" s="2"/>
      <c r="C48" s="2"/>
      <c r="D48" s="3"/>
      <c r="E48" s="3"/>
      <c r="F48" s="3"/>
      <c r="G48" s="3"/>
      <c r="H48" s="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2"/>
      <c r="Y48" s="2"/>
      <c r="Z48" s="2"/>
      <c r="AA48" s="2"/>
      <c r="AB48" s="2"/>
    </row>
    <row r="49" ht="12.75" customHeight="1">
      <c r="A49" s="2"/>
      <c r="B49" s="2"/>
      <c r="C49" s="2"/>
      <c r="D49" s="3"/>
      <c r="E49" s="3"/>
      <c r="F49" s="3"/>
      <c r="G49" s="3"/>
      <c r="H49" s="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2"/>
      <c r="Y49" s="2"/>
      <c r="Z49" s="2"/>
      <c r="AA49" s="2"/>
      <c r="AB49" s="2"/>
    </row>
    <row r="50" ht="12.75" customHeight="1">
      <c r="A50" s="2"/>
      <c r="B50" s="2"/>
      <c r="C50" s="2"/>
      <c r="D50" s="3"/>
      <c r="E50" s="3"/>
      <c r="F50" s="3"/>
      <c r="G50" s="3"/>
      <c r="H50" s="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2"/>
      <c r="Y50" s="2"/>
      <c r="Z50" s="2"/>
      <c r="AA50" s="2"/>
      <c r="AB50" s="2"/>
    </row>
    <row r="51" ht="12.75" customHeight="1">
      <c r="A51" s="2"/>
      <c r="B51" s="2"/>
      <c r="C51" s="2"/>
      <c r="D51" s="3"/>
      <c r="E51" s="3"/>
      <c r="F51" s="3"/>
      <c r="G51" s="3"/>
      <c r="H51" s="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2"/>
      <c r="Y51" s="2"/>
      <c r="Z51" s="2"/>
      <c r="AA51" s="2"/>
      <c r="AB51" s="2"/>
    </row>
    <row r="52" ht="12.75" customHeight="1">
      <c r="A52" s="2"/>
      <c r="B52" s="2"/>
      <c r="C52" s="2"/>
      <c r="D52" s="3"/>
      <c r="E52" s="3"/>
      <c r="F52" s="3"/>
      <c r="G52" s="3"/>
      <c r="H52" s="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2"/>
      <c r="Y52" s="2"/>
      <c r="Z52" s="2"/>
      <c r="AA52" s="2"/>
      <c r="AB52" s="2"/>
    </row>
    <row r="53" ht="12.75" customHeight="1">
      <c r="A53" s="2"/>
      <c r="B53" s="2"/>
      <c r="C53" s="2"/>
      <c r="D53" s="3"/>
      <c r="E53" s="3"/>
      <c r="F53" s="3"/>
      <c r="G53" s="3"/>
      <c r="H53" s="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2"/>
      <c r="Y53" s="2"/>
      <c r="Z53" s="2"/>
      <c r="AA53" s="2"/>
      <c r="AB53" s="2"/>
    </row>
    <row r="54" ht="12.75" customHeight="1">
      <c r="A54" s="2"/>
      <c r="B54" s="2"/>
      <c r="C54" s="2"/>
      <c r="D54" s="3"/>
      <c r="E54" s="3"/>
      <c r="F54" s="3"/>
      <c r="G54" s="3"/>
      <c r="H54" s="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2"/>
      <c r="Y54" s="2"/>
      <c r="Z54" s="2"/>
      <c r="AA54" s="2"/>
      <c r="AB54" s="2"/>
    </row>
    <row r="55" ht="12.75" customHeight="1">
      <c r="A55" s="2"/>
      <c r="B55" s="2"/>
      <c r="C55" s="2"/>
      <c r="D55" s="3"/>
      <c r="E55" s="3"/>
      <c r="F55" s="3"/>
      <c r="G55" s="3"/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2"/>
      <c r="Y55" s="2"/>
      <c r="Z55" s="2"/>
      <c r="AA55" s="2"/>
      <c r="AB55" s="2"/>
    </row>
    <row r="56" ht="12.75" customHeight="1">
      <c r="A56" s="2"/>
      <c r="B56" s="2"/>
      <c r="C56" s="2"/>
      <c r="D56" s="3"/>
      <c r="E56" s="3"/>
      <c r="F56" s="3"/>
      <c r="G56" s="3"/>
      <c r="H56" s="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2"/>
      <c r="Y56" s="2"/>
      <c r="Z56" s="2"/>
      <c r="AA56" s="2"/>
      <c r="AB56" s="2"/>
    </row>
    <row r="57" ht="12.75" customHeight="1">
      <c r="A57" s="2"/>
      <c r="B57" s="2"/>
      <c r="C57" s="2"/>
      <c r="D57" s="3"/>
      <c r="E57" s="3"/>
      <c r="F57" s="3"/>
      <c r="G57" s="3"/>
      <c r="H57" s="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2"/>
      <c r="Y57" s="2"/>
      <c r="Z57" s="2"/>
      <c r="AA57" s="2"/>
      <c r="AB57" s="2"/>
    </row>
    <row r="58" ht="12.75" customHeight="1">
      <c r="A58" s="2"/>
      <c r="B58" s="2"/>
      <c r="C58" s="2"/>
      <c r="D58" s="3"/>
      <c r="E58" s="3"/>
      <c r="F58" s="3"/>
      <c r="G58" s="3"/>
      <c r="H58" s="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2"/>
      <c r="Y58" s="2"/>
      <c r="Z58" s="2"/>
      <c r="AA58" s="2"/>
      <c r="AB58" s="2"/>
    </row>
    <row r="59" ht="12.75" customHeight="1">
      <c r="A59" s="2"/>
      <c r="B59" s="2"/>
      <c r="C59" s="2"/>
      <c r="D59" s="3"/>
      <c r="E59" s="3"/>
      <c r="F59" s="3"/>
      <c r="G59" s="3"/>
      <c r="H59" s="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2"/>
      <c r="Y59" s="2"/>
      <c r="Z59" s="2"/>
      <c r="AA59" s="2"/>
      <c r="AB59" s="2"/>
    </row>
    <row r="60" ht="12.75" customHeight="1">
      <c r="A60" s="2"/>
      <c r="B60" s="2"/>
      <c r="C60" s="2"/>
      <c r="D60" s="3"/>
      <c r="E60" s="3"/>
      <c r="F60" s="3"/>
      <c r="G60" s="3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2"/>
      <c r="Y60" s="2"/>
      <c r="Z60" s="2"/>
      <c r="AA60" s="2"/>
      <c r="AB60" s="2"/>
    </row>
    <row r="61" ht="12.75" customHeight="1">
      <c r="A61" s="2"/>
      <c r="B61" s="2"/>
      <c r="C61" s="2"/>
      <c r="D61" s="3"/>
      <c r="E61" s="3"/>
      <c r="F61" s="3"/>
      <c r="G61" s="3"/>
      <c r="H61" s="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2"/>
      <c r="Y61" s="2"/>
      <c r="Z61" s="2"/>
      <c r="AA61" s="2"/>
      <c r="AB61" s="2"/>
    </row>
    <row r="62" ht="12.75" customHeight="1">
      <c r="A62" s="2"/>
      <c r="B62" s="2"/>
      <c r="C62" s="2"/>
      <c r="D62" s="3"/>
      <c r="E62" s="3"/>
      <c r="F62" s="3"/>
      <c r="G62" s="3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2"/>
      <c r="Y62" s="2"/>
      <c r="Z62" s="2"/>
      <c r="AA62" s="2"/>
      <c r="AB62" s="2"/>
    </row>
    <row r="63" ht="12.75" customHeight="1">
      <c r="A63" s="2"/>
      <c r="B63" s="2"/>
      <c r="C63" s="2"/>
      <c r="D63" s="3"/>
      <c r="E63" s="3"/>
      <c r="F63" s="3"/>
      <c r="G63" s="3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"/>
      <c r="Y63" s="2"/>
      <c r="Z63" s="2"/>
      <c r="AA63" s="2"/>
      <c r="AB63" s="2"/>
    </row>
    <row r="64" ht="12.75" customHeight="1">
      <c r="A64" s="2"/>
      <c r="B64" s="2"/>
      <c r="C64" s="2"/>
      <c r="D64" s="3"/>
      <c r="E64" s="3"/>
      <c r="F64" s="3"/>
      <c r="G64" s="3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2"/>
      <c r="Y64" s="2"/>
      <c r="Z64" s="2"/>
      <c r="AA64" s="2"/>
      <c r="AB64" s="2"/>
    </row>
    <row r="65" ht="12.75" customHeight="1">
      <c r="A65" s="2"/>
      <c r="B65" s="2"/>
      <c r="C65" s="2"/>
      <c r="D65" s="3"/>
      <c r="E65" s="3"/>
      <c r="F65" s="3"/>
      <c r="G65" s="3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2"/>
      <c r="Y65" s="2"/>
      <c r="Z65" s="2"/>
      <c r="AA65" s="2"/>
      <c r="AB65" s="2"/>
    </row>
    <row r="66" ht="12.75" customHeight="1">
      <c r="A66" s="2"/>
      <c r="B66" s="2"/>
      <c r="C66" s="2"/>
      <c r="D66" s="3"/>
      <c r="E66" s="3"/>
      <c r="F66" s="3"/>
      <c r="G66" s="3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2"/>
      <c r="Y66" s="2"/>
      <c r="Z66" s="2"/>
      <c r="AA66" s="2"/>
      <c r="AB66" s="2"/>
    </row>
    <row r="67" ht="12.75" customHeight="1">
      <c r="A67" s="2"/>
      <c r="B67" s="2"/>
      <c r="C67" s="2"/>
      <c r="D67" s="3"/>
      <c r="E67" s="3"/>
      <c r="F67" s="3"/>
      <c r="G67" s="3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2"/>
      <c r="Y67" s="2"/>
      <c r="Z67" s="2"/>
      <c r="AA67" s="2"/>
      <c r="AB67" s="2"/>
    </row>
    <row r="68" ht="12.75" customHeight="1">
      <c r="A68" s="2"/>
      <c r="B68" s="2"/>
      <c r="C68" s="2"/>
      <c r="D68" s="3"/>
      <c r="E68" s="3"/>
      <c r="F68" s="3"/>
      <c r="G68" s="3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2"/>
      <c r="Y68" s="2"/>
      <c r="Z68" s="2"/>
      <c r="AA68" s="2"/>
      <c r="AB68" s="2"/>
    </row>
    <row r="69" ht="12.75" customHeight="1">
      <c r="A69" s="2"/>
      <c r="B69" s="2"/>
      <c r="C69" s="2"/>
      <c r="D69" s="3"/>
      <c r="E69" s="3"/>
      <c r="F69" s="3"/>
      <c r="G69" s="3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2"/>
      <c r="Y69" s="2"/>
      <c r="Z69" s="2"/>
      <c r="AA69" s="2"/>
      <c r="AB69" s="2"/>
    </row>
    <row r="70" ht="12.75" customHeight="1">
      <c r="A70" s="2"/>
      <c r="B70" s="2"/>
      <c r="C70" s="2"/>
      <c r="D70" s="3"/>
      <c r="E70" s="3"/>
      <c r="F70" s="3"/>
      <c r="G70" s="3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2"/>
      <c r="Y70" s="2"/>
      <c r="Z70" s="2"/>
      <c r="AA70" s="2"/>
      <c r="AB70" s="2"/>
    </row>
    <row r="71" ht="12.75" customHeight="1">
      <c r="A71" s="2"/>
      <c r="B71" s="2"/>
      <c r="C71" s="2"/>
      <c r="D71" s="3"/>
      <c r="E71" s="3"/>
      <c r="F71" s="3"/>
      <c r="G71" s="3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2"/>
      <c r="Y71" s="2"/>
      <c r="Z71" s="2"/>
      <c r="AA71" s="2"/>
      <c r="AB71" s="2"/>
    </row>
    <row r="72" ht="12.75" customHeight="1">
      <c r="A72" s="2"/>
      <c r="B72" s="2"/>
      <c r="C72" s="2"/>
      <c r="D72" s="3"/>
      <c r="E72" s="3"/>
      <c r="F72" s="3"/>
      <c r="G72" s="3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2"/>
      <c r="Y72" s="2"/>
      <c r="Z72" s="2"/>
      <c r="AA72" s="2"/>
      <c r="AB72" s="2"/>
    </row>
    <row r="73" ht="12.75" customHeight="1">
      <c r="A73" s="2"/>
      <c r="B73" s="2"/>
      <c r="C73" s="2"/>
      <c r="D73" s="3"/>
      <c r="E73" s="3"/>
      <c r="F73" s="3"/>
      <c r="G73" s="3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2"/>
      <c r="Y73" s="2"/>
      <c r="Z73" s="2"/>
      <c r="AA73" s="2"/>
      <c r="AB73" s="2"/>
    </row>
    <row r="74" ht="12.75" customHeight="1">
      <c r="A74" s="2"/>
      <c r="B74" s="2"/>
      <c r="C74" s="2"/>
      <c r="D74" s="3"/>
      <c r="E74" s="3"/>
      <c r="F74" s="3"/>
      <c r="G74" s="3"/>
      <c r="H74" s="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2"/>
      <c r="Y74" s="2"/>
      <c r="Z74" s="2"/>
      <c r="AA74" s="2"/>
      <c r="AB74" s="2"/>
    </row>
    <row r="75" ht="12.75" customHeight="1">
      <c r="A75" s="2"/>
      <c r="B75" s="2"/>
      <c r="C75" s="2"/>
      <c r="D75" s="3"/>
      <c r="E75" s="3"/>
      <c r="F75" s="3"/>
      <c r="G75" s="3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2"/>
      <c r="Y75" s="2"/>
      <c r="Z75" s="2"/>
      <c r="AA75" s="2"/>
      <c r="AB75" s="2"/>
    </row>
    <row r="76" ht="12.75" customHeight="1">
      <c r="A76" s="2"/>
      <c r="B76" s="2"/>
      <c r="C76" s="2"/>
      <c r="D76" s="3"/>
      <c r="E76" s="3"/>
      <c r="F76" s="3"/>
      <c r="G76" s="3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2"/>
      <c r="Y76" s="2"/>
      <c r="Z76" s="2"/>
      <c r="AA76" s="2"/>
      <c r="AB76" s="2"/>
    </row>
    <row r="77" ht="12.75" customHeight="1">
      <c r="A77" s="2"/>
      <c r="B77" s="2"/>
      <c r="C77" s="2"/>
      <c r="D77" s="3"/>
      <c r="E77" s="3"/>
      <c r="F77" s="3"/>
      <c r="G77" s="3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2"/>
      <c r="Y77" s="2"/>
      <c r="Z77" s="2"/>
      <c r="AA77" s="2"/>
      <c r="AB77" s="2"/>
    </row>
    <row r="78" ht="12.75" customHeight="1">
      <c r="A78" s="2"/>
      <c r="B78" s="2"/>
      <c r="C78" s="2"/>
      <c r="D78" s="3"/>
      <c r="E78" s="3"/>
      <c r="F78" s="3"/>
      <c r="G78" s="3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2"/>
      <c r="Y78" s="2"/>
      <c r="Z78" s="2"/>
      <c r="AA78" s="2"/>
      <c r="AB78" s="2"/>
    </row>
    <row r="79" ht="12.75" customHeight="1">
      <c r="A79" s="2"/>
      <c r="B79" s="2"/>
      <c r="C79" s="2"/>
      <c r="D79" s="3"/>
      <c r="E79" s="3"/>
      <c r="F79" s="3"/>
      <c r="G79" s="3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2"/>
      <c r="Y79" s="2"/>
      <c r="Z79" s="2"/>
      <c r="AA79" s="2"/>
      <c r="AB79" s="2"/>
    </row>
    <row r="80" ht="12.75" customHeight="1">
      <c r="A80" s="2"/>
      <c r="B80" s="2"/>
      <c r="C80" s="2"/>
      <c r="D80" s="3"/>
      <c r="E80" s="3"/>
      <c r="F80" s="3"/>
      <c r="G80" s="3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2"/>
      <c r="Y80" s="2"/>
      <c r="Z80" s="2"/>
      <c r="AA80" s="2"/>
      <c r="AB80" s="2"/>
    </row>
    <row r="81" ht="12.75" customHeight="1">
      <c r="A81" s="2"/>
      <c r="B81" s="2"/>
      <c r="C81" s="2"/>
      <c r="D81" s="3"/>
      <c r="E81" s="3"/>
      <c r="F81" s="3"/>
      <c r="G81" s="3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2"/>
      <c r="Y81" s="2"/>
      <c r="Z81" s="2"/>
      <c r="AA81" s="2"/>
      <c r="AB81" s="2"/>
    </row>
    <row r="82" ht="12.75" customHeight="1">
      <c r="A82" s="2"/>
      <c r="B82" s="2"/>
      <c r="C82" s="2"/>
      <c r="D82" s="3"/>
      <c r="E82" s="3"/>
      <c r="F82" s="3"/>
      <c r="G82" s="3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2"/>
      <c r="Y82" s="2"/>
      <c r="Z82" s="2"/>
      <c r="AA82" s="2"/>
      <c r="AB82" s="2"/>
    </row>
    <row r="83" ht="12.75" customHeight="1">
      <c r="A83" s="2"/>
      <c r="B83" s="2"/>
      <c r="C83" s="2"/>
      <c r="D83" s="3"/>
      <c r="E83" s="3"/>
      <c r="F83" s="3"/>
      <c r="G83" s="3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2"/>
      <c r="Y83" s="2"/>
      <c r="Z83" s="2"/>
      <c r="AA83" s="2"/>
      <c r="AB83" s="2"/>
    </row>
    <row r="84" ht="12.75" customHeight="1">
      <c r="A84" s="2"/>
      <c r="B84" s="2"/>
      <c r="C84" s="2"/>
      <c r="D84" s="3"/>
      <c r="E84" s="3"/>
      <c r="F84" s="3"/>
      <c r="G84" s="3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2"/>
      <c r="Y84" s="2"/>
      <c r="Z84" s="2"/>
      <c r="AA84" s="2"/>
      <c r="AB84" s="2"/>
    </row>
    <row r="85" ht="12.75" customHeight="1">
      <c r="A85" s="2"/>
      <c r="B85" s="2"/>
      <c r="C85" s="2"/>
      <c r="D85" s="3"/>
      <c r="E85" s="3"/>
      <c r="F85" s="3"/>
      <c r="G85" s="3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2"/>
      <c r="Y85" s="2"/>
      <c r="Z85" s="2"/>
      <c r="AA85" s="2"/>
      <c r="AB85" s="2"/>
    </row>
    <row r="86" ht="12.75" customHeight="1">
      <c r="A86" s="2"/>
      <c r="B86" s="2"/>
      <c r="C86" s="2"/>
      <c r="D86" s="3"/>
      <c r="E86" s="3"/>
      <c r="F86" s="3"/>
      <c r="G86" s="3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2"/>
      <c r="Y86" s="2"/>
      <c r="Z86" s="2"/>
      <c r="AA86" s="2"/>
      <c r="AB86" s="2"/>
    </row>
    <row r="87" ht="12.75" customHeight="1">
      <c r="A87" s="2"/>
      <c r="B87" s="2"/>
      <c r="C87" s="2"/>
      <c r="D87" s="3"/>
      <c r="E87" s="3"/>
      <c r="F87" s="3"/>
      <c r="G87" s="3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2"/>
      <c r="Y87" s="2"/>
      <c r="Z87" s="2"/>
      <c r="AA87" s="2"/>
      <c r="AB87" s="2"/>
    </row>
    <row r="88" ht="12.75" customHeight="1">
      <c r="A88" s="2"/>
      <c r="B88" s="2"/>
      <c r="C88" s="2"/>
      <c r="D88" s="3"/>
      <c r="E88" s="3"/>
      <c r="F88" s="3"/>
      <c r="G88" s="3"/>
      <c r="H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2"/>
      <c r="Y88" s="2"/>
      <c r="Z88" s="2"/>
      <c r="AA88" s="2"/>
      <c r="AB88" s="2"/>
    </row>
    <row r="89" ht="12.75" customHeight="1">
      <c r="A89" s="2"/>
      <c r="B89" s="2"/>
      <c r="C89" s="2"/>
      <c r="D89" s="3"/>
      <c r="E89" s="3"/>
      <c r="F89" s="3"/>
      <c r="G89" s="3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2"/>
      <c r="Y89" s="2"/>
      <c r="Z89" s="2"/>
      <c r="AA89" s="2"/>
      <c r="AB89" s="2"/>
    </row>
    <row r="90" ht="12.75" customHeight="1">
      <c r="A90" s="2"/>
      <c r="B90" s="2"/>
      <c r="C90" s="2"/>
      <c r="D90" s="3"/>
      <c r="E90" s="3"/>
      <c r="F90" s="3"/>
      <c r="G90" s="3"/>
      <c r="H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2"/>
      <c r="Y90" s="2"/>
      <c r="Z90" s="2"/>
      <c r="AA90" s="2"/>
      <c r="AB90" s="2"/>
    </row>
    <row r="91" ht="12.75" customHeight="1">
      <c r="A91" s="2"/>
      <c r="B91" s="2"/>
      <c r="C91" s="2"/>
      <c r="D91" s="3"/>
      <c r="E91" s="3"/>
      <c r="F91" s="3"/>
      <c r="G91" s="3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2"/>
      <c r="Y91" s="2"/>
      <c r="Z91" s="2"/>
      <c r="AA91" s="2"/>
      <c r="AB91" s="2"/>
    </row>
    <row r="92" ht="12.75" customHeight="1">
      <c r="A92" s="2"/>
      <c r="B92" s="2"/>
      <c r="C92" s="2"/>
      <c r="D92" s="3"/>
      <c r="E92" s="3"/>
      <c r="F92" s="3"/>
      <c r="G92" s="3"/>
      <c r="H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2"/>
      <c r="Y92" s="2"/>
      <c r="Z92" s="2"/>
      <c r="AA92" s="2"/>
      <c r="AB92" s="2"/>
    </row>
    <row r="93" ht="12.75" customHeight="1">
      <c r="A93" s="2"/>
      <c r="B93" s="2"/>
      <c r="C93" s="2"/>
      <c r="D93" s="3"/>
      <c r="E93" s="3"/>
      <c r="F93" s="3"/>
      <c r="G93" s="3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2"/>
      <c r="Y93" s="2"/>
      <c r="Z93" s="2"/>
      <c r="AA93" s="2"/>
      <c r="AB93" s="2"/>
    </row>
    <row r="94" ht="12.75" customHeight="1">
      <c r="A94" s="2"/>
      <c r="B94" s="2"/>
      <c r="C94" s="2"/>
      <c r="D94" s="3"/>
      <c r="E94" s="3"/>
      <c r="F94" s="3"/>
      <c r="G94" s="3"/>
      <c r="H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2"/>
      <c r="Y94" s="2"/>
      <c r="Z94" s="2"/>
      <c r="AA94" s="2"/>
      <c r="AB94" s="2"/>
    </row>
    <row r="95" ht="12.75" customHeight="1">
      <c r="A95" s="2"/>
      <c r="B95" s="2"/>
      <c r="C95" s="2"/>
      <c r="D95" s="3"/>
      <c r="E95" s="3"/>
      <c r="F95" s="3"/>
      <c r="G95" s="3"/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2"/>
      <c r="Y95" s="2"/>
      <c r="Z95" s="2"/>
      <c r="AA95" s="2"/>
      <c r="AB95" s="2"/>
    </row>
    <row r="96" ht="12.75" customHeight="1">
      <c r="A96" s="2"/>
      <c r="B96" s="2"/>
      <c r="C96" s="2"/>
      <c r="D96" s="3"/>
      <c r="E96" s="3"/>
      <c r="F96" s="3"/>
      <c r="G96" s="3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2"/>
      <c r="Y96" s="2"/>
      <c r="Z96" s="2"/>
      <c r="AA96" s="2"/>
      <c r="AB96" s="2"/>
    </row>
    <row r="97" ht="12.75" customHeight="1">
      <c r="A97" s="2"/>
      <c r="B97" s="2"/>
      <c r="C97" s="2"/>
      <c r="D97" s="3"/>
      <c r="E97" s="3"/>
      <c r="F97" s="3"/>
      <c r="G97" s="3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2"/>
      <c r="Y97" s="2"/>
      <c r="Z97" s="2"/>
      <c r="AA97" s="2"/>
      <c r="AB97" s="2"/>
    </row>
    <row r="98" ht="12.75" customHeight="1">
      <c r="A98" s="2"/>
      <c r="B98" s="2"/>
      <c r="C98" s="2"/>
      <c r="D98" s="3"/>
      <c r="E98" s="3"/>
      <c r="F98" s="3"/>
      <c r="G98" s="3"/>
      <c r="H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2"/>
      <c r="Y98" s="2"/>
      <c r="Z98" s="2"/>
      <c r="AA98" s="2"/>
      <c r="AB98" s="2"/>
    </row>
    <row r="99" ht="12.75" customHeight="1">
      <c r="A99" s="2"/>
      <c r="B99" s="2"/>
      <c r="C99" s="2"/>
      <c r="D99" s="3"/>
      <c r="E99" s="3"/>
      <c r="F99" s="3"/>
      <c r="G99" s="3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2"/>
      <c r="Y99" s="2"/>
      <c r="Z99" s="2"/>
      <c r="AA99" s="2"/>
      <c r="AB99" s="2"/>
    </row>
    <row r="100" ht="12.75" customHeight="1">
      <c r="A100" s="2"/>
      <c r="B100" s="2"/>
      <c r="C100" s="2"/>
      <c r="D100" s="3"/>
      <c r="E100" s="3"/>
      <c r="F100" s="3"/>
      <c r="G100" s="3"/>
      <c r="H100" s="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2"/>
      <c r="Y100" s="2"/>
      <c r="Z100" s="2"/>
      <c r="AA100" s="2"/>
      <c r="AB100" s="2"/>
    </row>
    <row r="101" ht="12.75" customHeight="1">
      <c r="A101" s="2"/>
      <c r="B101" s="2"/>
      <c r="C101" s="2"/>
      <c r="D101" s="3"/>
      <c r="E101" s="3"/>
      <c r="F101" s="3"/>
      <c r="G101" s="3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2"/>
      <c r="Y101" s="2"/>
      <c r="Z101" s="2"/>
      <c r="AA101" s="2"/>
      <c r="AB101" s="2"/>
    </row>
    <row r="102" ht="12.75" customHeight="1">
      <c r="A102" s="2"/>
      <c r="B102" s="2"/>
      <c r="C102" s="2"/>
      <c r="D102" s="3"/>
      <c r="E102" s="3"/>
      <c r="F102" s="3"/>
      <c r="G102" s="3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2"/>
      <c r="Y102" s="2"/>
      <c r="Z102" s="2"/>
      <c r="AA102" s="2"/>
      <c r="AB102" s="2"/>
    </row>
    <row r="103" ht="12.75" customHeight="1">
      <c r="A103" s="2"/>
      <c r="B103" s="2"/>
      <c r="C103" s="2"/>
      <c r="D103" s="3"/>
      <c r="E103" s="3"/>
      <c r="F103" s="3"/>
      <c r="G103" s="3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2"/>
      <c r="Y103" s="2"/>
      <c r="Z103" s="2"/>
      <c r="AA103" s="2"/>
      <c r="AB103" s="2"/>
    </row>
    <row r="104" ht="12.75" customHeight="1">
      <c r="A104" s="2"/>
      <c r="B104" s="2"/>
      <c r="C104" s="2"/>
      <c r="D104" s="3"/>
      <c r="E104" s="3"/>
      <c r="F104" s="3"/>
      <c r="G104" s="3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2"/>
      <c r="Y104" s="2"/>
      <c r="Z104" s="2"/>
      <c r="AA104" s="2"/>
      <c r="AB104" s="2"/>
    </row>
    <row r="105" ht="12.75" customHeight="1">
      <c r="A105" s="2"/>
      <c r="B105" s="2"/>
      <c r="C105" s="2"/>
      <c r="D105" s="3"/>
      <c r="E105" s="3"/>
      <c r="F105" s="3"/>
      <c r="G105" s="3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2"/>
      <c r="Y105" s="2"/>
      <c r="Z105" s="2"/>
      <c r="AA105" s="2"/>
      <c r="AB105" s="2"/>
    </row>
    <row r="106" ht="12.75" customHeight="1">
      <c r="A106" s="2"/>
      <c r="B106" s="2"/>
      <c r="C106" s="2"/>
      <c r="D106" s="3"/>
      <c r="E106" s="3"/>
      <c r="F106" s="3"/>
      <c r="G106" s="3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2"/>
      <c r="Y106" s="2"/>
      <c r="Z106" s="2"/>
      <c r="AA106" s="2"/>
      <c r="AB106" s="2"/>
    </row>
    <row r="107" ht="12.75" customHeight="1">
      <c r="A107" s="2"/>
      <c r="B107" s="2"/>
      <c r="C107" s="2"/>
      <c r="D107" s="3"/>
      <c r="E107" s="3"/>
      <c r="F107" s="3"/>
      <c r="G107" s="3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2"/>
      <c r="Y107" s="2"/>
      <c r="Z107" s="2"/>
      <c r="AA107" s="2"/>
      <c r="AB107" s="2"/>
    </row>
    <row r="108" ht="12.75" customHeight="1">
      <c r="A108" s="2"/>
      <c r="B108" s="2"/>
      <c r="C108" s="2"/>
      <c r="D108" s="3"/>
      <c r="E108" s="3"/>
      <c r="F108" s="3"/>
      <c r="G108" s="3"/>
      <c r="H108" s="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2"/>
      <c r="Y108" s="2"/>
      <c r="Z108" s="2"/>
      <c r="AA108" s="2"/>
      <c r="AB108" s="2"/>
    </row>
    <row r="109" ht="12.75" customHeight="1">
      <c r="A109" s="2"/>
      <c r="B109" s="2"/>
      <c r="C109" s="2"/>
      <c r="D109" s="3"/>
      <c r="E109" s="3"/>
      <c r="F109" s="3"/>
      <c r="G109" s="3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2"/>
      <c r="Y109" s="2"/>
      <c r="Z109" s="2"/>
      <c r="AA109" s="2"/>
      <c r="AB109" s="2"/>
    </row>
    <row r="110" ht="12.75" customHeight="1">
      <c r="A110" s="2"/>
      <c r="B110" s="2"/>
      <c r="C110" s="2"/>
      <c r="D110" s="3"/>
      <c r="E110" s="3"/>
      <c r="F110" s="3"/>
      <c r="G110" s="3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2"/>
      <c r="Y110" s="2"/>
      <c r="Z110" s="2"/>
      <c r="AA110" s="2"/>
      <c r="AB110" s="2"/>
    </row>
    <row r="111" ht="12.75" customHeight="1">
      <c r="A111" s="2"/>
      <c r="B111" s="2"/>
      <c r="C111" s="2"/>
      <c r="D111" s="3"/>
      <c r="E111" s="3"/>
      <c r="F111" s="3"/>
      <c r="G111" s="3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2"/>
      <c r="Y111" s="2"/>
      <c r="Z111" s="2"/>
      <c r="AA111" s="2"/>
      <c r="AB111" s="2"/>
    </row>
    <row r="112" ht="12.75" customHeight="1">
      <c r="A112" s="2"/>
      <c r="B112" s="2"/>
      <c r="C112" s="2"/>
      <c r="D112" s="3"/>
      <c r="E112" s="3"/>
      <c r="F112" s="3"/>
      <c r="G112" s="3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2"/>
      <c r="Y112" s="2"/>
      <c r="Z112" s="2"/>
      <c r="AA112" s="2"/>
      <c r="AB112" s="2"/>
    </row>
    <row r="113" ht="12.75" customHeight="1">
      <c r="A113" s="2"/>
      <c r="B113" s="2"/>
      <c r="C113" s="2"/>
      <c r="D113" s="3"/>
      <c r="E113" s="3"/>
      <c r="F113" s="3"/>
      <c r="G113" s="3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2"/>
      <c r="Y113" s="2"/>
      <c r="Z113" s="2"/>
      <c r="AA113" s="2"/>
      <c r="AB113" s="2"/>
    </row>
    <row r="114" ht="12.75" customHeight="1">
      <c r="A114" s="2"/>
      <c r="B114" s="2"/>
      <c r="C114" s="2"/>
      <c r="D114" s="3"/>
      <c r="E114" s="3"/>
      <c r="F114" s="3"/>
      <c r="G114" s="3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2"/>
      <c r="Y114" s="2"/>
      <c r="Z114" s="2"/>
      <c r="AA114" s="2"/>
      <c r="AB114" s="2"/>
    </row>
    <row r="115" ht="12.75" customHeight="1">
      <c r="A115" s="2"/>
      <c r="B115" s="2"/>
      <c r="C115" s="2"/>
      <c r="D115" s="3"/>
      <c r="E115" s="3"/>
      <c r="F115" s="3"/>
      <c r="G115" s="3"/>
      <c r="H115" s="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2"/>
      <c r="Y115" s="2"/>
      <c r="Z115" s="2"/>
      <c r="AA115" s="2"/>
      <c r="AB115" s="2"/>
    </row>
    <row r="116" ht="12.75" customHeight="1">
      <c r="A116" s="2"/>
      <c r="B116" s="2"/>
      <c r="C116" s="2"/>
      <c r="D116" s="3"/>
      <c r="E116" s="3"/>
      <c r="F116" s="3"/>
      <c r="G116" s="3"/>
      <c r="H116" s="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2"/>
      <c r="Y116" s="2"/>
      <c r="Z116" s="2"/>
      <c r="AA116" s="2"/>
      <c r="AB116" s="2"/>
    </row>
    <row r="117" ht="12.75" customHeight="1">
      <c r="A117" s="2"/>
      <c r="B117" s="2"/>
      <c r="C117" s="2"/>
      <c r="D117" s="3"/>
      <c r="E117" s="3"/>
      <c r="F117" s="3"/>
      <c r="G117" s="3"/>
      <c r="H117" s="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2"/>
      <c r="Y117" s="2"/>
      <c r="Z117" s="2"/>
      <c r="AA117" s="2"/>
      <c r="AB117" s="2"/>
    </row>
    <row r="118" ht="12.75" customHeight="1">
      <c r="A118" s="2"/>
      <c r="B118" s="2"/>
      <c r="C118" s="2"/>
      <c r="D118" s="3"/>
      <c r="E118" s="3"/>
      <c r="F118" s="3"/>
      <c r="G118" s="3"/>
      <c r="H118" s="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2"/>
      <c r="Y118" s="2"/>
      <c r="Z118" s="2"/>
      <c r="AA118" s="2"/>
      <c r="AB118" s="2"/>
    </row>
    <row r="119" ht="12.75" customHeight="1">
      <c r="A119" s="2"/>
      <c r="B119" s="2"/>
      <c r="C119" s="2"/>
      <c r="D119" s="3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2"/>
      <c r="Y119" s="2"/>
      <c r="Z119" s="2"/>
      <c r="AA119" s="2"/>
      <c r="AB119" s="2"/>
    </row>
    <row r="120" ht="12.75" customHeight="1">
      <c r="A120" s="2"/>
      <c r="B120" s="2"/>
      <c r="C120" s="2"/>
      <c r="D120" s="3"/>
      <c r="E120" s="3"/>
      <c r="F120" s="3"/>
      <c r="G120" s="3"/>
      <c r="H120" s="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2"/>
      <c r="Y120" s="2"/>
      <c r="Z120" s="2"/>
      <c r="AA120" s="2"/>
      <c r="AB120" s="2"/>
    </row>
    <row r="121" ht="12.75" customHeight="1">
      <c r="A121" s="2"/>
      <c r="B121" s="2"/>
      <c r="C121" s="2"/>
      <c r="D121" s="3"/>
      <c r="E121" s="3"/>
      <c r="F121" s="3"/>
      <c r="G121" s="3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2"/>
      <c r="Y121" s="2"/>
      <c r="Z121" s="2"/>
      <c r="AA121" s="2"/>
      <c r="AB121" s="2"/>
    </row>
    <row r="122" ht="12.75" customHeight="1">
      <c r="A122" s="2"/>
      <c r="B122" s="2"/>
      <c r="C122" s="2"/>
      <c r="D122" s="3"/>
      <c r="E122" s="3"/>
      <c r="F122" s="3"/>
      <c r="G122" s="3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2"/>
      <c r="Y122" s="2"/>
      <c r="Z122" s="2"/>
      <c r="AA122" s="2"/>
      <c r="AB122" s="2"/>
    </row>
    <row r="123" ht="12.75" customHeight="1">
      <c r="A123" s="2"/>
      <c r="B123" s="2"/>
      <c r="C123" s="2"/>
      <c r="D123" s="3"/>
      <c r="E123" s="3"/>
      <c r="F123" s="3"/>
      <c r="G123" s="3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2"/>
      <c r="Y123" s="2"/>
      <c r="Z123" s="2"/>
      <c r="AA123" s="2"/>
      <c r="AB123" s="2"/>
    </row>
    <row r="124" ht="12.75" customHeight="1">
      <c r="A124" s="2"/>
      <c r="B124" s="2"/>
      <c r="C124" s="2"/>
      <c r="D124" s="3"/>
      <c r="E124" s="3"/>
      <c r="F124" s="3"/>
      <c r="G124" s="3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2"/>
      <c r="Y124" s="2"/>
      <c r="Z124" s="2"/>
      <c r="AA124" s="2"/>
      <c r="AB124" s="2"/>
    </row>
    <row r="125" ht="12.75" customHeight="1">
      <c r="A125" s="2"/>
      <c r="B125" s="2"/>
      <c r="C125" s="2"/>
      <c r="D125" s="3"/>
      <c r="E125" s="3"/>
      <c r="F125" s="3"/>
      <c r="G125" s="3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2"/>
      <c r="Y125" s="2"/>
      <c r="Z125" s="2"/>
      <c r="AA125" s="2"/>
      <c r="AB125" s="2"/>
    </row>
    <row r="126" ht="12.75" customHeight="1">
      <c r="A126" s="2"/>
      <c r="B126" s="2"/>
      <c r="C126" s="2"/>
      <c r="D126" s="3"/>
      <c r="E126" s="3"/>
      <c r="F126" s="3"/>
      <c r="G126" s="3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2"/>
      <c r="Y126" s="2"/>
      <c r="Z126" s="2"/>
      <c r="AA126" s="2"/>
      <c r="AB126" s="2"/>
    </row>
    <row r="127" ht="12.75" customHeight="1">
      <c r="A127" s="2"/>
      <c r="B127" s="2"/>
      <c r="C127" s="2"/>
      <c r="D127" s="3"/>
      <c r="E127" s="3"/>
      <c r="F127" s="3"/>
      <c r="G127" s="3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2"/>
      <c r="Y127" s="2"/>
      <c r="Z127" s="2"/>
      <c r="AA127" s="2"/>
      <c r="AB127" s="2"/>
    </row>
    <row r="128" ht="12.75" customHeight="1">
      <c r="A128" s="2"/>
      <c r="B128" s="2"/>
      <c r="C128" s="2"/>
      <c r="D128" s="3"/>
      <c r="E128" s="3"/>
      <c r="F128" s="3"/>
      <c r="G128" s="3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2"/>
      <c r="Y128" s="2"/>
      <c r="Z128" s="2"/>
      <c r="AA128" s="2"/>
      <c r="AB128" s="2"/>
    </row>
    <row r="129" ht="12.75" customHeight="1">
      <c r="A129" s="2"/>
      <c r="B129" s="2"/>
      <c r="C129" s="2"/>
      <c r="D129" s="3"/>
      <c r="E129" s="3"/>
      <c r="F129" s="3"/>
      <c r="G129" s="3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2"/>
      <c r="Y129" s="2"/>
      <c r="Z129" s="2"/>
      <c r="AA129" s="2"/>
      <c r="AB129" s="2"/>
    </row>
    <row r="130" ht="12.75" customHeight="1">
      <c r="A130" s="2"/>
      <c r="B130" s="2"/>
      <c r="C130" s="2"/>
      <c r="D130" s="3"/>
      <c r="E130" s="3"/>
      <c r="F130" s="3"/>
      <c r="G130" s="3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2"/>
      <c r="Y130" s="2"/>
      <c r="Z130" s="2"/>
      <c r="AA130" s="2"/>
      <c r="AB130" s="2"/>
    </row>
    <row r="131" ht="12.75" customHeight="1">
      <c r="A131" s="2"/>
      <c r="B131" s="2"/>
      <c r="C131" s="2"/>
      <c r="D131" s="3"/>
      <c r="E131" s="3"/>
      <c r="F131" s="3"/>
      <c r="G131" s="3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2"/>
      <c r="Y131" s="2"/>
      <c r="Z131" s="2"/>
      <c r="AA131" s="2"/>
      <c r="AB131" s="2"/>
    </row>
    <row r="132" ht="12.75" customHeight="1">
      <c r="A132" s="2"/>
      <c r="B132" s="2"/>
      <c r="C132" s="2"/>
      <c r="D132" s="3"/>
      <c r="E132" s="3"/>
      <c r="F132" s="3"/>
      <c r="G132" s="3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2"/>
      <c r="Y132" s="2"/>
      <c r="Z132" s="2"/>
      <c r="AA132" s="2"/>
      <c r="AB132" s="2"/>
    </row>
    <row r="133" ht="12.75" customHeight="1">
      <c r="A133" s="2"/>
      <c r="B133" s="2"/>
      <c r="C133" s="2"/>
      <c r="D133" s="3"/>
      <c r="E133" s="3"/>
      <c r="F133" s="3"/>
      <c r="G133" s="3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2"/>
      <c r="Y133" s="2"/>
      <c r="Z133" s="2"/>
      <c r="AA133" s="2"/>
      <c r="AB133" s="2"/>
    </row>
    <row r="134" ht="12.75" customHeight="1">
      <c r="A134" s="2"/>
      <c r="B134" s="2"/>
      <c r="C134" s="2"/>
      <c r="D134" s="3"/>
      <c r="E134" s="3"/>
      <c r="F134" s="3"/>
      <c r="G134" s="3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2"/>
      <c r="Y134" s="2"/>
      <c r="Z134" s="2"/>
      <c r="AA134" s="2"/>
      <c r="AB134" s="2"/>
    </row>
    <row r="135" ht="12.75" customHeight="1">
      <c r="A135" s="2"/>
      <c r="B135" s="2"/>
      <c r="C135" s="2"/>
      <c r="D135" s="3"/>
      <c r="E135" s="3"/>
      <c r="F135" s="3"/>
      <c r="G135" s="3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2"/>
      <c r="Y135" s="2"/>
      <c r="Z135" s="2"/>
      <c r="AA135" s="2"/>
      <c r="AB135" s="2"/>
    </row>
    <row r="136" ht="12.75" customHeight="1">
      <c r="A136" s="2"/>
      <c r="B136" s="2"/>
      <c r="C136" s="2"/>
      <c r="D136" s="3"/>
      <c r="E136" s="3"/>
      <c r="F136" s="3"/>
      <c r="G136" s="3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2"/>
      <c r="Y136" s="2"/>
      <c r="Z136" s="2"/>
      <c r="AA136" s="2"/>
      <c r="AB136" s="2"/>
    </row>
    <row r="137" ht="12.75" customHeight="1">
      <c r="A137" s="2"/>
      <c r="B137" s="2"/>
      <c r="C137" s="2"/>
      <c r="D137" s="3"/>
      <c r="E137" s="3"/>
      <c r="F137" s="3"/>
      <c r="G137" s="3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2"/>
      <c r="Y137" s="2"/>
      <c r="Z137" s="2"/>
      <c r="AA137" s="2"/>
      <c r="AB137" s="2"/>
    </row>
    <row r="138" ht="12.75" customHeight="1">
      <c r="A138" s="2"/>
      <c r="B138" s="2"/>
      <c r="C138" s="2"/>
      <c r="D138" s="3"/>
      <c r="E138" s="3"/>
      <c r="F138" s="3"/>
      <c r="G138" s="3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2"/>
      <c r="Y138" s="2"/>
      <c r="Z138" s="2"/>
      <c r="AA138" s="2"/>
      <c r="AB138" s="2"/>
    </row>
    <row r="139" ht="12.75" customHeight="1">
      <c r="A139" s="2"/>
      <c r="B139" s="2"/>
      <c r="C139" s="2"/>
      <c r="D139" s="3"/>
      <c r="E139" s="3"/>
      <c r="F139" s="3"/>
      <c r="G139" s="3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2"/>
      <c r="Y139" s="2"/>
      <c r="Z139" s="2"/>
      <c r="AA139" s="2"/>
      <c r="AB139" s="2"/>
    </row>
    <row r="140" ht="12.75" customHeight="1">
      <c r="A140" s="2"/>
      <c r="B140" s="2"/>
      <c r="C140" s="2"/>
      <c r="D140" s="3"/>
      <c r="E140" s="3"/>
      <c r="F140" s="3"/>
      <c r="G140" s="3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2"/>
      <c r="Y140" s="2"/>
      <c r="Z140" s="2"/>
      <c r="AA140" s="2"/>
      <c r="AB140" s="2"/>
    </row>
    <row r="141" ht="12.75" customHeight="1">
      <c r="A141" s="2"/>
      <c r="B141" s="2"/>
      <c r="C141" s="2"/>
      <c r="D141" s="3"/>
      <c r="E141" s="3"/>
      <c r="F141" s="3"/>
      <c r="G141" s="3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2"/>
      <c r="Y141" s="2"/>
      <c r="Z141" s="2"/>
      <c r="AA141" s="2"/>
      <c r="AB141" s="2"/>
    </row>
    <row r="142" ht="12.75" customHeight="1">
      <c r="A142" s="2"/>
      <c r="B142" s="2"/>
      <c r="C142" s="2"/>
      <c r="D142" s="3"/>
      <c r="E142" s="3"/>
      <c r="F142" s="3"/>
      <c r="G142" s="3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2"/>
      <c r="Y142" s="2"/>
      <c r="Z142" s="2"/>
      <c r="AA142" s="2"/>
      <c r="AB142" s="2"/>
    </row>
    <row r="143" ht="12.75" customHeight="1">
      <c r="A143" s="2"/>
      <c r="B143" s="2"/>
      <c r="C143" s="2"/>
      <c r="D143" s="3"/>
      <c r="E143" s="3"/>
      <c r="F143" s="3"/>
      <c r="G143" s="3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2"/>
      <c r="Y143" s="2"/>
      <c r="Z143" s="2"/>
      <c r="AA143" s="2"/>
      <c r="AB143" s="2"/>
    </row>
    <row r="144" ht="12.75" customHeight="1">
      <c r="A144" s="2"/>
      <c r="B144" s="2"/>
      <c r="C144" s="2"/>
      <c r="D144" s="3"/>
      <c r="E144" s="3"/>
      <c r="F144" s="3"/>
      <c r="G144" s="3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2"/>
      <c r="Y144" s="2"/>
      <c r="Z144" s="2"/>
      <c r="AA144" s="2"/>
      <c r="AB144" s="2"/>
    </row>
    <row r="145" ht="12.75" customHeight="1">
      <c r="A145" s="2"/>
      <c r="B145" s="2"/>
      <c r="C145" s="2"/>
      <c r="D145" s="3"/>
      <c r="E145" s="3"/>
      <c r="F145" s="3"/>
      <c r="G145" s="3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2"/>
      <c r="Y145" s="2"/>
      <c r="Z145" s="2"/>
      <c r="AA145" s="2"/>
      <c r="AB145" s="2"/>
    </row>
    <row r="146" ht="12.75" customHeight="1">
      <c r="A146" s="2"/>
      <c r="B146" s="2"/>
      <c r="C146" s="2"/>
      <c r="D146" s="3"/>
      <c r="E146" s="3"/>
      <c r="F146" s="3"/>
      <c r="G146" s="3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2"/>
      <c r="Y146" s="2"/>
      <c r="Z146" s="2"/>
      <c r="AA146" s="2"/>
      <c r="AB146" s="2"/>
    </row>
    <row r="147" ht="12.75" customHeight="1">
      <c r="A147" s="2"/>
      <c r="B147" s="2"/>
      <c r="C147" s="2"/>
      <c r="D147" s="3"/>
      <c r="E147" s="3"/>
      <c r="F147" s="3"/>
      <c r="G147" s="3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2"/>
      <c r="Y147" s="2"/>
      <c r="Z147" s="2"/>
      <c r="AA147" s="2"/>
      <c r="AB147" s="2"/>
    </row>
    <row r="148" ht="12.75" customHeight="1">
      <c r="A148" s="2"/>
      <c r="B148" s="2"/>
      <c r="C148" s="2"/>
      <c r="D148" s="3"/>
      <c r="E148" s="3"/>
      <c r="F148" s="3"/>
      <c r="G148" s="3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2"/>
      <c r="Y148" s="2"/>
      <c r="Z148" s="2"/>
      <c r="AA148" s="2"/>
      <c r="AB148" s="2"/>
    </row>
    <row r="149" ht="12.75" customHeight="1">
      <c r="A149" s="2"/>
      <c r="B149" s="2"/>
      <c r="C149" s="2"/>
      <c r="D149" s="3"/>
      <c r="E149" s="3"/>
      <c r="F149" s="3"/>
      <c r="G149" s="3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2"/>
      <c r="Y149" s="2"/>
      <c r="Z149" s="2"/>
      <c r="AA149" s="2"/>
      <c r="AB149" s="2"/>
    </row>
    <row r="150" ht="12.75" customHeight="1">
      <c r="A150" s="2"/>
      <c r="B150" s="2"/>
      <c r="C150" s="2"/>
      <c r="D150" s="3"/>
      <c r="E150" s="3"/>
      <c r="F150" s="3"/>
      <c r="G150" s="3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2"/>
      <c r="Y150" s="2"/>
      <c r="Z150" s="2"/>
      <c r="AA150" s="2"/>
      <c r="AB150" s="2"/>
    </row>
    <row r="151" ht="12.75" customHeight="1">
      <c r="A151" s="2"/>
      <c r="B151" s="2"/>
      <c r="C151" s="2"/>
      <c r="D151" s="3"/>
      <c r="E151" s="3"/>
      <c r="F151" s="3"/>
      <c r="G151" s="3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2"/>
      <c r="Y151" s="2"/>
      <c r="Z151" s="2"/>
      <c r="AA151" s="2"/>
      <c r="AB151" s="2"/>
    </row>
    <row r="152" ht="12.75" customHeight="1">
      <c r="A152" s="2"/>
      <c r="B152" s="2"/>
      <c r="C152" s="2"/>
      <c r="D152" s="3"/>
      <c r="E152" s="3"/>
      <c r="F152" s="3"/>
      <c r="G152" s="3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2"/>
      <c r="Y152" s="2"/>
      <c r="Z152" s="2"/>
      <c r="AA152" s="2"/>
      <c r="AB152" s="2"/>
    </row>
    <row r="153" ht="12.75" customHeight="1">
      <c r="A153" s="2"/>
      <c r="B153" s="2"/>
      <c r="C153" s="2"/>
      <c r="D153" s="3"/>
      <c r="E153" s="3"/>
      <c r="F153" s="3"/>
      <c r="G153" s="3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2"/>
      <c r="Y153" s="2"/>
      <c r="Z153" s="2"/>
      <c r="AA153" s="2"/>
      <c r="AB153" s="2"/>
    </row>
    <row r="154" ht="12.75" customHeight="1">
      <c r="A154" s="2"/>
      <c r="B154" s="2"/>
      <c r="C154" s="2"/>
      <c r="D154" s="3"/>
      <c r="E154" s="3"/>
      <c r="F154" s="3"/>
      <c r="G154" s="3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2"/>
      <c r="Y154" s="2"/>
      <c r="Z154" s="2"/>
      <c r="AA154" s="2"/>
      <c r="AB154" s="2"/>
    </row>
    <row r="155" ht="12.75" customHeight="1">
      <c r="A155" s="2"/>
      <c r="B155" s="2"/>
      <c r="C155" s="2"/>
      <c r="D155" s="3"/>
      <c r="E155" s="3"/>
      <c r="F155" s="3"/>
      <c r="G155" s="3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2"/>
      <c r="Y155" s="2"/>
      <c r="Z155" s="2"/>
      <c r="AA155" s="2"/>
      <c r="AB155" s="2"/>
    </row>
    <row r="156" ht="12.75" customHeight="1">
      <c r="A156" s="2"/>
      <c r="B156" s="2"/>
      <c r="C156" s="2"/>
      <c r="D156" s="3"/>
      <c r="E156" s="3"/>
      <c r="F156" s="3"/>
      <c r="G156" s="3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2"/>
      <c r="Y156" s="2"/>
      <c r="Z156" s="2"/>
      <c r="AA156" s="2"/>
      <c r="AB156" s="2"/>
    </row>
    <row r="157" ht="12.75" customHeight="1">
      <c r="A157" s="2"/>
      <c r="B157" s="2"/>
      <c r="C157" s="2"/>
      <c r="D157" s="3"/>
      <c r="E157" s="3"/>
      <c r="F157" s="3"/>
      <c r="G157" s="3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2"/>
      <c r="Y157" s="2"/>
      <c r="Z157" s="2"/>
      <c r="AA157" s="2"/>
      <c r="AB157" s="2"/>
    </row>
    <row r="158" ht="12.75" customHeight="1">
      <c r="A158" s="2"/>
      <c r="B158" s="2"/>
      <c r="C158" s="2"/>
      <c r="D158" s="3"/>
      <c r="E158" s="3"/>
      <c r="F158" s="3"/>
      <c r="G158" s="3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2"/>
      <c r="Y158" s="2"/>
      <c r="Z158" s="2"/>
      <c r="AA158" s="2"/>
      <c r="AB158" s="2"/>
    </row>
    <row r="159" ht="12.75" customHeight="1">
      <c r="A159" s="2"/>
      <c r="B159" s="2"/>
      <c r="C159" s="2"/>
      <c r="D159" s="3"/>
      <c r="E159" s="3"/>
      <c r="F159" s="3"/>
      <c r="G159" s="3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2"/>
      <c r="Y159" s="2"/>
      <c r="Z159" s="2"/>
      <c r="AA159" s="2"/>
      <c r="AB159" s="2"/>
    </row>
    <row r="160" ht="12.75" customHeight="1">
      <c r="A160" s="2"/>
      <c r="B160" s="2"/>
      <c r="C160" s="2"/>
      <c r="D160" s="3"/>
      <c r="E160" s="3"/>
      <c r="F160" s="3"/>
      <c r="G160" s="3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2"/>
      <c r="Y160" s="2"/>
      <c r="Z160" s="2"/>
      <c r="AA160" s="2"/>
      <c r="AB160" s="2"/>
    </row>
    <row r="161" ht="12.75" customHeight="1">
      <c r="A161" s="2"/>
      <c r="B161" s="2"/>
      <c r="C161" s="2"/>
      <c r="D161" s="3"/>
      <c r="E161" s="3"/>
      <c r="F161" s="3"/>
      <c r="G161" s="3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2"/>
      <c r="Y161" s="2"/>
      <c r="Z161" s="2"/>
      <c r="AA161" s="2"/>
      <c r="AB161" s="2"/>
    </row>
    <row r="162" ht="12.75" customHeight="1">
      <c r="A162" s="2"/>
      <c r="B162" s="2"/>
      <c r="C162" s="2"/>
      <c r="D162" s="3"/>
      <c r="E162" s="3"/>
      <c r="F162" s="3"/>
      <c r="G162" s="3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2"/>
      <c r="Y162" s="2"/>
      <c r="Z162" s="2"/>
      <c r="AA162" s="2"/>
      <c r="AB162" s="2"/>
    </row>
    <row r="163" ht="12.75" customHeight="1">
      <c r="A163" s="2"/>
      <c r="B163" s="2"/>
      <c r="C163" s="2"/>
      <c r="D163" s="3"/>
      <c r="E163" s="3"/>
      <c r="F163" s="3"/>
      <c r="G163" s="3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2"/>
      <c r="Y163" s="2"/>
      <c r="Z163" s="2"/>
      <c r="AA163" s="2"/>
      <c r="AB163" s="2"/>
    </row>
    <row r="164" ht="12.75" customHeight="1">
      <c r="A164" s="2"/>
      <c r="B164" s="2"/>
      <c r="C164" s="2"/>
      <c r="D164" s="3"/>
      <c r="E164" s="3"/>
      <c r="F164" s="3"/>
      <c r="G164" s="3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2"/>
      <c r="Y164" s="2"/>
      <c r="Z164" s="2"/>
      <c r="AA164" s="2"/>
      <c r="AB164" s="2"/>
    </row>
    <row r="165" ht="12.75" customHeight="1">
      <c r="A165" s="2"/>
      <c r="B165" s="2"/>
      <c r="C165" s="2"/>
      <c r="D165" s="3"/>
      <c r="E165" s="3"/>
      <c r="F165" s="3"/>
      <c r="G165" s="3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2"/>
      <c r="Y165" s="2"/>
      <c r="Z165" s="2"/>
      <c r="AA165" s="2"/>
      <c r="AB165" s="2"/>
    </row>
    <row r="166" ht="12.75" customHeight="1">
      <c r="A166" s="2"/>
      <c r="B166" s="2"/>
      <c r="C166" s="2"/>
      <c r="D166" s="3"/>
      <c r="E166" s="3"/>
      <c r="F166" s="3"/>
      <c r="G166" s="3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2"/>
      <c r="Y166" s="2"/>
      <c r="Z166" s="2"/>
      <c r="AA166" s="2"/>
      <c r="AB166" s="2"/>
    </row>
    <row r="167" ht="12.75" customHeight="1">
      <c r="A167" s="2"/>
      <c r="B167" s="2"/>
      <c r="C167" s="2"/>
      <c r="D167" s="3"/>
      <c r="E167" s="3"/>
      <c r="F167" s="3"/>
      <c r="G167" s="3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2"/>
      <c r="Y167" s="2"/>
      <c r="Z167" s="2"/>
      <c r="AA167" s="2"/>
      <c r="AB167" s="2"/>
    </row>
    <row r="168" ht="12.75" customHeight="1">
      <c r="A168" s="2"/>
      <c r="B168" s="2"/>
      <c r="C168" s="2"/>
      <c r="D168" s="3"/>
      <c r="E168" s="3"/>
      <c r="F168" s="3"/>
      <c r="G168" s="3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2"/>
      <c r="Y168" s="2"/>
      <c r="Z168" s="2"/>
      <c r="AA168" s="2"/>
      <c r="AB168" s="2"/>
    </row>
    <row r="169" ht="12.75" customHeight="1">
      <c r="A169" s="2"/>
      <c r="B169" s="2"/>
      <c r="C169" s="2"/>
      <c r="D169" s="3"/>
      <c r="E169" s="3"/>
      <c r="F169" s="3"/>
      <c r="G169" s="3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2"/>
      <c r="Y169" s="2"/>
      <c r="Z169" s="2"/>
      <c r="AA169" s="2"/>
      <c r="AB169" s="2"/>
    </row>
    <row r="170" ht="12.75" customHeight="1">
      <c r="A170" s="2"/>
      <c r="B170" s="2"/>
      <c r="C170" s="2"/>
      <c r="D170" s="3"/>
      <c r="E170" s="3"/>
      <c r="F170" s="3"/>
      <c r="G170" s="3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2"/>
      <c r="Y170" s="2"/>
      <c r="Z170" s="2"/>
      <c r="AA170" s="2"/>
      <c r="AB170" s="2"/>
    </row>
    <row r="171" ht="12.75" customHeight="1">
      <c r="A171" s="2"/>
      <c r="B171" s="2"/>
      <c r="C171" s="2"/>
      <c r="D171" s="3"/>
      <c r="E171" s="3"/>
      <c r="F171" s="3"/>
      <c r="G171" s="3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2"/>
      <c r="Y171" s="2"/>
      <c r="Z171" s="2"/>
      <c r="AA171" s="2"/>
      <c r="AB171" s="2"/>
    </row>
    <row r="172" ht="12.75" customHeight="1">
      <c r="A172" s="2"/>
      <c r="B172" s="2"/>
      <c r="C172" s="2"/>
      <c r="D172" s="3"/>
      <c r="E172" s="3"/>
      <c r="F172" s="3"/>
      <c r="G172" s="3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"/>
      <c r="Y172" s="2"/>
      <c r="Z172" s="2"/>
      <c r="AA172" s="2"/>
      <c r="AB172" s="2"/>
    </row>
    <row r="173" ht="12.75" customHeight="1">
      <c r="A173" s="2"/>
      <c r="B173" s="2"/>
      <c r="C173" s="2"/>
      <c r="D173" s="3"/>
      <c r="E173" s="3"/>
      <c r="F173" s="3"/>
      <c r="G173" s="3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"/>
      <c r="Y173" s="2"/>
      <c r="Z173" s="2"/>
      <c r="AA173" s="2"/>
      <c r="AB173" s="2"/>
    </row>
    <row r="174" ht="12.75" customHeight="1">
      <c r="A174" s="2"/>
      <c r="B174" s="2"/>
      <c r="C174" s="2"/>
      <c r="D174" s="3"/>
      <c r="E174" s="3"/>
      <c r="F174" s="3"/>
      <c r="G174" s="3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"/>
      <c r="Y174" s="2"/>
      <c r="Z174" s="2"/>
      <c r="AA174" s="2"/>
      <c r="AB174" s="2"/>
    </row>
    <row r="175" ht="12.75" customHeight="1">
      <c r="A175" s="2"/>
      <c r="B175" s="2"/>
      <c r="C175" s="2"/>
      <c r="D175" s="3"/>
      <c r="E175" s="3"/>
      <c r="F175" s="3"/>
      <c r="G175" s="3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"/>
      <c r="Y175" s="2"/>
      <c r="Z175" s="2"/>
      <c r="AA175" s="2"/>
      <c r="AB175" s="2"/>
    </row>
    <row r="176" ht="12.75" customHeight="1">
      <c r="A176" s="2"/>
      <c r="B176" s="2"/>
      <c r="C176" s="2"/>
      <c r="D176" s="3"/>
      <c r="E176" s="3"/>
      <c r="F176" s="3"/>
      <c r="G176" s="3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"/>
      <c r="Y176" s="2"/>
      <c r="Z176" s="2"/>
      <c r="AA176" s="2"/>
      <c r="AB176" s="2"/>
    </row>
    <row r="177" ht="12.75" customHeight="1">
      <c r="A177" s="2"/>
      <c r="B177" s="2"/>
      <c r="C177" s="2"/>
      <c r="D177" s="3"/>
      <c r="E177" s="3"/>
      <c r="F177" s="3"/>
      <c r="G177" s="3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"/>
      <c r="Y177" s="2"/>
      <c r="Z177" s="2"/>
      <c r="AA177" s="2"/>
      <c r="AB177" s="2"/>
    </row>
    <row r="178" ht="12.75" customHeight="1">
      <c r="A178" s="2"/>
      <c r="B178" s="2"/>
      <c r="C178" s="2"/>
      <c r="D178" s="3"/>
      <c r="E178" s="3"/>
      <c r="F178" s="3"/>
      <c r="G178" s="3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2"/>
      <c r="Y178" s="2"/>
      <c r="Z178" s="2"/>
      <c r="AA178" s="2"/>
      <c r="AB178" s="2"/>
    </row>
    <row r="179" ht="12.75" customHeight="1">
      <c r="A179" s="2"/>
      <c r="B179" s="2"/>
      <c r="C179" s="2"/>
      <c r="D179" s="3"/>
      <c r="E179" s="3"/>
      <c r="F179" s="3"/>
      <c r="G179" s="3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2"/>
      <c r="Y179" s="2"/>
      <c r="Z179" s="2"/>
      <c r="AA179" s="2"/>
      <c r="AB179" s="2"/>
    </row>
    <row r="180" ht="12.75" customHeight="1">
      <c r="A180" s="2"/>
      <c r="B180" s="2"/>
      <c r="C180" s="2"/>
      <c r="D180" s="3"/>
      <c r="E180" s="3"/>
      <c r="F180" s="3"/>
      <c r="G180" s="3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2"/>
      <c r="Y180" s="2"/>
      <c r="Z180" s="2"/>
      <c r="AA180" s="2"/>
      <c r="AB180" s="2"/>
    </row>
    <row r="181" ht="12.75" customHeight="1">
      <c r="A181" s="2"/>
      <c r="B181" s="2"/>
      <c r="C181" s="2"/>
      <c r="D181" s="3"/>
      <c r="E181" s="3"/>
      <c r="F181" s="3"/>
      <c r="G181" s="3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2"/>
      <c r="Y181" s="2"/>
      <c r="Z181" s="2"/>
      <c r="AA181" s="2"/>
      <c r="AB181" s="2"/>
    </row>
    <row r="182" ht="12.75" customHeight="1">
      <c r="A182" s="2"/>
      <c r="B182" s="2"/>
      <c r="C182" s="2"/>
      <c r="D182" s="3"/>
      <c r="E182" s="3"/>
      <c r="F182" s="3"/>
      <c r="G182" s="3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2"/>
      <c r="Y182" s="2"/>
      <c r="Z182" s="2"/>
      <c r="AA182" s="2"/>
      <c r="AB182" s="2"/>
    </row>
    <row r="183" ht="12.75" customHeight="1">
      <c r="A183" s="2"/>
      <c r="B183" s="2"/>
      <c r="C183" s="2"/>
      <c r="D183" s="3"/>
      <c r="E183" s="3"/>
      <c r="F183" s="3"/>
      <c r="G183" s="3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2"/>
      <c r="Y183" s="2"/>
      <c r="Z183" s="2"/>
      <c r="AA183" s="2"/>
      <c r="AB183" s="2"/>
    </row>
    <row r="184" ht="12.75" customHeight="1">
      <c r="A184" s="2"/>
      <c r="B184" s="2"/>
      <c r="C184" s="2"/>
      <c r="D184" s="3"/>
      <c r="E184" s="3"/>
      <c r="F184" s="3"/>
      <c r="G184" s="3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2"/>
      <c r="Y184" s="2"/>
      <c r="Z184" s="2"/>
      <c r="AA184" s="2"/>
      <c r="AB184" s="2"/>
    </row>
    <row r="185" ht="12.75" customHeight="1">
      <c r="A185" s="2"/>
      <c r="B185" s="2"/>
      <c r="C185" s="2"/>
      <c r="D185" s="3"/>
      <c r="E185" s="3"/>
      <c r="F185" s="3"/>
      <c r="G185" s="3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2"/>
      <c r="Y185" s="2"/>
      <c r="Z185" s="2"/>
      <c r="AA185" s="2"/>
      <c r="AB185" s="2"/>
    </row>
    <row r="186" ht="12.75" customHeight="1">
      <c r="A186" s="2"/>
      <c r="B186" s="2"/>
      <c r="C186" s="2"/>
      <c r="D186" s="3"/>
      <c r="E186" s="3"/>
      <c r="F186" s="3"/>
      <c r="G186" s="3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2"/>
      <c r="Y186" s="2"/>
      <c r="Z186" s="2"/>
      <c r="AA186" s="2"/>
      <c r="AB186" s="2"/>
    </row>
    <row r="187" ht="12.75" customHeight="1">
      <c r="A187" s="2"/>
      <c r="B187" s="2"/>
      <c r="C187" s="2"/>
      <c r="D187" s="3"/>
      <c r="E187" s="3"/>
      <c r="F187" s="3"/>
      <c r="G187" s="3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2"/>
      <c r="Y187" s="2"/>
      <c r="Z187" s="2"/>
      <c r="AA187" s="2"/>
      <c r="AB187" s="2"/>
    </row>
    <row r="188" ht="12.75" customHeight="1">
      <c r="A188" s="2"/>
      <c r="B188" s="2"/>
      <c r="C188" s="2"/>
      <c r="D188" s="3"/>
      <c r="E188" s="3"/>
      <c r="F188" s="3"/>
      <c r="G188" s="3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2"/>
      <c r="Y188" s="2"/>
      <c r="Z188" s="2"/>
      <c r="AA188" s="2"/>
      <c r="AB188" s="2"/>
    </row>
    <row r="189" ht="12.75" customHeight="1">
      <c r="A189" s="2"/>
      <c r="B189" s="2"/>
      <c r="C189" s="2"/>
      <c r="D189" s="3"/>
      <c r="E189" s="3"/>
      <c r="F189" s="3"/>
      <c r="G189" s="3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2"/>
      <c r="Y189" s="2"/>
      <c r="Z189" s="2"/>
      <c r="AA189" s="2"/>
      <c r="AB189" s="2"/>
    </row>
    <row r="190" ht="12.75" customHeight="1">
      <c r="A190" s="2"/>
      <c r="B190" s="2"/>
      <c r="C190" s="2"/>
      <c r="D190" s="3"/>
      <c r="E190" s="3"/>
      <c r="F190" s="3"/>
      <c r="G190" s="3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2"/>
      <c r="Y190" s="2"/>
      <c r="Z190" s="2"/>
      <c r="AA190" s="2"/>
      <c r="AB190" s="2"/>
    </row>
    <row r="191" ht="12.75" customHeight="1">
      <c r="A191" s="2"/>
      <c r="B191" s="2"/>
      <c r="C191" s="2"/>
      <c r="D191" s="3"/>
      <c r="E191" s="3"/>
      <c r="F191" s="3"/>
      <c r="G191" s="3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2"/>
      <c r="Y191" s="2"/>
      <c r="Z191" s="2"/>
      <c r="AA191" s="2"/>
      <c r="AB191" s="2"/>
    </row>
    <row r="192" ht="12.75" customHeight="1">
      <c r="A192" s="2"/>
      <c r="B192" s="2"/>
      <c r="C192" s="2"/>
      <c r="D192" s="3"/>
      <c r="E192" s="3"/>
      <c r="F192" s="3"/>
      <c r="G192" s="3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2"/>
      <c r="Y192" s="2"/>
      <c r="Z192" s="2"/>
      <c r="AA192" s="2"/>
      <c r="AB192" s="2"/>
    </row>
    <row r="193" ht="12.75" customHeight="1">
      <c r="A193" s="2"/>
      <c r="B193" s="2"/>
      <c r="C193" s="2"/>
      <c r="D193" s="3"/>
      <c r="E193" s="3"/>
      <c r="F193" s="3"/>
      <c r="G193" s="3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2"/>
      <c r="Y193" s="2"/>
      <c r="Z193" s="2"/>
      <c r="AA193" s="2"/>
      <c r="AB193" s="2"/>
    </row>
    <row r="194" ht="12.75" customHeight="1">
      <c r="A194" s="2"/>
      <c r="B194" s="2"/>
      <c r="C194" s="2"/>
      <c r="D194" s="3"/>
      <c r="E194" s="3"/>
      <c r="F194" s="3"/>
      <c r="G194" s="3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2"/>
      <c r="Y194" s="2"/>
      <c r="Z194" s="2"/>
      <c r="AA194" s="2"/>
      <c r="AB194" s="2"/>
    </row>
    <row r="195" ht="12.75" customHeight="1">
      <c r="A195" s="2"/>
      <c r="B195" s="2"/>
      <c r="C195" s="2"/>
      <c r="D195" s="3"/>
      <c r="E195" s="3"/>
      <c r="F195" s="3"/>
      <c r="G195" s="3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2"/>
      <c r="Y195" s="2"/>
      <c r="Z195" s="2"/>
      <c r="AA195" s="2"/>
      <c r="AB195" s="2"/>
    </row>
    <row r="196" ht="12.75" customHeight="1">
      <c r="A196" s="2"/>
      <c r="B196" s="2"/>
      <c r="C196" s="2"/>
      <c r="D196" s="3"/>
      <c r="E196" s="3"/>
      <c r="F196" s="3"/>
      <c r="G196" s="3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2"/>
      <c r="Y196" s="2"/>
      <c r="Z196" s="2"/>
      <c r="AA196" s="2"/>
      <c r="AB196" s="2"/>
    </row>
    <row r="197" ht="12.75" customHeight="1">
      <c r="A197" s="2"/>
      <c r="B197" s="2"/>
      <c r="C197" s="2"/>
      <c r="D197" s="3"/>
      <c r="E197" s="3"/>
      <c r="F197" s="3"/>
      <c r="G197" s="3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2"/>
      <c r="Y197" s="2"/>
      <c r="Z197" s="2"/>
      <c r="AA197" s="2"/>
      <c r="AB197" s="2"/>
    </row>
    <row r="198" ht="12.75" customHeight="1">
      <c r="A198" s="2"/>
      <c r="B198" s="2"/>
      <c r="C198" s="2"/>
      <c r="D198" s="3"/>
      <c r="E198" s="3"/>
      <c r="F198" s="3"/>
      <c r="G198" s="3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2"/>
      <c r="Y198" s="2"/>
      <c r="Z198" s="2"/>
      <c r="AA198" s="2"/>
      <c r="AB198" s="2"/>
    </row>
    <row r="199" ht="12.75" customHeight="1">
      <c r="A199" s="2"/>
      <c r="B199" s="2"/>
      <c r="C199" s="2"/>
      <c r="D199" s="3"/>
      <c r="E199" s="3"/>
      <c r="F199" s="3"/>
      <c r="G199" s="3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2"/>
      <c r="Y199" s="2"/>
      <c r="Z199" s="2"/>
      <c r="AA199" s="2"/>
      <c r="AB199" s="2"/>
    </row>
    <row r="200" ht="12.75" customHeight="1">
      <c r="A200" s="2"/>
      <c r="B200" s="2"/>
      <c r="C200" s="2"/>
      <c r="D200" s="3"/>
      <c r="E200" s="3"/>
      <c r="F200" s="3"/>
      <c r="G200" s="3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2"/>
      <c r="Y200" s="2"/>
      <c r="Z200" s="2"/>
      <c r="AA200" s="2"/>
      <c r="AB200" s="2"/>
    </row>
    <row r="201" ht="12.75" customHeight="1">
      <c r="A201" s="2"/>
      <c r="B201" s="2"/>
      <c r="C201" s="2"/>
      <c r="D201" s="3"/>
      <c r="E201" s="3"/>
      <c r="F201" s="3"/>
      <c r="G201" s="3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2"/>
      <c r="Y201" s="2"/>
      <c r="Z201" s="2"/>
      <c r="AA201" s="2"/>
      <c r="AB201" s="2"/>
    </row>
    <row r="202" ht="12.75" customHeight="1">
      <c r="A202" s="2"/>
      <c r="B202" s="2"/>
      <c r="C202" s="2"/>
      <c r="D202" s="3"/>
      <c r="E202" s="3"/>
      <c r="F202" s="3"/>
      <c r="G202" s="3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2"/>
      <c r="Y202" s="2"/>
      <c r="Z202" s="2"/>
      <c r="AA202" s="2"/>
      <c r="AB202" s="2"/>
    </row>
    <row r="203" ht="12.75" customHeight="1">
      <c r="A203" s="2"/>
      <c r="B203" s="2"/>
      <c r="C203" s="2"/>
      <c r="D203" s="3"/>
      <c r="E203" s="3"/>
      <c r="F203" s="3"/>
      <c r="G203" s="3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2"/>
      <c r="Y203" s="2"/>
      <c r="Z203" s="2"/>
      <c r="AA203" s="2"/>
      <c r="AB203" s="2"/>
    </row>
    <row r="204" ht="12.75" customHeight="1">
      <c r="A204" s="2"/>
      <c r="B204" s="2"/>
      <c r="C204" s="2"/>
      <c r="D204" s="3"/>
      <c r="E204" s="3"/>
      <c r="F204" s="3"/>
      <c r="G204" s="3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2"/>
      <c r="Y204" s="2"/>
      <c r="Z204" s="2"/>
      <c r="AA204" s="2"/>
      <c r="AB204" s="2"/>
    </row>
    <row r="205" ht="12.75" customHeight="1">
      <c r="A205" s="2"/>
      <c r="B205" s="2"/>
      <c r="C205" s="2"/>
      <c r="D205" s="3"/>
      <c r="E205" s="3"/>
      <c r="F205" s="3"/>
      <c r="G205" s="3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2"/>
      <c r="Y205" s="2"/>
      <c r="Z205" s="2"/>
      <c r="AA205" s="2"/>
      <c r="AB205" s="2"/>
    </row>
    <row r="206" ht="12.75" customHeight="1">
      <c r="A206" s="2"/>
      <c r="B206" s="2"/>
      <c r="C206" s="2"/>
      <c r="D206" s="3"/>
      <c r="E206" s="3"/>
      <c r="F206" s="3"/>
      <c r="G206" s="3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2"/>
      <c r="Y206" s="2"/>
      <c r="Z206" s="2"/>
      <c r="AA206" s="2"/>
      <c r="AB206" s="2"/>
    </row>
    <row r="207" ht="12.75" customHeight="1">
      <c r="A207" s="2"/>
      <c r="B207" s="2"/>
      <c r="C207" s="2"/>
      <c r="D207" s="3"/>
      <c r="E207" s="3"/>
      <c r="F207" s="3"/>
      <c r="G207" s="3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2"/>
      <c r="Y207" s="2"/>
      <c r="Z207" s="2"/>
      <c r="AA207" s="2"/>
      <c r="AB207" s="2"/>
    </row>
    <row r="208" ht="12.75" customHeight="1">
      <c r="A208" s="2"/>
      <c r="B208" s="2"/>
      <c r="C208" s="2"/>
      <c r="D208" s="3"/>
      <c r="E208" s="3"/>
      <c r="F208" s="3"/>
      <c r="G208" s="3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2"/>
      <c r="Y208" s="2"/>
      <c r="Z208" s="2"/>
      <c r="AA208" s="2"/>
      <c r="AB208" s="2"/>
    </row>
    <row r="209" ht="12.75" customHeight="1">
      <c r="A209" s="2"/>
      <c r="B209" s="2"/>
      <c r="C209" s="2"/>
      <c r="D209" s="3"/>
      <c r="E209" s="3"/>
      <c r="F209" s="3"/>
      <c r="G209" s="3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2"/>
      <c r="Y209" s="2"/>
      <c r="Z209" s="2"/>
      <c r="AA209" s="2"/>
      <c r="AB209" s="2"/>
    </row>
    <row r="210" ht="12.75" customHeight="1">
      <c r="A210" s="2"/>
      <c r="B210" s="2"/>
      <c r="C210" s="2"/>
      <c r="D210" s="3"/>
      <c r="E210" s="3"/>
      <c r="F210" s="3"/>
      <c r="G210" s="3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2"/>
      <c r="Y210" s="2"/>
      <c r="Z210" s="2"/>
      <c r="AA210" s="2"/>
      <c r="AB210" s="2"/>
    </row>
    <row r="211" ht="12.75" customHeight="1">
      <c r="A211" s="2"/>
      <c r="B211" s="2"/>
      <c r="C211" s="2"/>
      <c r="D211" s="3"/>
      <c r="E211" s="3"/>
      <c r="F211" s="3"/>
      <c r="G211" s="3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2"/>
      <c r="Y211" s="2"/>
      <c r="Z211" s="2"/>
      <c r="AA211" s="2"/>
      <c r="AB211" s="2"/>
    </row>
    <row r="212" ht="12.75" customHeight="1">
      <c r="A212" s="2"/>
      <c r="B212" s="2"/>
      <c r="C212" s="2"/>
      <c r="D212" s="3"/>
      <c r="E212" s="3"/>
      <c r="F212" s="3"/>
      <c r="G212" s="3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2"/>
      <c r="Y212" s="2"/>
      <c r="Z212" s="2"/>
      <c r="AA212" s="2"/>
      <c r="AB212" s="2"/>
    </row>
    <row r="213" ht="12.75" customHeight="1">
      <c r="A213" s="2"/>
      <c r="B213" s="2"/>
      <c r="C213" s="2"/>
      <c r="D213" s="3"/>
      <c r="E213" s="3"/>
      <c r="F213" s="3"/>
      <c r="G213" s="3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2"/>
      <c r="Y213" s="2"/>
      <c r="Z213" s="2"/>
      <c r="AA213" s="2"/>
      <c r="AB213" s="2"/>
    </row>
    <row r="214" ht="12.75" customHeight="1">
      <c r="A214" s="2"/>
      <c r="B214" s="2"/>
      <c r="C214" s="2"/>
      <c r="D214" s="3"/>
      <c r="E214" s="3"/>
      <c r="F214" s="3"/>
      <c r="G214" s="3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2"/>
      <c r="Y214" s="2"/>
      <c r="Z214" s="2"/>
      <c r="AA214" s="2"/>
      <c r="AB214" s="2"/>
    </row>
    <row r="215" ht="12.75" customHeight="1">
      <c r="A215" s="2"/>
      <c r="B215" s="2"/>
      <c r="C215" s="2"/>
      <c r="D215" s="3"/>
      <c r="E215" s="3"/>
      <c r="F215" s="3"/>
      <c r="G215" s="3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2"/>
      <c r="Y215" s="2"/>
      <c r="Z215" s="2"/>
      <c r="AA215" s="2"/>
      <c r="AB215" s="2"/>
    </row>
    <row r="216" ht="12.75" customHeight="1">
      <c r="A216" s="2"/>
      <c r="B216" s="2"/>
      <c r="C216" s="2"/>
      <c r="D216" s="3"/>
      <c r="E216" s="3"/>
      <c r="F216" s="3"/>
      <c r="G216" s="3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2"/>
      <c r="Y216" s="2"/>
      <c r="Z216" s="2"/>
      <c r="AA216" s="2"/>
      <c r="AB216" s="2"/>
    </row>
    <row r="217" ht="12.75" customHeight="1">
      <c r="A217" s="2"/>
      <c r="B217" s="2"/>
      <c r="C217" s="2"/>
      <c r="D217" s="3"/>
      <c r="E217" s="3"/>
      <c r="F217" s="3"/>
      <c r="G217" s="3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"/>
      <c r="Y217" s="2"/>
      <c r="Z217" s="2"/>
      <c r="AA217" s="2"/>
      <c r="AB217" s="2"/>
    </row>
    <row r="218" ht="12.75" customHeight="1">
      <c r="A218" s="2"/>
      <c r="B218" s="2"/>
      <c r="C218" s="2"/>
      <c r="D218" s="3"/>
      <c r="E218" s="3"/>
      <c r="F218" s="3"/>
      <c r="G218" s="3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2"/>
      <c r="Y218" s="2"/>
      <c r="Z218" s="2"/>
      <c r="AA218" s="2"/>
      <c r="AB218" s="2"/>
    </row>
    <row r="219" ht="12.75" customHeight="1">
      <c r="A219" s="2"/>
      <c r="B219" s="2"/>
      <c r="C219" s="2"/>
      <c r="D219" s="3"/>
      <c r="E219" s="3"/>
      <c r="F219" s="3"/>
      <c r="G219" s="3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2"/>
      <c r="Y219" s="2"/>
      <c r="Z219" s="2"/>
      <c r="AA219" s="2"/>
      <c r="AB219" s="2"/>
    </row>
    <row r="220" ht="12.75" customHeight="1">
      <c r="A220" s="2"/>
      <c r="B220" s="2"/>
      <c r="C220" s="2"/>
      <c r="D220" s="3"/>
      <c r="E220" s="3"/>
      <c r="F220" s="3"/>
      <c r="G220" s="3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2"/>
      <c r="Y220" s="2"/>
      <c r="Z220" s="2"/>
      <c r="AA220" s="2"/>
      <c r="AB220" s="2"/>
    </row>
    <row r="221" ht="12.75" customHeight="1">
      <c r="A221" s="2"/>
      <c r="B221" s="2"/>
      <c r="C221" s="2"/>
      <c r="D221" s="3"/>
      <c r="E221" s="3"/>
      <c r="F221" s="3"/>
      <c r="G221" s="3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2"/>
      <c r="Y221" s="2"/>
      <c r="Z221" s="2"/>
      <c r="AA221" s="2"/>
      <c r="AB221" s="2"/>
    </row>
    <row r="222" ht="12.75" customHeight="1">
      <c r="A222" s="2"/>
      <c r="B222" s="2"/>
      <c r="C222" s="2"/>
      <c r="D222" s="3"/>
      <c r="E222" s="3"/>
      <c r="F222" s="3"/>
      <c r="G222" s="3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2"/>
      <c r="Y222" s="2"/>
      <c r="Z222" s="2"/>
      <c r="AA222" s="2"/>
      <c r="AB222" s="2"/>
    </row>
    <row r="223" ht="12.75" customHeight="1">
      <c r="A223" s="2"/>
      <c r="B223" s="2"/>
      <c r="C223" s="2"/>
      <c r="D223" s="3"/>
      <c r="E223" s="3"/>
      <c r="F223" s="3"/>
      <c r="G223" s="3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2"/>
      <c r="Y223" s="2"/>
      <c r="Z223" s="2"/>
      <c r="AA223" s="2"/>
      <c r="AB223" s="2"/>
    </row>
    <row r="224" ht="12.75" customHeight="1">
      <c r="A224" s="2"/>
      <c r="B224" s="2"/>
      <c r="C224" s="2"/>
      <c r="D224" s="3"/>
      <c r="E224" s="3"/>
      <c r="F224" s="3"/>
      <c r="G224" s="3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2"/>
      <c r="Y224" s="2"/>
      <c r="Z224" s="2"/>
      <c r="AA224" s="2"/>
      <c r="AB224" s="2"/>
    </row>
    <row r="225" ht="12.75" customHeight="1">
      <c r="A225" s="2"/>
      <c r="B225" s="2"/>
      <c r="C225" s="2"/>
      <c r="D225" s="3"/>
      <c r="E225" s="3"/>
      <c r="F225" s="3"/>
      <c r="G225" s="3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2"/>
      <c r="Y225" s="2"/>
      <c r="Z225" s="2"/>
      <c r="AA225" s="2"/>
      <c r="AB225" s="2"/>
    </row>
    <row r="226" ht="12.75" customHeight="1">
      <c r="A226" s="2"/>
      <c r="B226" s="2"/>
      <c r="C226" s="2"/>
      <c r="D226" s="3"/>
      <c r="E226" s="3"/>
      <c r="F226" s="3"/>
      <c r="G226" s="3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2"/>
      <c r="Y226" s="2"/>
      <c r="Z226" s="2"/>
      <c r="AA226" s="2"/>
      <c r="AB226" s="2"/>
    </row>
    <row r="227" ht="12.75" customHeight="1">
      <c r="A227" s="2"/>
      <c r="B227" s="2"/>
      <c r="C227" s="2"/>
      <c r="D227" s="3"/>
      <c r="E227" s="3"/>
      <c r="F227" s="3"/>
      <c r="G227" s="3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2"/>
      <c r="Y227" s="2"/>
      <c r="Z227" s="2"/>
      <c r="AA227" s="2"/>
      <c r="AB227" s="2"/>
    </row>
    <row r="228" ht="12.75" customHeight="1">
      <c r="A228" s="2"/>
      <c r="B228" s="2"/>
      <c r="C228" s="2"/>
      <c r="D228" s="3"/>
      <c r="E228" s="3"/>
      <c r="F228" s="3"/>
      <c r="G228" s="3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2"/>
      <c r="Y228" s="2"/>
      <c r="Z228" s="2"/>
      <c r="AA228" s="2"/>
      <c r="AB228" s="2"/>
    </row>
    <row r="229" ht="12.75" customHeight="1">
      <c r="A229" s="2"/>
      <c r="B229" s="2"/>
      <c r="C229" s="2"/>
      <c r="D229" s="3"/>
      <c r="E229" s="3"/>
      <c r="F229" s="3"/>
      <c r="G229" s="3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2"/>
      <c r="Y229" s="2"/>
      <c r="Z229" s="2"/>
      <c r="AA229" s="2"/>
      <c r="AB229" s="2"/>
    </row>
    <row r="230" ht="12.75" customHeight="1">
      <c r="A230" s="2"/>
      <c r="B230" s="2"/>
      <c r="C230" s="2"/>
      <c r="D230" s="3"/>
      <c r="E230" s="3"/>
      <c r="F230" s="3"/>
      <c r="G230" s="3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2"/>
      <c r="Y230" s="2"/>
      <c r="Z230" s="2"/>
      <c r="AA230" s="2"/>
      <c r="AB230" s="2"/>
    </row>
    <row r="231" ht="12.75" customHeight="1">
      <c r="A231" s="2"/>
      <c r="B231" s="2"/>
      <c r="C231" s="2"/>
      <c r="D231" s="3"/>
      <c r="E231" s="3"/>
      <c r="F231" s="3"/>
      <c r="G231" s="3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2"/>
      <c r="Y231" s="2"/>
      <c r="Z231" s="2"/>
      <c r="AA231" s="2"/>
      <c r="AB231" s="2"/>
    </row>
    <row r="232" ht="12.75" customHeight="1">
      <c r="A232" s="2"/>
      <c r="B232" s="2"/>
      <c r="C232" s="2"/>
      <c r="D232" s="3"/>
      <c r="E232" s="3"/>
      <c r="F232" s="3"/>
      <c r="G232" s="3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2"/>
      <c r="Y232" s="2"/>
      <c r="Z232" s="2"/>
      <c r="AA232" s="2"/>
      <c r="AB232" s="2"/>
    </row>
    <row r="233" ht="12.75" customHeight="1">
      <c r="A233" s="2"/>
      <c r="B233" s="2"/>
      <c r="C233" s="2"/>
      <c r="D233" s="3"/>
      <c r="E233" s="3"/>
      <c r="F233" s="3"/>
      <c r="G233" s="3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2"/>
      <c r="Y233" s="2"/>
      <c r="Z233" s="2"/>
      <c r="AA233" s="2"/>
      <c r="AB233" s="2"/>
    </row>
    <row r="234" ht="12.75" customHeight="1">
      <c r="A234" s="2"/>
      <c r="B234" s="2"/>
      <c r="C234" s="2"/>
      <c r="D234" s="3"/>
      <c r="E234" s="3"/>
      <c r="F234" s="3"/>
      <c r="G234" s="3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2"/>
      <c r="Y234" s="2"/>
      <c r="Z234" s="2"/>
      <c r="AA234" s="2"/>
      <c r="AB234" s="2"/>
    </row>
    <row r="235" ht="12.75" customHeight="1">
      <c r="A235" s="2"/>
      <c r="B235" s="2"/>
      <c r="C235" s="2"/>
      <c r="D235" s="3"/>
      <c r="E235" s="3"/>
      <c r="F235" s="3"/>
      <c r="G235" s="3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2"/>
      <c r="Y235" s="2"/>
      <c r="Z235" s="2"/>
      <c r="AA235" s="2"/>
      <c r="AB235" s="2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</row>
  </sheetData>
  <printOptions/>
  <pageMargins bottom="0.75" footer="0.0" header="0.0" left="0.7" right="0.7" top="0.75"/>
  <pageSetup paperSize="9" scale="63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0"/>
    <col customWidth="1" min="3" max="3" width="32.71"/>
    <col customWidth="1" min="4" max="4" width="10.86"/>
    <col customWidth="1" min="5" max="5" width="8.29"/>
    <col customWidth="1" min="6" max="6" width="4.43"/>
    <col customWidth="1" min="7" max="7" width="8.71"/>
    <col customWidth="1" min="8" max="8" width="3.43"/>
    <col customWidth="1" min="9" max="9" width="8.0"/>
    <col customWidth="1" min="10" max="20" width="7.86"/>
    <col customWidth="1" min="21" max="21" width="8.71"/>
    <col customWidth="1" min="22" max="22" width="9.57"/>
    <col customWidth="1" min="23" max="23" width="10.0"/>
    <col customWidth="1" min="24" max="28" width="9.0"/>
  </cols>
  <sheetData>
    <row r="1" ht="12.75" customHeight="1">
      <c r="A1" s="1" t="s">
        <v>0</v>
      </c>
      <c r="B1" s="2"/>
      <c r="C1" s="2"/>
      <c r="D1" s="3"/>
      <c r="E1" s="3"/>
      <c r="F1" s="3"/>
      <c r="G1" s="3"/>
      <c r="H1" s="4"/>
      <c r="I1" s="1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2"/>
      <c r="Y1" s="2"/>
      <c r="Z1" s="6"/>
      <c r="AA1" s="2"/>
      <c r="AB1" s="6"/>
    </row>
    <row r="2" ht="12.75" customHeight="1">
      <c r="A2" s="1"/>
      <c r="B2" s="2"/>
      <c r="C2" s="2"/>
      <c r="D2" s="3"/>
      <c r="E2" s="3"/>
      <c r="F2" s="3"/>
      <c r="G2" s="3"/>
      <c r="H2" s="4"/>
      <c r="I2" s="1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2"/>
      <c r="Y2" s="2"/>
      <c r="Z2" s="6"/>
      <c r="AA2" s="2"/>
      <c r="AB2" s="6"/>
    </row>
    <row r="3" ht="12.75" customHeight="1">
      <c r="A3" s="7" t="s">
        <v>51</v>
      </c>
      <c r="B3" s="2"/>
      <c r="C3" s="2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2"/>
      <c r="Y3" s="2"/>
      <c r="Z3" s="6"/>
      <c r="AA3" s="2"/>
      <c r="AB3" s="6"/>
    </row>
    <row r="4" ht="12.75" customHeight="1">
      <c r="A4" s="29" t="s">
        <v>2</v>
      </c>
      <c r="B4" s="29" t="s">
        <v>3</v>
      </c>
      <c r="C4" s="29" t="s">
        <v>4</v>
      </c>
      <c r="D4" s="30" t="s">
        <v>5</v>
      </c>
      <c r="E4" s="30" t="s">
        <v>6</v>
      </c>
      <c r="F4" s="30" t="s">
        <v>20</v>
      </c>
      <c r="G4" s="30" t="s">
        <v>8</v>
      </c>
      <c r="H4" s="31" t="s">
        <v>9</v>
      </c>
      <c r="I4" s="11">
        <v>44651.0</v>
      </c>
      <c r="J4" s="11">
        <v>44681.0</v>
      </c>
      <c r="K4" s="11">
        <v>44712.0</v>
      </c>
      <c r="L4" s="11">
        <v>44742.0</v>
      </c>
      <c r="M4" s="11">
        <v>44773.0</v>
      </c>
      <c r="N4" s="11">
        <v>44804.0</v>
      </c>
      <c r="O4" s="11">
        <v>44834.0</v>
      </c>
      <c r="P4" s="11">
        <v>44865.0</v>
      </c>
      <c r="Q4" s="11">
        <v>44895.0</v>
      </c>
      <c r="R4" s="11">
        <v>44926.0</v>
      </c>
      <c r="S4" s="11">
        <v>44957.0</v>
      </c>
      <c r="T4" s="11">
        <v>44985.0</v>
      </c>
      <c r="U4" s="26" t="s">
        <v>10</v>
      </c>
      <c r="V4" s="11" t="s">
        <v>11</v>
      </c>
      <c r="W4" s="11" t="s">
        <v>49</v>
      </c>
      <c r="X4" s="2"/>
      <c r="Y4" s="2"/>
      <c r="Z4" s="6"/>
      <c r="AA4" s="2"/>
      <c r="AB4" s="6"/>
    </row>
    <row r="5" ht="12.75" customHeight="1">
      <c r="A5" s="12"/>
      <c r="B5" s="12"/>
      <c r="C5" s="2"/>
      <c r="D5" s="3"/>
      <c r="E5" s="3"/>
      <c r="F5" s="3"/>
      <c r="G5" s="3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2"/>
      <c r="Y5" s="2"/>
      <c r="Z5" s="6"/>
      <c r="AA5" s="2"/>
      <c r="AB5" s="6"/>
    </row>
    <row r="6" ht="12.75" customHeight="1">
      <c r="A6" s="13" t="s">
        <v>13</v>
      </c>
      <c r="B6" s="2"/>
      <c r="C6" s="2"/>
      <c r="D6" s="3"/>
      <c r="E6" s="14"/>
      <c r="F6" s="3"/>
      <c r="G6" s="3"/>
      <c r="H6" s="4"/>
      <c r="I6" s="13" t="str">
        <f>+A6</f>
        <v>6100&gt;020 (Computer Equipment&gt;Cost)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"/>
      <c r="Y6" s="2"/>
      <c r="Z6" s="6"/>
      <c r="AA6" s="2"/>
      <c r="AB6" s="6"/>
    </row>
    <row r="7" ht="12.75" customHeight="1">
      <c r="A7" s="8"/>
      <c r="B7" s="2"/>
      <c r="C7" s="2"/>
      <c r="D7" s="3"/>
      <c r="E7" s="14"/>
      <c r="F7" s="3"/>
      <c r="G7" s="3"/>
      <c r="H7" s="4">
        <v>3.0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2"/>
      <c r="Y7" s="2"/>
      <c r="Z7" s="6"/>
      <c r="AA7" s="2"/>
      <c r="AB7" s="6"/>
    </row>
    <row r="8" ht="12.75" customHeight="1">
      <c r="A8" s="15">
        <v>42825.0</v>
      </c>
      <c r="B8" s="16">
        <v>18431.0</v>
      </c>
      <c r="C8" s="7" t="s">
        <v>14</v>
      </c>
      <c r="D8" s="17">
        <f>'FAR21'!G8</f>
        <v>16077.6</v>
      </c>
      <c r="E8" s="17"/>
      <c r="F8" s="3"/>
      <c r="G8" s="3">
        <f t="shared" ref="G8:G12" si="1">+D8+E8-F8</f>
        <v>16077.6</v>
      </c>
      <c r="H8" s="4"/>
      <c r="I8" s="28">
        <v>0.0</v>
      </c>
      <c r="J8" s="28">
        <v>0.0</v>
      </c>
      <c r="K8" s="28">
        <v>0.0</v>
      </c>
      <c r="L8" s="28">
        <v>0.0</v>
      </c>
      <c r="M8" s="28">
        <v>0.0</v>
      </c>
      <c r="N8" s="28">
        <v>0.0</v>
      </c>
      <c r="O8" s="28">
        <v>0.0</v>
      </c>
      <c r="P8" s="28">
        <v>0.0</v>
      </c>
      <c r="Q8" s="28">
        <v>0.0</v>
      </c>
      <c r="R8" s="28">
        <v>0.0</v>
      </c>
      <c r="S8" s="28">
        <v>0.0</v>
      </c>
      <c r="T8" s="28">
        <v>0.0</v>
      </c>
      <c r="U8" s="28">
        <f t="shared" ref="U8:U12" si="2">SUM(I8:T8)</f>
        <v>0</v>
      </c>
      <c r="V8" s="3">
        <f>'FAR21'!V8+U8</f>
        <v>16077.6</v>
      </c>
      <c r="W8" s="3">
        <f t="shared" ref="W8:W12" si="3">+G8-V8</f>
        <v>0</v>
      </c>
      <c r="X8" s="2"/>
      <c r="Y8" s="2"/>
      <c r="Z8" s="6"/>
      <c r="AA8" s="2"/>
      <c r="AB8" s="6"/>
    </row>
    <row r="9" ht="12.75" customHeight="1">
      <c r="A9" s="15">
        <v>42825.0</v>
      </c>
      <c r="B9" s="16">
        <v>18431.0</v>
      </c>
      <c r="C9" s="7" t="s">
        <v>15</v>
      </c>
      <c r="D9" s="17">
        <f>'FAR21'!G9</f>
        <v>10078.8</v>
      </c>
      <c r="E9" s="17"/>
      <c r="F9" s="3"/>
      <c r="G9" s="3">
        <f t="shared" si="1"/>
        <v>10078.8</v>
      </c>
      <c r="H9" s="4"/>
      <c r="I9" s="28">
        <v>0.0</v>
      </c>
      <c r="J9" s="28">
        <v>0.0</v>
      </c>
      <c r="K9" s="28">
        <v>0.0</v>
      </c>
      <c r="L9" s="28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  <c r="S9" s="28">
        <v>0.0</v>
      </c>
      <c r="T9" s="28">
        <v>0.0</v>
      </c>
      <c r="U9" s="28">
        <f t="shared" si="2"/>
        <v>0</v>
      </c>
      <c r="V9" s="3">
        <f>'FAR21'!V9+U9</f>
        <v>10078.8</v>
      </c>
      <c r="W9" s="3">
        <f t="shared" si="3"/>
        <v>0</v>
      </c>
      <c r="X9" s="2"/>
      <c r="Y9" s="2"/>
      <c r="Z9" s="6"/>
      <c r="AA9" s="2"/>
      <c r="AB9" s="6"/>
    </row>
    <row r="10" ht="12.75" customHeight="1">
      <c r="A10" s="15">
        <v>43046.0</v>
      </c>
      <c r="B10" s="16" t="s">
        <v>16</v>
      </c>
      <c r="C10" s="7" t="s">
        <v>17</v>
      </c>
      <c r="D10" s="17">
        <f>'FAR21'!G10</f>
        <v>52651</v>
      </c>
      <c r="E10" s="17"/>
      <c r="F10" s="3"/>
      <c r="G10" s="3">
        <f t="shared" si="1"/>
        <v>52651</v>
      </c>
      <c r="H10" s="4"/>
      <c r="I10" s="28">
        <v>0.0</v>
      </c>
      <c r="J10" s="28">
        <v>0.0</v>
      </c>
      <c r="K10" s="28">
        <v>0.0</v>
      </c>
      <c r="L10" s="28">
        <v>0.0</v>
      </c>
      <c r="M10" s="28">
        <v>0.0</v>
      </c>
      <c r="N10" s="28">
        <v>0.0</v>
      </c>
      <c r="O10" s="28">
        <v>0.0</v>
      </c>
      <c r="P10" s="28">
        <v>0.0</v>
      </c>
      <c r="Q10" s="28">
        <v>0.0</v>
      </c>
      <c r="R10" s="28">
        <v>0.0</v>
      </c>
      <c r="S10" s="28">
        <v>0.0</v>
      </c>
      <c r="T10" s="28">
        <v>0.0</v>
      </c>
      <c r="U10" s="28">
        <f t="shared" si="2"/>
        <v>0</v>
      </c>
      <c r="V10" s="3">
        <f>'FAR21'!V10+U10</f>
        <v>52651.00364</v>
      </c>
      <c r="W10" s="3">
        <f t="shared" si="3"/>
        <v>-0.003637747337</v>
      </c>
      <c r="X10" s="2"/>
      <c r="Y10" s="2"/>
      <c r="Z10" s="6"/>
      <c r="AA10" s="2"/>
      <c r="AB10" s="6"/>
    </row>
    <row r="11" ht="12.75" customHeight="1">
      <c r="A11" s="15">
        <v>43160.0</v>
      </c>
      <c r="B11" s="16">
        <v>21643.0</v>
      </c>
      <c r="C11" s="7" t="s">
        <v>30</v>
      </c>
      <c r="D11" s="17">
        <f>'FAR21'!G11</f>
        <v>92322.7</v>
      </c>
      <c r="E11" s="17"/>
      <c r="F11" s="3"/>
      <c r="G11" s="3">
        <f t="shared" si="1"/>
        <v>92322.7</v>
      </c>
      <c r="H11" s="4"/>
      <c r="I11" s="28">
        <v>0.0</v>
      </c>
      <c r="J11" s="28">
        <v>0.0</v>
      </c>
      <c r="K11" s="28">
        <v>0.0</v>
      </c>
      <c r="L11" s="28">
        <v>0.0</v>
      </c>
      <c r="M11" s="28">
        <v>0.0</v>
      </c>
      <c r="N11" s="28">
        <v>0.0</v>
      </c>
      <c r="O11" s="28">
        <v>0.0</v>
      </c>
      <c r="P11" s="28">
        <v>0.0</v>
      </c>
      <c r="Q11" s="28">
        <v>0.0</v>
      </c>
      <c r="R11" s="28">
        <v>0.0</v>
      </c>
      <c r="S11" s="28">
        <v>0.0</v>
      </c>
      <c r="T11" s="28">
        <v>0.0</v>
      </c>
      <c r="U11" s="28">
        <f t="shared" si="2"/>
        <v>0</v>
      </c>
      <c r="V11" s="3">
        <f>'FAR21'!V11+U11</f>
        <v>92322.7</v>
      </c>
      <c r="W11" s="3">
        <f t="shared" si="3"/>
        <v>0</v>
      </c>
      <c r="X11" s="2"/>
      <c r="Y11" s="2"/>
      <c r="Z11" s="6"/>
      <c r="AA11" s="2"/>
      <c r="AB11" s="6"/>
    </row>
    <row r="12" ht="12.75" customHeight="1">
      <c r="A12" s="19">
        <v>44144.0</v>
      </c>
      <c r="B12" s="32" t="s">
        <v>45</v>
      </c>
      <c r="C12" s="13" t="s">
        <v>46</v>
      </c>
      <c r="D12" s="17">
        <f>'FAR21'!G12</f>
        <v>92565.27</v>
      </c>
      <c r="E12" s="17"/>
      <c r="F12" s="3"/>
      <c r="G12" s="3">
        <f t="shared" si="1"/>
        <v>92565.27</v>
      </c>
      <c r="H12" s="4"/>
      <c r="I12" s="3">
        <f t="shared" ref="I12:T12" si="4">+$G12/$H$7/12</f>
        <v>2571.2575</v>
      </c>
      <c r="J12" s="3">
        <f t="shared" si="4"/>
        <v>2571.2575</v>
      </c>
      <c r="K12" s="3">
        <f t="shared" si="4"/>
        <v>2571.2575</v>
      </c>
      <c r="L12" s="3">
        <f t="shared" si="4"/>
        <v>2571.2575</v>
      </c>
      <c r="M12" s="3">
        <f t="shared" si="4"/>
        <v>2571.2575</v>
      </c>
      <c r="N12" s="3">
        <f t="shared" si="4"/>
        <v>2571.2575</v>
      </c>
      <c r="O12" s="3">
        <f t="shared" si="4"/>
        <v>2571.2575</v>
      </c>
      <c r="P12" s="3">
        <f t="shared" si="4"/>
        <v>2571.2575</v>
      </c>
      <c r="Q12" s="3">
        <f t="shared" si="4"/>
        <v>2571.2575</v>
      </c>
      <c r="R12" s="3">
        <f t="shared" si="4"/>
        <v>2571.2575</v>
      </c>
      <c r="S12" s="3">
        <f t="shared" si="4"/>
        <v>2571.2575</v>
      </c>
      <c r="T12" s="3">
        <f t="shared" si="4"/>
        <v>2571.2575</v>
      </c>
      <c r="U12" s="28">
        <f t="shared" si="2"/>
        <v>30855.09</v>
      </c>
      <c r="V12" s="3">
        <f>'FAR22'!V12+U12</f>
        <v>61710.18</v>
      </c>
      <c r="W12" s="3">
        <f t="shared" si="3"/>
        <v>30855.09</v>
      </c>
      <c r="X12" s="2"/>
      <c r="Y12" s="2"/>
      <c r="Z12" s="6"/>
      <c r="AA12" s="2"/>
      <c r="AB12" s="6"/>
    </row>
    <row r="13" ht="12.75" customHeight="1">
      <c r="A13" s="19" t="s">
        <v>50</v>
      </c>
      <c r="B13" s="18"/>
      <c r="C13" s="7"/>
      <c r="D13" s="3"/>
      <c r="E13" s="17"/>
      <c r="F13" s="3"/>
      <c r="G13" s="3"/>
      <c r="H13" s="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/>
      <c r="Y13" s="2"/>
      <c r="Z13" s="6"/>
      <c r="AA13" s="2"/>
      <c r="AB13" s="2"/>
    </row>
    <row r="14" ht="12.75" customHeight="1">
      <c r="A14" s="19"/>
      <c r="B14" s="20"/>
      <c r="C14" s="13"/>
      <c r="D14" s="21">
        <f t="shared" ref="D14:E14" si="5">SUM(D6:D13)</f>
        <v>263695.37</v>
      </c>
      <c r="E14" s="21">
        <f t="shared" si="5"/>
        <v>0</v>
      </c>
      <c r="F14" s="22"/>
      <c r="G14" s="22">
        <f>SUM(G8:G13)</f>
        <v>263695.37</v>
      </c>
      <c r="H14" s="4"/>
      <c r="I14" s="22">
        <f t="shared" ref="I14:W14" si="6">SUM(I8:I13)</f>
        <v>2571.2575</v>
      </c>
      <c r="J14" s="22">
        <f t="shared" si="6"/>
        <v>2571.2575</v>
      </c>
      <c r="K14" s="22">
        <f t="shared" si="6"/>
        <v>2571.2575</v>
      </c>
      <c r="L14" s="22">
        <f t="shared" si="6"/>
        <v>2571.2575</v>
      </c>
      <c r="M14" s="22">
        <f t="shared" si="6"/>
        <v>2571.2575</v>
      </c>
      <c r="N14" s="22">
        <f t="shared" si="6"/>
        <v>2571.2575</v>
      </c>
      <c r="O14" s="22">
        <f t="shared" si="6"/>
        <v>2571.2575</v>
      </c>
      <c r="P14" s="22">
        <f t="shared" si="6"/>
        <v>2571.2575</v>
      </c>
      <c r="Q14" s="22">
        <f t="shared" si="6"/>
        <v>2571.2575</v>
      </c>
      <c r="R14" s="22">
        <f t="shared" si="6"/>
        <v>2571.2575</v>
      </c>
      <c r="S14" s="22">
        <f t="shared" si="6"/>
        <v>2571.2575</v>
      </c>
      <c r="T14" s="22">
        <f t="shared" si="6"/>
        <v>2571.2575</v>
      </c>
      <c r="U14" s="22">
        <f t="shared" si="6"/>
        <v>30855.09</v>
      </c>
      <c r="V14" s="22">
        <f t="shared" si="6"/>
        <v>232840.2836</v>
      </c>
      <c r="W14" s="22">
        <f t="shared" si="6"/>
        <v>30855.08636</v>
      </c>
      <c r="X14" s="2"/>
      <c r="Y14" s="2"/>
      <c r="Z14" s="6"/>
      <c r="AA14" s="23"/>
      <c r="AB14" s="23"/>
    </row>
    <row r="15" ht="12.75" customHeight="1">
      <c r="A15" s="15"/>
      <c r="B15" s="18"/>
      <c r="C15" s="7"/>
      <c r="D15" s="3"/>
      <c r="E15" s="17"/>
      <c r="F15" s="3"/>
      <c r="G15" s="3"/>
      <c r="H15" s="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/>
      <c r="Y15" s="2"/>
      <c r="Z15" s="6"/>
      <c r="AA15" s="2"/>
      <c r="AB15" s="2"/>
    </row>
    <row r="16" ht="12.75" customHeight="1">
      <c r="A16" s="8" t="s">
        <v>2</v>
      </c>
      <c r="B16" s="8" t="s">
        <v>3</v>
      </c>
      <c r="C16" s="8" t="s">
        <v>4</v>
      </c>
      <c r="D16" s="9" t="s">
        <v>18</v>
      </c>
      <c r="E16" s="9" t="s">
        <v>6</v>
      </c>
      <c r="F16" s="9" t="s">
        <v>20</v>
      </c>
      <c r="G16" s="9" t="s">
        <v>8</v>
      </c>
      <c r="H16" s="10" t="s">
        <v>9</v>
      </c>
      <c r="I16" s="11">
        <v>44651.0</v>
      </c>
      <c r="J16" s="11">
        <v>44681.0</v>
      </c>
      <c r="K16" s="11">
        <v>44712.0</v>
      </c>
      <c r="L16" s="11">
        <v>44742.0</v>
      </c>
      <c r="M16" s="11">
        <v>44773.0</v>
      </c>
      <c r="N16" s="11">
        <v>44804.0</v>
      </c>
      <c r="O16" s="11">
        <v>44834.0</v>
      </c>
      <c r="P16" s="11">
        <v>44865.0</v>
      </c>
      <c r="Q16" s="11">
        <v>44895.0</v>
      </c>
      <c r="R16" s="11">
        <v>44926.0</v>
      </c>
      <c r="S16" s="11">
        <v>44957.0</v>
      </c>
      <c r="T16" s="11">
        <v>44985.0</v>
      </c>
      <c r="U16" s="11" t="s">
        <v>10</v>
      </c>
      <c r="V16" s="11" t="s">
        <v>11</v>
      </c>
      <c r="W16" s="11" t="s">
        <v>49</v>
      </c>
      <c r="X16" s="2"/>
      <c r="Y16" s="2"/>
      <c r="Z16" s="6"/>
      <c r="AA16" s="2"/>
      <c r="AB16" s="6"/>
    </row>
    <row r="17" ht="12.75" customHeight="1">
      <c r="A17" s="13" t="s">
        <v>21</v>
      </c>
      <c r="B17" s="2"/>
      <c r="C17" s="2"/>
      <c r="D17" s="14"/>
      <c r="E17" s="3"/>
      <c r="F17" s="3"/>
      <c r="G17" s="3"/>
      <c r="H17" s="4" t="s">
        <v>22</v>
      </c>
      <c r="I17" s="13" t="str">
        <f>+A17</f>
        <v>6200&gt;020 (Furniture &amp; Fittings&gt;Cost)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/>
      <c r="Y17" s="2"/>
      <c r="Z17" s="2"/>
      <c r="AA17" s="2"/>
      <c r="AB17" s="2"/>
    </row>
    <row r="18" ht="12.75" customHeight="1">
      <c r="A18" s="8"/>
      <c r="B18" s="2"/>
      <c r="C18" s="2"/>
      <c r="D18" s="14"/>
      <c r="E18" s="3"/>
      <c r="F18" s="3"/>
      <c r="G18" s="3"/>
      <c r="H18" s="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2"/>
      <c r="Y18" s="2"/>
      <c r="Z18" s="2"/>
      <c r="AA18" s="2"/>
      <c r="AB18" s="2"/>
    </row>
    <row r="19" ht="12.75" customHeight="1">
      <c r="A19" s="15">
        <v>42836.0</v>
      </c>
      <c r="B19" s="16">
        <v>30110.0</v>
      </c>
      <c r="C19" s="7" t="s">
        <v>23</v>
      </c>
      <c r="D19" s="17">
        <f>'FAR21'!G19</f>
        <v>52250</v>
      </c>
      <c r="E19" s="3"/>
      <c r="F19" s="3"/>
      <c r="G19" s="3">
        <f t="shared" ref="G19:G24" si="8">+D19+E19-F19</f>
        <v>52250</v>
      </c>
      <c r="H19" s="4"/>
      <c r="I19" s="3">
        <f t="shared" ref="I19:T19" si="7">+$G19/$H$17/12</f>
        <v>725.6944444</v>
      </c>
      <c r="J19" s="3">
        <f t="shared" si="7"/>
        <v>725.6944444</v>
      </c>
      <c r="K19" s="3">
        <f t="shared" si="7"/>
        <v>725.6944444</v>
      </c>
      <c r="L19" s="3">
        <f t="shared" si="7"/>
        <v>725.6944444</v>
      </c>
      <c r="M19" s="3">
        <f t="shared" si="7"/>
        <v>725.6944444</v>
      </c>
      <c r="N19" s="3">
        <f t="shared" si="7"/>
        <v>725.6944444</v>
      </c>
      <c r="O19" s="3">
        <f t="shared" si="7"/>
        <v>725.6944444</v>
      </c>
      <c r="P19" s="3">
        <f t="shared" si="7"/>
        <v>725.6944444</v>
      </c>
      <c r="Q19" s="3">
        <f t="shared" si="7"/>
        <v>725.6944444</v>
      </c>
      <c r="R19" s="3">
        <f t="shared" si="7"/>
        <v>725.6944444</v>
      </c>
      <c r="S19" s="3">
        <f t="shared" si="7"/>
        <v>725.6944444</v>
      </c>
      <c r="T19" s="3">
        <f t="shared" si="7"/>
        <v>725.6944444</v>
      </c>
      <c r="U19" s="3">
        <f t="shared" ref="U19:U25" si="10">SUM(I19:T19)</f>
        <v>8708.333333</v>
      </c>
      <c r="V19" s="3">
        <f>'FAR22'!V19+U19</f>
        <v>51251.92161</v>
      </c>
      <c r="W19" s="3">
        <f t="shared" ref="W19:W24" si="11">+G19-V19</f>
        <v>998.0783866</v>
      </c>
      <c r="X19" s="2"/>
      <c r="Y19" s="2"/>
      <c r="Z19" s="2"/>
      <c r="AA19" s="2"/>
      <c r="AB19" s="2"/>
    </row>
    <row r="20" ht="12.75" customHeight="1">
      <c r="A20" s="15">
        <v>43165.0</v>
      </c>
      <c r="B20" s="16" t="s">
        <v>31</v>
      </c>
      <c r="C20" s="7" t="s">
        <v>32</v>
      </c>
      <c r="D20" s="17">
        <f>'FAR21'!G20</f>
        <v>44144</v>
      </c>
      <c r="E20" s="3"/>
      <c r="F20" s="3"/>
      <c r="G20" s="3">
        <f t="shared" si="8"/>
        <v>44144</v>
      </c>
      <c r="H20" s="4"/>
      <c r="I20" s="3">
        <f t="shared" ref="I20:T20" si="9">+$G20/$H$17/12</f>
        <v>613.1111111</v>
      </c>
      <c r="J20" s="3">
        <f t="shared" si="9"/>
        <v>613.1111111</v>
      </c>
      <c r="K20" s="3">
        <f t="shared" si="9"/>
        <v>613.1111111</v>
      </c>
      <c r="L20" s="3">
        <f t="shared" si="9"/>
        <v>613.1111111</v>
      </c>
      <c r="M20" s="3">
        <f t="shared" si="9"/>
        <v>613.1111111</v>
      </c>
      <c r="N20" s="3">
        <f t="shared" si="9"/>
        <v>613.1111111</v>
      </c>
      <c r="O20" s="3">
        <f t="shared" si="9"/>
        <v>613.1111111</v>
      </c>
      <c r="P20" s="3">
        <f t="shared" si="9"/>
        <v>613.1111111</v>
      </c>
      <c r="Q20" s="3">
        <f t="shared" si="9"/>
        <v>613.1111111</v>
      </c>
      <c r="R20" s="3">
        <f t="shared" si="9"/>
        <v>613.1111111</v>
      </c>
      <c r="S20" s="3">
        <f t="shared" si="9"/>
        <v>613.1111111</v>
      </c>
      <c r="T20" s="3">
        <f t="shared" si="9"/>
        <v>613.1111111</v>
      </c>
      <c r="U20" s="3">
        <f t="shared" si="10"/>
        <v>7357.333333</v>
      </c>
      <c r="V20" s="3">
        <f>'FAR22'!V20+U20</f>
        <v>36677.4825</v>
      </c>
      <c r="W20" s="3">
        <f t="shared" si="11"/>
        <v>7466.517504</v>
      </c>
      <c r="X20" s="2"/>
      <c r="Y20" s="2"/>
      <c r="Z20" s="2"/>
      <c r="AA20" s="2"/>
      <c r="AB20" s="2"/>
    </row>
    <row r="21" ht="12.75" customHeight="1">
      <c r="A21" s="15">
        <v>43179.0</v>
      </c>
      <c r="B21" s="16">
        <v>32006.0</v>
      </c>
      <c r="C21" s="7" t="s">
        <v>33</v>
      </c>
      <c r="D21" s="17">
        <f>'FAR21'!G21</f>
        <v>19430</v>
      </c>
      <c r="E21" s="3"/>
      <c r="F21" s="3"/>
      <c r="G21" s="3">
        <f t="shared" si="8"/>
        <v>19430</v>
      </c>
      <c r="H21" s="4"/>
      <c r="I21" s="3">
        <f t="shared" ref="I21:T21" si="12">+$G21/$H$17/12</f>
        <v>269.8611111</v>
      </c>
      <c r="J21" s="3">
        <f t="shared" si="12"/>
        <v>269.8611111</v>
      </c>
      <c r="K21" s="3">
        <f t="shared" si="12"/>
        <v>269.8611111</v>
      </c>
      <c r="L21" s="3">
        <f t="shared" si="12"/>
        <v>269.8611111</v>
      </c>
      <c r="M21" s="3">
        <f t="shared" si="12"/>
        <v>269.8611111</v>
      </c>
      <c r="N21" s="3">
        <f t="shared" si="12"/>
        <v>269.8611111</v>
      </c>
      <c r="O21" s="3">
        <f t="shared" si="12"/>
        <v>269.8611111</v>
      </c>
      <c r="P21" s="3">
        <f t="shared" si="12"/>
        <v>269.8611111</v>
      </c>
      <c r="Q21" s="3">
        <f t="shared" si="12"/>
        <v>269.8611111</v>
      </c>
      <c r="R21" s="3">
        <f t="shared" si="12"/>
        <v>269.8611111</v>
      </c>
      <c r="S21" s="3">
        <f t="shared" si="12"/>
        <v>269.8611111</v>
      </c>
      <c r="T21" s="3">
        <f t="shared" si="12"/>
        <v>269.8611111</v>
      </c>
      <c r="U21" s="3">
        <f t="shared" si="10"/>
        <v>3238.333333</v>
      </c>
      <c r="V21" s="3">
        <f>'FAR22'!V21+U21</f>
        <v>16019.39916</v>
      </c>
      <c r="W21" s="3">
        <f t="shared" si="11"/>
        <v>3410.600837</v>
      </c>
      <c r="X21" s="2"/>
      <c r="Y21" s="2"/>
      <c r="Z21" s="2"/>
      <c r="AA21" s="2"/>
      <c r="AB21" s="2"/>
    </row>
    <row r="22" ht="12.75" customHeight="1">
      <c r="A22" s="15">
        <v>43578.0</v>
      </c>
      <c r="B22" s="16" t="s">
        <v>36</v>
      </c>
      <c r="C22" s="7" t="s">
        <v>37</v>
      </c>
      <c r="D22" s="17">
        <f>'FAR21'!G22</f>
        <v>26544</v>
      </c>
      <c r="E22" s="3"/>
      <c r="F22" s="3"/>
      <c r="G22" s="3">
        <f t="shared" si="8"/>
        <v>26544</v>
      </c>
      <c r="H22" s="4"/>
      <c r="I22" s="3">
        <f t="shared" ref="I22:T22" si="13">+$G22/$H$17/12</f>
        <v>368.6666667</v>
      </c>
      <c r="J22" s="3">
        <f t="shared" si="13"/>
        <v>368.6666667</v>
      </c>
      <c r="K22" s="3">
        <f t="shared" si="13"/>
        <v>368.6666667</v>
      </c>
      <c r="L22" s="3">
        <f t="shared" si="13"/>
        <v>368.6666667</v>
      </c>
      <c r="M22" s="3">
        <f t="shared" si="13"/>
        <v>368.6666667</v>
      </c>
      <c r="N22" s="3">
        <f t="shared" si="13"/>
        <v>368.6666667</v>
      </c>
      <c r="O22" s="3">
        <f t="shared" si="13"/>
        <v>368.6666667</v>
      </c>
      <c r="P22" s="3">
        <f t="shared" si="13"/>
        <v>368.6666667</v>
      </c>
      <c r="Q22" s="3">
        <f t="shared" si="13"/>
        <v>368.6666667</v>
      </c>
      <c r="R22" s="3">
        <f t="shared" si="13"/>
        <v>368.6666667</v>
      </c>
      <c r="S22" s="3">
        <f t="shared" si="13"/>
        <v>368.6666667</v>
      </c>
      <c r="T22" s="3">
        <f t="shared" si="13"/>
        <v>368.6666667</v>
      </c>
      <c r="U22" s="3">
        <f t="shared" si="10"/>
        <v>4424</v>
      </c>
      <c r="V22" s="3">
        <f>'FAR22'!V22+U22</f>
        <v>17043.5105</v>
      </c>
      <c r="W22" s="3">
        <f t="shared" si="11"/>
        <v>9500.489498</v>
      </c>
      <c r="X22" s="2"/>
      <c r="Y22" s="2"/>
      <c r="Z22" s="2"/>
      <c r="AA22" s="2"/>
      <c r="AB22" s="2"/>
    </row>
    <row r="23" ht="12.75" customHeight="1">
      <c r="A23" s="15">
        <v>43710.0</v>
      </c>
      <c r="B23" s="16">
        <v>34825.0</v>
      </c>
      <c r="C23" s="7" t="s">
        <v>38</v>
      </c>
      <c r="D23" s="17">
        <f>'FAR21'!G23</f>
        <v>15767</v>
      </c>
      <c r="E23" s="3"/>
      <c r="F23" s="3"/>
      <c r="G23" s="3">
        <f t="shared" si="8"/>
        <v>15767</v>
      </c>
      <c r="H23" s="4"/>
      <c r="I23" s="3">
        <f t="shared" ref="I23:T23" si="14">+$G23/$H$17/12</f>
        <v>218.9861111</v>
      </c>
      <c r="J23" s="3">
        <f t="shared" si="14"/>
        <v>218.9861111</v>
      </c>
      <c r="K23" s="3">
        <f t="shared" si="14"/>
        <v>218.9861111</v>
      </c>
      <c r="L23" s="3">
        <f t="shared" si="14"/>
        <v>218.9861111</v>
      </c>
      <c r="M23" s="3">
        <f t="shared" si="14"/>
        <v>218.9861111</v>
      </c>
      <c r="N23" s="3">
        <f t="shared" si="14"/>
        <v>218.9861111</v>
      </c>
      <c r="O23" s="3">
        <f t="shared" si="14"/>
        <v>218.9861111</v>
      </c>
      <c r="P23" s="3">
        <f t="shared" si="14"/>
        <v>218.9861111</v>
      </c>
      <c r="Q23" s="3">
        <f t="shared" si="14"/>
        <v>218.9861111</v>
      </c>
      <c r="R23" s="3">
        <f t="shared" si="14"/>
        <v>218.9861111</v>
      </c>
      <c r="S23" s="3">
        <f t="shared" si="14"/>
        <v>218.9861111</v>
      </c>
      <c r="T23" s="3">
        <f t="shared" si="14"/>
        <v>218.9861111</v>
      </c>
      <c r="U23" s="3">
        <f t="shared" si="10"/>
        <v>2627.833333</v>
      </c>
      <c r="V23" s="3">
        <f>'FAR22'!V23+U23</f>
        <v>9197.416667</v>
      </c>
      <c r="W23" s="3">
        <f t="shared" si="11"/>
        <v>6569.583333</v>
      </c>
      <c r="X23" s="2"/>
      <c r="Y23" s="2"/>
      <c r="Z23" s="2"/>
      <c r="AA23" s="2"/>
      <c r="AB23" s="2"/>
    </row>
    <row r="24" ht="12.75" customHeight="1">
      <c r="A24" s="15">
        <v>43710.0</v>
      </c>
      <c r="B24" s="16">
        <v>34825.0</v>
      </c>
      <c r="C24" s="7" t="s">
        <v>39</v>
      </c>
      <c r="D24" s="17">
        <f>'FAR21'!G24</f>
        <v>25647</v>
      </c>
      <c r="E24" s="17"/>
      <c r="F24" s="3"/>
      <c r="G24" s="3">
        <f t="shared" si="8"/>
        <v>25647</v>
      </c>
      <c r="H24" s="4"/>
      <c r="I24" s="3">
        <f t="shared" ref="I24:T24" si="15">+$G24/$H$17/12</f>
        <v>356.2083333</v>
      </c>
      <c r="J24" s="3">
        <f t="shared" si="15"/>
        <v>356.2083333</v>
      </c>
      <c r="K24" s="3">
        <f t="shared" si="15"/>
        <v>356.2083333</v>
      </c>
      <c r="L24" s="3">
        <f t="shared" si="15"/>
        <v>356.2083333</v>
      </c>
      <c r="M24" s="3">
        <f t="shared" si="15"/>
        <v>356.2083333</v>
      </c>
      <c r="N24" s="3">
        <f t="shared" si="15"/>
        <v>356.2083333</v>
      </c>
      <c r="O24" s="3">
        <f t="shared" si="15"/>
        <v>356.2083333</v>
      </c>
      <c r="P24" s="3">
        <f t="shared" si="15"/>
        <v>356.2083333</v>
      </c>
      <c r="Q24" s="3">
        <f t="shared" si="15"/>
        <v>356.2083333</v>
      </c>
      <c r="R24" s="3">
        <f t="shared" si="15"/>
        <v>356.2083333</v>
      </c>
      <c r="S24" s="3">
        <f t="shared" si="15"/>
        <v>356.2083333</v>
      </c>
      <c r="T24" s="3">
        <f t="shared" si="15"/>
        <v>356.2083333</v>
      </c>
      <c r="U24" s="3">
        <f t="shared" si="10"/>
        <v>4274.5</v>
      </c>
      <c r="V24" s="3">
        <f>'FAR22'!V24+U24</f>
        <v>14960.75</v>
      </c>
      <c r="W24" s="3">
        <f t="shared" si="11"/>
        <v>10686.25</v>
      </c>
      <c r="X24" s="2"/>
      <c r="Y24" s="2"/>
      <c r="Z24" s="2"/>
      <c r="AA24" s="2"/>
      <c r="AB24" s="2"/>
    </row>
    <row r="25" ht="12.75" customHeight="1">
      <c r="A25" s="15">
        <v>44791.0</v>
      </c>
      <c r="B25" s="16" t="s">
        <v>31</v>
      </c>
      <c r="C25" s="7" t="s">
        <v>52</v>
      </c>
      <c r="D25" s="17">
        <v>13715.0</v>
      </c>
      <c r="E25" s="17"/>
      <c r="F25" s="3"/>
      <c r="G25" s="3">
        <v>13715.0</v>
      </c>
      <c r="H25" s="4"/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f>+$G25/$H$17/365*(31-18)</f>
        <v>81.41324201</v>
      </c>
      <c r="O25" s="3">
        <f t="shared" ref="O25:T25" si="16">+$G25/$H$17/12</f>
        <v>190.4861111</v>
      </c>
      <c r="P25" s="3">
        <f t="shared" si="16"/>
        <v>190.4861111</v>
      </c>
      <c r="Q25" s="3">
        <f t="shared" si="16"/>
        <v>190.4861111</v>
      </c>
      <c r="R25" s="3">
        <f t="shared" si="16"/>
        <v>190.4861111</v>
      </c>
      <c r="S25" s="3">
        <f t="shared" si="16"/>
        <v>190.4861111</v>
      </c>
      <c r="T25" s="3">
        <f t="shared" si="16"/>
        <v>190.4861111</v>
      </c>
      <c r="U25" s="3">
        <f t="shared" si="10"/>
        <v>1224.329909</v>
      </c>
      <c r="V25" s="3">
        <f>+U25</f>
        <v>1224.329909</v>
      </c>
      <c r="W25" s="3">
        <f>G25-V25</f>
        <v>12490.67009</v>
      </c>
      <c r="X25" s="2"/>
      <c r="Y25" s="2"/>
      <c r="Z25" s="2"/>
      <c r="AA25" s="2"/>
      <c r="AB25" s="2"/>
    </row>
    <row r="26" ht="12.75" customHeight="1">
      <c r="A26" s="15"/>
      <c r="B26" s="16"/>
      <c r="C26" s="7"/>
      <c r="D26" s="3"/>
      <c r="E26" s="17"/>
      <c r="F26" s="3"/>
      <c r="G26" s="3"/>
      <c r="H26" s="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2"/>
      <c r="Y26" s="2"/>
      <c r="Z26" s="2"/>
      <c r="AA26" s="2"/>
      <c r="AB26" s="2"/>
    </row>
    <row r="27" ht="12.75" customHeight="1">
      <c r="A27" s="23"/>
      <c r="B27" s="23"/>
      <c r="C27" s="23"/>
      <c r="D27" s="22">
        <f t="shared" ref="D27:E27" si="17">SUM(D17:D26)</f>
        <v>197497</v>
      </c>
      <c r="E27" s="22">
        <f t="shared" si="17"/>
        <v>0</v>
      </c>
      <c r="F27" s="22">
        <f>SUM(F17:F24)</f>
        <v>0</v>
      </c>
      <c r="G27" s="22">
        <f>SUM(D27:F27)</f>
        <v>197497</v>
      </c>
      <c r="H27" s="4"/>
      <c r="I27" s="22">
        <f t="shared" ref="I27:W27" si="18">SUM(I19:I26)</f>
        <v>2552.527778</v>
      </c>
      <c r="J27" s="22">
        <f t="shared" si="18"/>
        <v>2552.527778</v>
      </c>
      <c r="K27" s="22">
        <f t="shared" si="18"/>
        <v>2552.527778</v>
      </c>
      <c r="L27" s="22">
        <f t="shared" si="18"/>
        <v>2552.527778</v>
      </c>
      <c r="M27" s="22">
        <f t="shared" si="18"/>
        <v>2552.527778</v>
      </c>
      <c r="N27" s="22">
        <f t="shared" si="18"/>
        <v>2633.94102</v>
      </c>
      <c r="O27" s="22">
        <f t="shared" si="18"/>
        <v>2743.013889</v>
      </c>
      <c r="P27" s="22">
        <f t="shared" si="18"/>
        <v>2743.013889</v>
      </c>
      <c r="Q27" s="22">
        <f t="shared" si="18"/>
        <v>2743.013889</v>
      </c>
      <c r="R27" s="22">
        <f t="shared" si="18"/>
        <v>2743.013889</v>
      </c>
      <c r="S27" s="22">
        <f t="shared" si="18"/>
        <v>2743.013889</v>
      </c>
      <c r="T27" s="22">
        <f t="shared" si="18"/>
        <v>2743.013889</v>
      </c>
      <c r="U27" s="22">
        <f t="shared" si="18"/>
        <v>31854.66324</v>
      </c>
      <c r="V27" s="22">
        <f t="shared" si="18"/>
        <v>146374.8104</v>
      </c>
      <c r="W27" s="22">
        <f t="shared" si="18"/>
        <v>51122.18965</v>
      </c>
      <c r="X27" s="2"/>
      <c r="Y27" s="23"/>
      <c r="Z27" s="23"/>
      <c r="AA27" s="23"/>
      <c r="AB27" s="23"/>
    </row>
    <row r="28" ht="12.75" customHeight="1">
      <c r="A28" s="23"/>
      <c r="B28" s="23"/>
      <c r="C28" s="23"/>
      <c r="D28" s="24"/>
      <c r="E28" s="24"/>
      <c r="F28" s="24"/>
      <c r="G28" s="24"/>
      <c r="H28" s="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"/>
      <c r="Y28" s="23"/>
      <c r="Z28" s="23"/>
      <c r="AA28" s="23"/>
      <c r="AB28" s="23"/>
    </row>
    <row r="29" ht="12.75" customHeight="1">
      <c r="A29" s="8" t="s">
        <v>2</v>
      </c>
      <c r="B29" s="8" t="s">
        <v>3</v>
      </c>
      <c r="C29" s="8" t="s">
        <v>4</v>
      </c>
      <c r="D29" s="9" t="s">
        <v>18</v>
      </c>
      <c r="E29" s="9" t="s">
        <v>6</v>
      </c>
      <c r="F29" s="9" t="s">
        <v>20</v>
      </c>
      <c r="G29" s="9" t="s">
        <v>8</v>
      </c>
      <c r="H29" s="10" t="s">
        <v>9</v>
      </c>
      <c r="I29" s="11">
        <v>44651.0</v>
      </c>
      <c r="J29" s="11">
        <v>44681.0</v>
      </c>
      <c r="K29" s="11">
        <v>44712.0</v>
      </c>
      <c r="L29" s="11">
        <v>44742.0</v>
      </c>
      <c r="M29" s="11">
        <v>44773.0</v>
      </c>
      <c r="N29" s="11">
        <v>44804.0</v>
      </c>
      <c r="O29" s="11">
        <v>44834.0</v>
      </c>
      <c r="P29" s="11">
        <v>44865.0</v>
      </c>
      <c r="Q29" s="11">
        <v>44895.0</v>
      </c>
      <c r="R29" s="11">
        <v>44926.0</v>
      </c>
      <c r="S29" s="11">
        <v>44957.0</v>
      </c>
      <c r="T29" s="11">
        <v>44985.0</v>
      </c>
      <c r="U29" s="11" t="s">
        <v>10</v>
      </c>
      <c r="V29" s="11" t="s">
        <v>11</v>
      </c>
      <c r="W29" s="11" t="s">
        <v>49</v>
      </c>
      <c r="X29" s="2"/>
      <c r="Y29" s="2"/>
      <c r="Z29" s="6"/>
      <c r="AA29" s="2"/>
      <c r="AB29" s="6"/>
    </row>
    <row r="30" ht="12.75" customHeight="1">
      <c r="A30" s="13" t="s">
        <v>24</v>
      </c>
      <c r="B30" s="2"/>
      <c r="C30" s="2"/>
      <c r="D30" s="3"/>
      <c r="E30" s="14"/>
      <c r="F30" s="3"/>
      <c r="G30" s="3"/>
      <c r="H30" s="4" t="s">
        <v>25</v>
      </c>
      <c r="I30" s="13" t="str">
        <f>+A30</f>
        <v>6300&gt;020 (Motor Vehicles&gt;Cost)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/>
      <c r="Y30" s="2"/>
      <c r="Z30" s="2"/>
      <c r="AA30" s="2"/>
      <c r="AB30" s="2"/>
    </row>
    <row r="31" ht="12.75" customHeight="1">
      <c r="A31" s="8"/>
      <c r="B31" s="2"/>
      <c r="C31" s="2"/>
      <c r="D31" s="3"/>
      <c r="E31" s="14"/>
      <c r="F31" s="3"/>
      <c r="G31" s="3"/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2"/>
      <c r="Y31" s="2"/>
      <c r="Z31" s="2"/>
      <c r="AA31" s="2"/>
      <c r="AB31" s="2"/>
    </row>
    <row r="32" ht="12.75" customHeight="1">
      <c r="A32" s="15">
        <v>42860.0</v>
      </c>
      <c r="B32" s="16">
        <v>8.900964E7</v>
      </c>
      <c r="C32" s="7" t="s">
        <v>26</v>
      </c>
      <c r="D32" s="3">
        <f>'FAR21'!G31</f>
        <v>255969.92</v>
      </c>
      <c r="E32" s="17"/>
      <c r="F32" s="3"/>
      <c r="G32" s="3">
        <f>+D32+E32-F32</f>
        <v>255969.92</v>
      </c>
      <c r="H32" s="4"/>
      <c r="I32" s="3">
        <f t="shared" ref="I32:J32" si="19">+$G32/$H$30/12</f>
        <v>4266.165333</v>
      </c>
      <c r="J32" s="3">
        <f t="shared" si="19"/>
        <v>4266.165333</v>
      </c>
      <c r="K32" s="3">
        <v>619.47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f>SUM(I32:T32)</f>
        <v>9151.800667</v>
      </c>
      <c r="V32" s="3">
        <f>U32+'FAR22'!V31</f>
        <v>255969.9194</v>
      </c>
      <c r="W32" s="3">
        <f>+G32-V32</f>
        <v>0.0005826484412</v>
      </c>
      <c r="X32" s="2"/>
      <c r="Y32" s="2"/>
      <c r="Z32" s="2"/>
      <c r="AA32" s="2"/>
      <c r="AB32" s="2"/>
    </row>
    <row r="33" ht="12.75" customHeight="1">
      <c r="A33" s="7"/>
      <c r="B33" s="7"/>
      <c r="C33" s="7"/>
      <c r="D33" s="3"/>
      <c r="E33" s="17"/>
      <c r="F33" s="3"/>
      <c r="G33" s="3"/>
      <c r="H33" s="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2"/>
      <c r="Z33" s="2"/>
      <c r="AA33" s="2"/>
      <c r="AB33" s="2"/>
    </row>
    <row r="34" ht="12.75" customHeight="1">
      <c r="A34" s="23"/>
      <c r="B34" s="23"/>
      <c r="C34" s="23"/>
      <c r="D34" s="22">
        <f t="shared" ref="D34:F34" si="20">SUM(D32)</f>
        <v>255969.92</v>
      </c>
      <c r="E34" s="21">
        <f t="shared" si="20"/>
        <v>0</v>
      </c>
      <c r="F34" s="22">
        <f t="shared" si="20"/>
        <v>0</v>
      </c>
      <c r="G34" s="22">
        <f>SUM(D34:F34)</f>
        <v>255969.92</v>
      </c>
      <c r="H34" s="4"/>
      <c r="I34" s="22">
        <f t="shared" ref="I34:W34" si="21">SUM(I32)</f>
        <v>4266.165333</v>
      </c>
      <c r="J34" s="22">
        <f t="shared" si="21"/>
        <v>4266.165333</v>
      </c>
      <c r="K34" s="22">
        <f t="shared" si="21"/>
        <v>619.47</v>
      </c>
      <c r="L34" s="22">
        <f t="shared" si="21"/>
        <v>0</v>
      </c>
      <c r="M34" s="22">
        <f t="shared" si="21"/>
        <v>0</v>
      </c>
      <c r="N34" s="22">
        <f t="shared" si="21"/>
        <v>0</v>
      </c>
      <c r="O34" s="22">
        <f t="shared" si="21"/>
        <v>0</v>
      </c>
      <c r="P34" s="22">
        <f t="shared" si="21"/>
        <v>0</v>
      </c>
      <c r="Q34" s="22">
        <f t="shared" si="21"/>
        <v>0</v>
      </c>
      <c r="R34" s="22">
        <f t="shared" si="21"/>
        <v>0</v>
      </c>
      <c r="S34" s="22">
        <f t="shared" si="21"/>
        <v>0</v>
      </c>
      <c r="T34" s="22">
        <f t="shared" si="21"/>
        <v>0</v>
      </c>
      <c r="U34" s="22">
        <f t="shared" si="21"/>
        <v>9151.800667</v>
      </c>
      <c r="V34" s="22">
        <f t="shared" si="21"/>
        <v>255969.9194</v>
      </c>
      <c r="W34" s="22">
        <f t="shared" si="21"/>
        <v>0.0005826484412</v>
      </c>
      <c r="X34" s="23"/>
      <c r="Y34" s="23"/>
      <c r="Z34" s="23"/>
      <c r="AA34" s="23"/>
      <c r="AB34" s="23"/>
    </row>
    <row r="35" ht="12.75" customHeight="1">
      <c r="A35" s="2"/>
      <c r="B35" s="2"/>
      <c r="C35" s="2"/>
      <c r="D35" s="3"/>
      <c r="E35" s="9"/>
      <c r="F35" s="3"/>
      <c r="G35" s="3"/>
      <c r="H35" s="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2"/>
      <c r="Y35" s="2"/>
      <c r="Z35" s="2"/>
      <c r="AA35" s="2"/>
      <c r="AB35" s="2"/>
    </row>
    <row r="36" ht="12.75" customHeight="1">
      <c r="A36" s="23" t="s">
        <v>27</v>
      </c>
      <c r="B36" s="2"/>
      <c r="C36" s="2"/>
      <c r="D36" s="22">
        <f t="shared" ref="D36:G36" si="22">D14+D27+D34</f>
        <v>717162.29</v>
      </c>
      <c r="E36" s="22">
        <f t="shared" si="22"/>
        <v>0</v>
      </c>
      <c r="F36" s="22">
        <f t="shared" si="22"/>
        <v>0</v>
      </c>
      <c r="G36" s="22">
        <f t="shared" si="22"/>
        <v>717162.29</v>
      </c>
      <c r="H36" s="4"/>
      <c r="I36" s="22">
        <f t="shared" ref="I36:W36" si="23">I14+I27+I34</f>
        <v>9389.950611</v>
      </c>
      <c r="J36" s="22">
        <f t="shared" si="23"/>
        <v>9389.950611</v>
      </c>
      <c r="K36" s="22">
        <f t="shared" si="23"/>
        <v>5743.255278</v>
      </c>
      <c r="L36" s="22">
        <f t="shared" si="23"/>
        <v>5123.785278</v>
      </c>
      <c r="M36" s="22">
        <f t="shared" si="23"/>
        <v>5123.785278</v>
      </c>
      <c r="N36" s="22">
        <f t="shared" si="23"/>
        <v>5205.19852</v>
      </c>
      <c r="O36" s="22">
        <f t="shared" si="23"/>
        <v>5314.271389</v>
      </c>
      <c r="P36" s="22">
        <f t="shared" si="23"/>
        <v>5314.271389</v>
      </c>
      <c r="Q36" s="22">
        <f t="shared" si="23"/>
        <v>5314.271389</v>
      </c>
      <c r="R36" s="22">
        <f t="shared" si="23"/>
        <v>5314.271389</v>
      </c>
      <c r="S36" s="22">
        <f t="shared" si="23"/>
        <v>5314.271389</v>
      </c>
      <c r="T36" s="22">
        <f t="shared" si="23"/>
        <v>5314.271389</v>
      </c>
      <c r="U36" s="22">
        <f t="shared" si="23"/>
        <v>71861.55391</v>
      </c>
      <c r="V36" s="22">
        <f t="shared" si="23"/>
        <v>635185.0134</v>
      </c>
      <c r="W36" s="22">
        <f t="shared" si="23"/>
        <v>81977.27659</v>
      </c>
      <c r="X36" s="2"/>
      <c r="Y36" s="2"/>
      <c r="Z36" s="2"/>
      <c r="AA36" s="2"/>
      <c r="AB36" s="2"/>
    </row>
    <row r="37" ht="12.75" customHeight="1">
      <c r="A37" s="2"/>
      <c r="B37" s="2"/>
      <c r="C37" s="2"/>
      <c r="D37" s="3"/>
      <c r="E37" s="3"/>
      <c r="F37" s="3"/>
      <c r="G37" s="3"/>
      <c r="H37" s="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2"/>
      <c r="Z37" s="2"/>
      <c r="AA37" s="2"/>
      <c r="AB37" s="2"/>
    </row>
    <row r="38" ht="12.75" customHeight="1">
      <c r="A38" s="2"/>
      <c r="B38" s="2"/>
      <c r="C38" s="2"/>
      <c r="D38" s="3"/>
      <c r="E38" s="3"/>
      <c r="F38" s="3"/>
      <c r="G38" s="3"/>
      <c r="H38" s="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/>
      <c r="Y38" s="2"/>
      <c r="Z38" s="2"/>
      <c r="AA38" s="2"/>
      <c r="AB38" s="2"/>
    </row>
    <row r="39" ht="12.75" customHeight="1">
      <c r="A39" s="2"/>
      <c r="B39" s="2"/>
      <c r="C39" s="2"/>
      <c r="D39" s="3"/>
      <c r="E39" s="3"/>
      <c r="F39" s="3"/>
      <c r="G39" s="3"/>
      <c r="H39" s="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2"/>
      <c r="Y39" s="2"/>
      <c r="Z39" s="2"/>
      <c r="AA39" s="2"/>
      <c r="AB39" s="2"/>
    </row>
    <row r="40" ht="12.75" customHeight="1">
      <c r="A40" s="2"/>
      <c r="B40" s="2"/>
      <c r="C40" s="2"/>
      <c r="D40" s="3"/>
      <c r="E40" s="3"/>
      <c r="F40" s="3"/>
      <c r="G40" s="3"/>
      <c r="H40" s="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2"/>
      <c r="Y40" s="2"/>
      <c r="Z40" s="2"/>
      <c r="AA40" s="2"/>
      <c r="AB40" s="2"/>
    </row>
    <row r="41" ht="12.75" customHeight="1">
      <c r="A41" s="2"/>
      <c r="B41" s="2"/>
      <c r="C41" s="2"/>
      <c r="D41" s="3"/>
      <c r="E41" s="3"/>
      <c r="F41" s="3"/>
      <c r="G41" s="3"/>
      <c r="H41" s="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2"/>
      <c r="Z41" s="2"/>
      <c r="AA41" s="2"/>
      <c r="AB41" s="2"/>
    </row>
    <row r="42" ht="12.75" customHeight="1">
      <c r="A42" s="2"/>
      <c r="B42" s="2"/>
      <c r="C42" s="2"/>
      <c r="D42" s="3"/>
      <c r="E42" s="3"/>
      <c r="F42" s="3"/>
      <c r="G42" s="3"/>
      <c r="H42" s="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2"/>
      <c r="Y42" s="2"/>
      <c r="Z42" s="2"/>
      <c r="AA42" s="2"/>
      <c r="AB42" s="2"/>
    </row>
    <row r="43" ht="12.75" customHeight="1">
      <c r="A43" s="2"/>
      <c r="B43" s="2"/>
      <c r="C43" s="2"/>
      <c r="D43" s="3"/>
      <c r="E43" s="3"/>
      <c r="F43" s="3"/>
      <c r="G43" s="3"/>
      <c r="H43" s="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2"/>
      <c r="Y43" s="2"/>
      <c r="Z43" s="2"/>
      <c r="AA43" s="2"/>
      <c r="AB43" s="2"/>
    </row>
    <row r="44" ht="12.75" customHeight="1">
      <c r="A44" s="2"/>
      <c r="B44" s="2"/>
      <c r="C44" s="2"/>
      <c r="D44" s="3"/>
      <c r="E44" s="3"/>
      <c r="F44" s="3"/>
      <c r="G44" s="3"/>
      <c r="H44" s="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2"/>
      <c r="Y44" s="2"/>
      <c r="Z44" s="2"/>
      <c r="AA44" s="2"/>
      <c r="AB44" s="2"/>
    </row>
    <row r="45" ht="12.75" customHeight="1">
      <c r="A45" s="2"/>
      <c r="B45" s="2"/>
      <c r="C45" s="2"/>
      <c r="D45" s="3"/>
      <c r="E45" s="3"/>
      <c r="F45" s="3"/>
      <c r="G45" s="3"/>
      <c r="H45" s="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2"/>
      <c r="Y45" s="2"/>
      <c r="Z45" s="2"/>
      <c r="AA45" s="2"/>
      <c r="AB45" s="2"/>
    </row>
    <row r="46" ht="12.75" customHeight="1">
      <c r="A46" s="2"/>
      <c r="B46" s="2"/>
      <c r="C46" s="2"/>
      <c r="D46" s="3"/>
      <c r="E46" s="3"/>
      <c r="F46" s="3"/>
      <c r="G46" s="3"/>
      <c r="H46" s="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2"/>
      <c r="Y46" s="2"/>
      <c r="Z46" s="2"/>
      <c r="AA46" s="2"/>
      <c r="AB46" s="2"/>
    </row>
    <row r="47" ht="12.75" customHeight="1">
      <c r="A47" s="2"/>
      <c r="B47" s="2"/>
      <c r="C47" s="2"/>
      <c r="D47" s="3"/>
      <c r="E47" s="3"/>
      <c r="F47" s="3"/>
      <c r="G47" s="3"/>
      <c r="H47" s="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2"/>
      <c r="Y47" s="2"/>
      <c r="Z47" s="2"/>
      <c r="AA47" s="2"/>
      <c r="AB47" s="2"/>
    </row>
    <row r="48" ht="12.75" customHeight="1">
      <c r="A48" s="2"/>
      <c r="B48" s="2"/>
      <c r="C48" s="2"/>
      <c r="D48" s="3"/>
      <c r="E48" s="3"/>
      <c r="F48" s="3"/>
      <c r="G48" s="3"/>
      <c r="H48" s="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2"/>
      <c r="Y48" s="2"/>
      <c r="Z48" s="2"/>
      <c r="AA48" s="2"/>
      <c r="AB48" s="2"/>
    </row>
    <row r="49" ht="12.75" customHeight="1">
      <c r="A49" s="2"/>
      <c r="B49" s="2"/>
      <c r="C49" s="2"/>
      <c r="D49" s="3"/>
      <c r="E49" s="3"/>
      <c r="F49" s="3"/>
      <c r="G49" s="3"/>
      <c r="H49" s="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2"/>
      <c r="Y49" s="2"/>
      <c r="Z49" s="2"/>
      <c r="AA49" s="2"/>
      <c r="AB49" s="2"/>
    </row>
    <row r="50" ht="12.75" customHeight="1">
      <c r="A50" s="2"/>
      <c r="B50" s="2"/>
      <c r="C50" s="2"/>
      <c r="D50" s="3"/>
      <c r="E50" s="3"/>
      <c r="F50" s="3"/>
      <c r="G50" s="3"/>
      <c r="H50" s="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2"/>
      <c r="Y50" s="2"/>
      <c r="Z50" s="2"/>
      <c r="AA50" s="2"/>
      <c r="AB50" s="2"/>
    </row>
    <row r="51" ht="12.75" customHeight="1">
      <c r="A51" s="2"/>
      <c r="B51" s="2"/>
      <c r="C51" s="2"/>
      <c r="D51" s="3"/>
      <c r="E51" s="3"/>
      <c r="F51" s="3"/>
      <c r="G51" s="3"/>
      <c r="H51" s="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2"/>
      <c r="Y51" s="2"/>
      <c r="Z51" s="2"/>
      <c r="AA51" s="2"/>
      <c r="AB51" s="2"/>
    </row>
    <row r="52" ht="12.75" customHeight="1">
      <c r="A52" s="2"/>
      <c r="B52" s="2"/>
      <c r="C52" s="2"/>
      <c r="D52" s="3"/>
      <c r="E52" s="3"/>
      <c r="F52" s="3"/>
      <c r="G52" s="3"/>
      <c r="H52" s="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2"/>
      <c r="Y52" s="2"/>
      <c r="Z52" s="2"/>
      <c r="AA52" s="2"/>
      <c r="AB52" s="2"/>
    </row>
    <row r="53" ht="12.75" customHeight="1">
      <c r="A53" s="2"/>
      <c r="B53" s="2"/>
      <c r="C53" s="2"/>
      <c r="D53" s="3"/>
      <c r="E53" s="3"/>
      <c r="F53" s="3"/>
      <c r="G53" s="3"/>
      <c r="H53" s="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2"/>
      <c r="Y53" s="2"/>
      <c r="Z53" s="2"/>
      <c r="AA53" s="2"/>
      <c r="AB53" s="2"/>
    </row>
    <row r="54" ht="12.75" customHeight="1">
      <c r="A54" s="2"/>
      <c r="B54" s="2"/>
      <c r="C54" s="2"/>
      <c r="D54" s="3"/>
      <c r="E54" s="3"/>
      <c r="F54" s="3"/>
      <c r="G54" s="3"/>
      <c r="H54" s="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2"/>
      <c r="Y54" s="2"/>
      <c r="Z54" s="2"/>
      <c r="AA54" s="2"/>
      <c r="AB54" s="2"/>
    </row>
    <row r="55" ht="12.75" customHeight="1">
      <c r="A55" s="2"/>
      <c r="B55" s="2"/>
      <c r="C55" s="2"/>
      <c r="D55" s="3"/>
      <c r="E55" s="3"/>
      <c r="F55" s="3"/>
      <c r="G55" s="3"/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2"/>
      <c r="Y55" s="2"/>
      <c r="Z55" s="2"/>
      <c r="AA55" s="2"/>
      <c r="AB55" s="2"/>
    </row>
    <row r="56" ht="12.75" customHeight="1">
      <c r="A56" s="2"/>
      <c r="B56" s="2"/>
      <c r="C56" s="2"/>
      <c r="D56" s="3"/>
      <c r="E56" s="3"/>
      <c r="F56" s="3"/>
      <c r="G56" s="3"/>
      <c r="H56" s="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2"/>
      <c r="Y56" s="2"/>
      <c r="Z56" s="2"/>
      <c r="AA56" s="2"/>
      <c r="AB56" s="2"/>
    </row>
    <row r="57" ht="12.75" customHeight="1">
      <c r="A57" s="2"/>
      <c r="B57" s="2"/>
      <c r="C57" s="2"/>
      <c r="D57" s="3"/>
      <c r="E57" s="3"/>
      <c r="F57" s="3"/>
      <c r="G57" s="3"/>
      <c r="H57" s="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2"/>
      <c r="Y57" s="2"/>
      <c r="Z57" s="2"/>
      <c r="AA57" s="2"/>
      <c r="AB57" s="2"/>
    </row>
    <row r="58" ht="12.75" customHeight="1">
      <c r="A58" s="2"/>
      <c r="B58" s="2"/>
      <c r="C58" s="2"/>
      <c r="D58" s="3"/>
      <c r="E58" s="3"/>
      <c r="F58" s="3"/>
      <c r="G58" s="3"/>
      <c r="H58" s="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2"/>
      <c r="Y58" s="2"/>
      <c r="Z58" s="2"/>
      <c r="AA58" s="2"/>
      <c r="AB58" s="2"/>
    </row>
    <row r="59" ht="12.75" customHeight="1">
      <c r="A59" s="2"/>
      <c r="B59" s="2"/>
      <c r="C59" s="2"/>
      <c r="D59" s="3"/>
      <c r="E59" s="3"/>
      <c r="F59" s="3"/>
      <c r="G59" s="3"/>
      <c r="H59" s="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2"/>
      <c r="Y59" s="2"/>
      <c r="Z59" s="2"/>
      <c r="AA59" s="2"/>
      <c r="AB59" s="2"/>
    </row>
    <row r="60" ht="12.75" customHeight="1">
      <c r="A60" s="2"/>
      <c r="B60" s="2"/>
      <c r="C60" s="2"/>
      <c r="D60" s="3"/>
      <c r="E60" s="3"/>
      <c r="F60" s="3"/>
      <c r="G60" s="3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2"/>
      <c r="Y60" s="2"/>
      <c r="Z60" s="2"/>
      <c r="AA60" s="2"/>
      <c r="AB60" s="2"/>
    </row>
    <row r="61" ht="12.75" customHeight="1">
      <c r="A61" s="2"/>
      <c r="B61" s="2"/>
      <c r="C61" s="2"/>
      <c r="D61" s="3"/>
      <c r="E61" s="3"/>
      <c r="F61" s="3"/>
      <c r="G61" s="3"/>
      <c r="H61" s="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2"/>
      <c r="Y61" s="2"/>
      <c r="Z61" s="2"/>
      <c r="AA61" s="2"/>
      <c r="AB61" s="2"/>
    </row>
    <row r="62" ht="12.75" customHeight="1">
      <c r="A62" s="2"/>
      <c r="B62" s="2"/>
      <c r="C62" s="2"/>
      <c r="D62" s="3"/>
      <c r="E62" s="3"/>
      <c r="F62" s="3"/>
      <c r="G62" s="3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2"/>
      <c r="Y62" s="2"/>
      <c r="Z62" s="2"/>
      <c r="AA62" s="2"/>
      <c r="AB62" s="2"/>
    </row>
    <row r="63" ht="12.75" customHeight="1">
      <c r="A63" s="2"/>
      <c r="B63" s="2"/>
      <c r="C63" s="2"/>
      <c r="D63" s="3"/>
      <c r="E63" s="3"/>
      <c r="F63" s="3"/>
      <c r="G63" s="3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"/>
      <c r="Y63" s="2"/>
      <c r="Z63" s="2"/>
      <c r="AA63" s="2"/>
      <c r="AB63" s="2"/>
    </row>
    <row r="64" ht="12.75" customHeight="1">
      <c r="A64" s="2"/>
      <c r="B64" s="2"/>
      <c r="C64" s="2"/>
      <c r="D64" s="3"/>
      <c r="E64" s="3"/>
      <c r="F64" s="3"/>
      <c r="G64" s="3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2"/>
      <c r="Y64" s="2"/>
      <c r="Z64" s="2"/>
      <c r="AA64" s="2"/>
      <c r="AB64" s="2"/>
    </row>
    <row r="65" ht="12.75" customHeight="1">
      <c r="A65" s="2"/>
      <c r="B65" s="2"/>
      <c r="C65" s="2"/>
      <c r="D65" s="3"/>
      <c r="E65" s="3"/>
      <c r="F65" s="3"/>
      <c r="G65" s="3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2"/>
      <c r="Y65" s="2"/>
      <c r="Z65" s="2"/>
      <c r="AA65" s="2"/>
      <c r="AB65" s="2"/>
    </row>
    <row r="66" ht="12.75" customHeight="1">
      <c r="A66" s="2"/>
      <c r="B66" s="2"/>
      <c r="C66" s="2"/>
      <c r="D66" s="3"/>
      <c r="E66" s="3"/>
      <c r="F66" s="3"/>
      <c r="G66" s="3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2"/>
      <c r="Y66" s="2"/>
      <c r="Z66" s="2"/>
      <c r="AA66" s="2"/>
      <c r="AB66" s="2"/>
    </row>
    <row r="67" ht="12.75" customHeight="1">
      <c r="A67" s="2"/>
      <c r="B67" s="2"/>
      <c r="C67" s="2"/>
      <c r="D67" s="3"/>
      <c r="E67" s="3"/>
      <c r="F67" s="3"/>
      <c r="G67" s="3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2"/>
      <c r="Y67" s="2"/>
      <c r="Z67" s="2"/>
      <c r="AA67" s="2"/>
      <c r="AB67" s="2"/>
    </row>
    <row r="68" ht="12.75" customHeight="1">
      <c r="A68" s="2"/>
      <c r="B68" s="2"/>
      <c r="C68" s="2"/>
      <c r="D68" s="3"/>
      <c r="E68" s="3"/>
      <c r="F68" s="3"/>
      <c r="G68" s="3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2"/>
      <c r="Y68" s="2"/>
      <c r="Z68" s="2"/>
      <c r="AA68" s="2"/>
      <c r="AB68" s="2"/>
    </row>
    <row r="69" ht="12.75" customHeight="1">
      <c r="A69" s="2"/>
      <c r="B69" s="2"/>
      <c r="C69" s="2"/>
      <c r="D69" s="3"/>
      <c r="E69" s="3"/>
      <c r="F69" s="3"/>
      <c r="G69" s="3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2"/>
      <c r="Y69" s="2"/>
      <c r="Z69" s="2"/>
      <c r="AA69" s="2"/>
      <c r="AB69" s="2"/>
    </row>
    <row r="70" ht="12.75" customHeight="1">
      <c r="A70" s="2"/>
      <c r="B70" s="2"/>
      <c r="C70" s="2"/>
      <c r="D70" s="3"/>
      <c r="E70" s="3"/>
      <c r="F70" s="3"/>
      <c r="G70" s="3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2"/>
      <c r="Y70" s="2"/>
      <c r="Z70" s="2"/>
      <c r="AA70" s="2"/>
      <c r="AB70" s="2"/>
    </row>
    <row r="71" ht="12.75" customHeight="1">
      <c r="A71" s="2"/>
      <c r="B71" s="2"/>
      <c r="C71" s="2"/>
      <c r="D71" s="3"/>
      <c r="E71" s="3"/>
      <c r="F71" s="3"/>
      <c r="G71" s="3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2"/>
      <c r="Y71" s="2"/>
      <c r="Z71" s="2"/>
      <c r="AA71" s="2"/>
      <c r="AB71" s="2"/>
    </row>
    <row r="72" ht="12.75" customHeight="1">
      <c r="A72" s="2"/>
      <c r="B72" s="2"/>
      <c r="C72" s="2"/>
      <c r="D72" s="3"/>
      <c r="E72" s="3"/>
      <c r="F72" s="3"/>
      <c r="G72" s="3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2"/>
      <c r="Y72" s="2"/>
      <c r="Z72" s="2"/>
      <c r="AA72" s="2"/>
      <c r="AB72" s="2"/>
    </row>
    <row r="73" ht="12.75" customHeight="1">
      <c r="A73" s="2"/>
      <c r="B73" s="2"/>
      <c r="C73" s="2"/>
      <c r="D73" s="3"/>
      <c r="E73" s="3"/>
      <c r="F73" s="3"/>
      <c r="G73" s="3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2"/>
      <c r="Y73" s="2"/>
      <c r="Z73" s="2"/>
      <c r="AA73" s="2"/>
      <c r="AB73" s="2"/>
    </row>
    <row r="74" ht="12.75" customHeight="1">
      <c r="A74" s="2"/>
      <c r="B74" s="2"/>
      <c r="C74" s="2"/>
      <c r="D74" s="3"/>
      <c r="E74" s="3"/>
      <c r="F74" s="3"/>
      <c r="G74" s="3"/>
      <c r="H74" s="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2"/>
      <c r="Y74" s="2"/>
      <c r="Z74" s="2"/>
      <c r="AA74" s="2"/>
      <c r="AB74" s="2"/>
    </row>
    <row r="75" ht="12.75" customHeight="1">
      <c r="A75" s="2"/>
      <c r="B75" s="2"/>
      <c r="C75" s="2"/>
      <c r="D75" s="3"/>
      <c r="E75" s="3"/>
      <c r="F75" s="3"/>
      <c r="G75" s="3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2"/>
      <c r="Y75" s="2"/>
      <c r="Z75" s="2"/>
      <c r="AA75" s="2"/>
      <c r="AB75" s="2"/>
    </row>
    <row r="76" ht="12.75" customHeight="1">
      <c r="A76" s="2"/>
      <c r="B76" s="2"/>
      <c r="C76" s="2"/>
      <c r="D76" s="3"/>
      <c r="E76" s="3"/>
      <c r="F76" s="3"/>
      <c r="G76" s="3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2"/>
      <c r="Y76" s="2"/>
      <c r="Z76" s="2"/>
      <c r="AA76" s="2"/>
      <c r="AB76" s="2"/>
    </row>
    <row r="77" ht="12.75" customHeight="1">
      <c r="A77" s="2"/>
      <c r="B77" s="2"/>
      <c r="C77" s="2"/>
      <c r="D77" s="3"/>
      <c r="E77" s="3"/>
      <c r="F77" s="3"/>
      <c r="G77" s="3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2"/>
      <c r="Y77" s="2"/>
      <c r="Z77" s="2"/>
      <c r="AA77" s="2"/>
      <c r="AB77" s="2"/>
    </row>
    <row r="78" ht="12.75" customHeight="1">
      <c r="A78" s="2"/>
      <c r="B78" s="2"/>
      <c r="C78" s="2"/>
      <c r="D78" s="3"/>
      <c r="E78" s="3"/>
      <c r="F78" s="3"/>
      <c r="G78" s="3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2"/>
      <c r="Y78" s="2"/>
      <c r="Z78" s="2"/>
      <c r="AA78" s="2"/>
      <c r="AB78" s="2"/>
    </row>
    <row r="79" ht="12.75" customHeight="1">
      <c r="A79" s="2"/>
      <c r="B79" s="2"/>
      <c r="C79" s="2"/>
      <c r="D79" s="3"/>
      <c r="E79" s="3"/>
      <c r="F79" s="3"/>
      <c r="G79" s="3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2"/>
      <c r="Y79" s="2"/>
      <c r="Z79" s="2"/>
      <c r="AA79" s="2"/>
      <c r="AB79" s="2"/>
    </row>
    <row r="80" ht="12.75" customHeight="1">
      <c r="A80" s="2"/>
      <c r="B80" s="2"/>
      <c r="C80" s="2"/>
      <c r="D80" s="3"/>
      <c r="E80" s="3"/>
      <c r="F80" s="3"/>
      <c r="G80" s="3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2"/>
      <c r="Y80" s="2"/>
      <c r="Z80" s="2"/>
      <c r="AA80" s="2"/>
      <c r="AB80" s="2"/>
    </row>
    <row r="81" ht="12.75" customHeight="1">
      <c r="A81" s="2"/>
      <c r="B81" s="2"/>
      <c r="C81" s="2"/>
      <c r="D81" s="3"/>
      <c r="E81" s="3"/>
      <c r="F81" s="3"/>
      <c r="G81" s="3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2"/>
      <c r="Y81" s="2"/>
      <c r="Z81" s="2"/>
      <c r="AA81" s="2"/>
      <c r="AB81" s="2"/>
    </row>
    <row r="82" ht="12.75" customHeight="1">
      <c r="A82" s="2"/>
      <c r="B82" s="2"/>
      <c r="C82" s="2"/>
      <c r="D82" s="3"/>
      <c r="E82" s="3"/>
      <c r="F82" s="3"/>
      <c r="G82" s="3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2"/>
      <c r="Y82" s="2"/>
      <c r="Z82" s="2"/>
      <c r="AA82" s="2"/>
      <c r="AB82" s="2"/>
    </row>
    <row r="83" ht="12.75" customHeight="1">
      <c r="A83" s="2"/>
      <c r="B83" s="2"/>
      <c r="C83" s="2"/>
      <c r="D83" s="3"/>
      <c r="E83" s="3"/>
      <c r="F83" s="3"/>
      <c r="G83" s="3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2"/>
      <c r="Y83" s="2"/>
      <c r="Z83" s="2"/>
      <c r="AA83" s="2"/>
      <c r="AB83" s="2"/>
    </row>
    <row r="84" ht="12.75" customHeight="1">
      <c r="A84" s="2"/>
      <c r="B84" s="2"/>
      <c r="C84" s="2"/>
      <c r="D84" s="3"/>
      <c r="E84" s="3"/>
      <c r="F84" s="3"/>
      <c r="G84" s="3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2"/>
      <c r="Y84" s="2"/>
      <c r="Z84" s="2"/>
      <c r="AA84" s="2"/>
      <c r="AB84" s="2"/>
    </row>
    <row r="85" ht="12.75" customHeight="1">
      <c r="A85" s="2"/>
      <c r="B85" s="2"/>
      <c r="C85" s="2"/>
      <c r="D85" s="3"/>
      <c r="E85" s="3"/>
      <c r="F85" s="3"/>
      <c r="G85" s="3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2"/>
      <c r="Y85" s="2"/>
      <c r="Z85" s="2"/>
      <c r="AA85" s="2"/>
      <c r="AB85" s="2"/>
    </row>
    <row r="86" ht="12.75" customHeight="1">
      <c r="A86" s="2"/>
      <c r="B86" s="2"/>
      <c r="C86" s="2"/>
      <c r="D86" s="3"/>
      <c r="E86" s="3"/>
      <c r="F86" s="3"/>
      <c r="G86" s="3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2"/>
      <c r="Y86" s="2"/>
      <c r="Z86" s="2"/>
      <c r="AA86" s="2"/>
      <c r="AB86" s="2"/>
    </row>
    <row r="87" ht="12.75" customHeight="1">
      <c r="A87" s="2"/>
      <c r="B87" s="2"/>
      <c r="C87" s="2"/>
      <c r="D87" s="3"/>
      <c r="E87" s="3"/>
      <c r="F87" s="3"/>
      <c r="G87" s="3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2"/>
      <c r="Y87" s="2"/>
      <c r="Z87" s="2"/>
      <c r="AA87" s="2"/>
      <c r="AB87" s="2"/>
    </row>
    <row r="88" ht="12.75" customHeight="1">
      <c r="A88" s="2"/>
      <c r="B88" s="2"/>
      <c r="C88" s="2"/>
      <c r="D88" s="3"/>
      <c r="E88" s="3"/>
      <c r="F88" s="3"/>
      <c r="G88" s="3"/>
      <c r="H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2"/>
      <c r="Y88" s="2"/>
      <c r="Z88" s="2"/>
      <c r="AA88" s="2"/>
      <c r="AB88" s="2"/>
    </row>
    <row r="89" ht="12.75" customHeight="1">
      <c r="A89" s="2"/>
      <c r="B89" s="2"/>
      <c r="C89" s="2"/>
      <c r="D89" s="3"/>
      <c r="E89" s="3"/>
      <c r="F89" s="3"/>
      <c r="G89" s="3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2"/>
      <c r="Y89" s="2"/>
      <c r="Z89" s="2"/>
      <c r="AA89" s="2"/>
      <c r="AB89" s="2"/>
    </row>
    <row r="90" ht="12.75" customHeight="1">
      <c r="A90" s="2"/>
      <c r="B90" s="2"/>
      <c r="C90" s="2"/>
      <c r="D90" s="3"/>
      <c r="E90" s="3"/>
      <c r="F90" s="3"/>
      <c r="G90" s="3"/>
      <c r="H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2"/>
      <c r="Y90" s="2"/>
      <c r="Z90" s="2"/>
      <c r="AA90" s="2"/>
      <c r="AB90" s="2"/>
    </row>
    <row r="91" ht="12.75" customHeight="1">
      <c r="A91" s="2"/>
      <c r="B91" s="2"/>
      <c r="C91" s="2"/>
      <c r="D91" s="3"/>
      <c r="E91" s="3"/>
      <c r="F91" s="3"/>
      <c r="G91" s="3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2"/>
      <c r="Y91" s="2"/>
      <c r="Z91" s="2"/>
      <c r="AA91" s="2"/>
      <c r="AB91" s="2"/>
    </row>
    <row r="92" ht="12.75" customHeight="1">
      <c r="A92" s="2"/>
      <c r="B92" s="2"/>
      <c r="C92" s="2"/>
      <c r="D92" s="3"/>
      <c r="E92" s="3"/>
      <c r="F92" s="3"/>
      <c r="G92" s="3"/>
      <c r="H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2"/>
      <c r="Y92" s="2"/>
      <c r="Z92" s="2"/>
      <c r="AA92" s="2"/>
      <c r="AB92" s="2"/>
    </row>
    <row r="93" ht="12.75" customHeight="1">
      <c r="A93" s="2"/>
      <c r="B93" s="2"/>
      <c r="C93" s="2"/>
      <c r="D93" s="3"/>
      <c r="E93" s="3"/>
      <c r="F93" s="3"/>
      <c r="G93" s="3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2"/>
      <c r="Y93" s="2"/>
      <c r="Z93" s="2"/>
      <c r="AA93" s="2"/>
      <c r="AB93" s="2"/>
    </row>
    <row r="94" ht="12.75" customHeight="1">
      <c r="A94" s="2"/>
      <c r="B94" s="2"/>
      <c r="C94" s="2"/>
      <c r="D94" s="3"/>
      <c r="E94" s="3"/>
      <c r="F94" s="3"/>
      <c r="G94" s="3"/>
      <c r="H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2"/>
      <c r="Y94" s="2"/>
      <c r="Z94" s="2"/>
      <c r="AA94" s="2"/>
      <c r="AB94" s="2"/>
    </row>
    <row r="95" ht="12.75" customHeight="1">
      <c r="A95" s="2"/>
      <c r="B95" s="2"/>
      <c r="C95" s="2"/>
      <c r="D95" s="3"/>
      <c r="E95" s="3"/>
      <c r="F95" s="3"/>
      <c r="G95" s="3"/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2"/>
      <c r="Y95" s="2"/>
      <c r="Z95" s="2"/>
      <c r="AA95" s="2"/>
      <c r="AB95" s="2"/>
    </row>
    <row r="96" ht="12.75" customHeight="1">
      <c r="A96" s="2"/>
      <c r="B96" s="2"/>
      <c r="C96" s="2"/>
      <c r="D96" s="3"/>
      <c r="E96" s="3"/>
      <c r="F96" s="3"/>
      <c r="G96" s="3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2"/>
      <c r="Y96" s="2"/>
      <c r="Z96" s="2"/>
      <c r="AA96" s="2"/>
      <c r="AB96" s="2"/>
    </row>
    <row r="97" ht="12.75" customHeight="1">
      <c r="A97" s="2"/>
      <c r="B97" s="2"/>
      <c r="C97" s="2"/>
      <c r="D97" s="3"/>
      <c r="E97" s="3"/>
      <c r="F97" s="3"/>
      <c r="G97" s="3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2"/>
      <c r="Y97" s="2"/>
      <c r="Z97" s="2"/>
      <c r="AA97" s="2"/>
      <c r="AB97" s="2"/>
    </row>
    <row r="98" ht="12.75" customHeight="1">
      <c r="A98" s="2"/>
      <c r="B98" s="2"/>
      <c r="C98" s="2"/>
      <c r="D98" s="3"/>
      <c r="E98" s="3"/>
      <c r="F98" s="3"/>
      <c r="G98" s="3"/>
      <c r="H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2"/>
      <c r="Y98" s="2"/>
      <c r="Z98" s="2"/>
      <c r="AA98" s="2"/>
      <c r="AB98" s="2"/>
    </row>
    <row r="99" ht="12.75" customHeight="1">
      <c r="A99" s="2"/>
      <c r="B99" s="2"/>
      <c r="C99" s="2"/>
      <c r="D99" s="3"/>
      <c r="E99" s="3"/>
      <c r="F99" s="3"/>
      <c r="G99" s="3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2"/>
      <c r="Y99" s="2"/>
      <c r="Z99" s="2"/>
      <c r="AA99" s="2"/>
      <c r="AB99" s="2"/>
    </row>
    <row r="100" ht="12.75" customHeight="1">
      <c r="A100" s="2"/>
      <c r="B100" s="2"/>
      <c r="C100" s="2"/>
      <c r="D100" s="3"/>
      <c r="E100" s="3"/>
      <c r="F100" s="3"/>
      <c r="G100" s="3"/>
      <c r="H100" s="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2"/>
      <c r="Y100" s="2"/>
      <c r="Z100" s="2"/>
      <c r="AA100" s="2"/>
      <c r="AB100" s="2"/>
    </row>
    <row r="101" ht="12.75" customHeight="1">
      <c r="A101" s="2"/>
      <c r="B101" s="2"/>
      <c r="C101" s="2"/>
      <c r="D101" s="3"/>
      <c r="E101" s="3"/>
      <c r="F101" s="3"/>
      <c r="G101" s="3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2"/>
      <c r="Y101" s="2"/>
      <c r="Z101" s="2"/>
      <c r="AA101" s="2"/>
      <c r="AB101" s="2"/>
    </row>
    <row r="102" ht="12.75" customHeight="1">
      <c r="A102" s="2"/>
      <c r="B102" s="2"/>
      <c r="C102" s="2"/>
      <c r="D102" s="3"/>
      <c r="E102" s="3"/>
      <c r="F102" s="3"/>
      <c r="G102" s="3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2"/>
      <c r="Y102" s="2"/>
      <c r="Z102" s="2"/>
      <c r="AA102" s="2"/>
      <c r="AB102" s="2"/>
    </row>
    <row r="103" ht="12.75" customHeight="1">
      <c r="A103" s="2"/>
      <c r="B103" s="2"/>
      <c r="C103" s="2"/>
      <c r="D103" s="3"/>
      <c r="E103" s="3"/>
      <c r="F103" s="3"/>
      <c r="G103" s="3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2"/>
      <c r="Y103" s="2"/>
      <c r="Z103" s="2"/>
      <c r="AA103" s="2"/>
      <c r="AB103" s="2"/>
    </row>
    <row r="104" ht="12.75" customHeight="1">
      <c r="A104" s="2"/>
      <c r="B104" s="2"/>
      <c r="C104" s="2"/>
      <c r="D104" s="3"/>
      <c r="E104" s="3"/>
      <c r="F104" s="3"/>
      <c r="G104" s="3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2"/>
      <c r="Y104" s="2"/>
      <c r="Z104" s="2"/>
      <c r="AA104" s="2"/>
      <c r="AB104" s="2"/>
    </row>
    <row r="105" ht="12.75" customHeight="1">
      <c r="A105" s="2"/>
      <c r="B105" s="2"/>
      <c r="C105" s="2"/>
      <c r="D105" s="3"/>
      <c r="E105" s="3"/>
      <c r="F105" s="3"/>
      <c r="G105" s="3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2"/>
      <c r="Y105" s="2"/>
      <c r="Z105" s="2"/>
      <c r="AA105" s="2"/>
      <c r="AB105" s="2"/>
    </row>
    <row r="106" ht="12.75" customHeight="1">
      <c r="A106" s="2"/>
      <c r="B106" s="2"/>
      <c r="C106" s="2"/>
      <c r="D106" s="3"/>
      <c r="E106" s="3"/>
      <c r="F106" s="3"/>
      <c r="G106" s="3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2"/>
      <c r="Y106" s="2"/>
      <c r="Z106" s="2"/>
      <c r="AA106" s="2"/>
      <c r="AB106" s="2"/>
    </row>
    <row r="107" ht="12.75" customHeight="1">
      <c r="A107" s="2"/>
      <c r="B107" s="2"/>
      <c r="C107" s="2"/>
      <c r="D107" s="3"/>
      <c r="E107" s="3"/>
      <c r="F107" s="3"/>
      <c r="G107" s="3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2"/>
      <c r="Y107" s="2"/>
      <c r="Z107" s="2"/>
      <c r="AA107" s="2"/>
      <c r="AB107" s="2"/>
    </row>
    <row r="108" ht="12.75" customHeight="1">
      <c r="A108" s="2"/>
      <c r="B108" s="2"/>
      <c r="C108" s="2"/>
      <c r="D108" s="3"/>
      <c r="E108" s="3"/>
      <c r="F108" s="3"/>
      <c r="G108" s="3"/>
      <c r="H108" s="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2"/>
      <c r="Y108" s="2"/>
      <c r="Z108" s="2"/>
      <c r="AA108" s="2"/>
      <c r="AB108" s="2"/>
    </row>
    <row r="109" ht="12.75" customHeight="1">
      <c r="A109" s="2"/>
      <c r="B109" s="2"/>
      <c r="C109" s="2"/>
      <c r="D109" s="3"/>
      <c r="E109" s="3"/>
      <c r="F109" s="3"/>
      <c r="G109" s="3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2"/>
      <c r="Y109" s="2"/>
      <c r="Z109" s="2"/>
      <c r="AA109" s="2"/>
      <c r="AB109" s="2"/>
    </row>
    <row r="110" ht="12.75" customHeight="1">
      <c r="A110" s="2"/>
      <c r="B110" s="2"/>
      <c r="C110" s="2"/>
      <c r="D110" s="3"/>
      <c r="E110" s="3"/>
      <c r="F110" s="3"/>
      <c r="G110" s="3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2"/>
      <c r="Y110" s="2"/>
      <c r="Z110" s="2"/>
      <c r="AA110" s="2"/>
      <c r="AB110" s="2"/>
    </row>
    <row r="111" ht="12.75" customHeight="1">
      <c r="A111" s="2"/>
      <c r="B111" s="2"/>
      <c r="C111" s="2"/>
      <c r="D111" s="3"/>
      <c r="E111" s="3"/>
      <c r="F111" s="3"/>
      <c r="G111" s="3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2"/>
      <c r="Y111" s="2"/>
      <c r="Z111" s="2"/>
      <c r="AA111" s="2"/>
      <c r="AB111" s="2"/>
    </row>
    <row r="112" ht="12.75" customHeight="1">
      <c r="A112" s="2"/>
      <c r="B112" s="2"/>
      <c r="C112" s="2"/>
      <c r="D112" s="3"/>
      <c r="E112" s="3"/>
      <c r="F112" s="3"/>
      <c r="G112" s="3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2"/>
      <c r="Y112" s="2"/>
      <c r="Z112" s="2"/>
      <c r="AA112" s="2"/>
      <c r="AB112" s="2"/>
    </row>
    <row r="113" ht="12.75" customHeight="1">
      <c r="A113" s="2"/>
      <c r="B113" s="2"/>
      <c r="C113" s="2"/>
      <c r="D113" s="3"/>
      <c r="E113" s="3"/>
      <c r="F113" s="3"/>
      <c r="G113" s="3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2"/>
      <c r="Y113" s="2"/>
      <c r="Z113" s="2"/>
      <c r="AA113" s="2"/>
      <c r="AB113" s="2"/>
    </row>
    <row r="114" ht="12.75" customHeight="1">
      <c r="A114" s="2"/>
      <c r="B114" s="2"/>
      <c r="C114" s="2"/>
      <c r="D114" s="3"/>
      <c r="E114" s="3"/>
      <c r="F114" s="3"/>
      <c r="G114" s="3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2"/>
      <c r="Y114" s="2"/>
      <c r="Z114" s="2"/>
      <c r="AA114" s="2"/>
      <c r="AB114" s="2"/>
    </row>
    <row r="115" ht="12.75" customHeight="1">
      <c r="A115" s="2"/>
      <c r="B115" s="2"/>
      <c r="C115" s="2"/>
      <c r="D115" s="3"/>
      <c r="E115" s="3"/>
      <c r="F115" s="3"/>
      <c r="G115" s="3"/>
      <c r="H115" s="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2"/>
      <c r="Y115" s="2"/>
      <c r="Z115" s="2"/>
      <c r="AA115" s="2"/>
      <c r="AB115" s="2"/>
    </row>
    <row r="116" ht="12.75" customHeight="1">
      <c r="A116" s="2"/>
      <c r="B116" s="2"/>
      <c r="C116" s="2"/>
      <c r="D116" s="3"/>
      <c r="E116" s="3"/>
      <c r="F116" s="3"/>
      <c r="G116" s="3"/>
      <c r="H116" s="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2"/>
      <c r="Y116" s="2"/>
      <c r="Z116" s="2"/>
      <c r="AA116" s="2"/>
      <c r="AB116" s="2"/>
    </row>
    <row r="117" ht="12.75" customHeight="1">
      <c r="A117" s="2"/>
      <c r="B117" s="2"/>
      <c r="C117" s="2"/>
      <c r="D117" s="3"/>
      <c r="E117" s="3"/>
      <c r="F117" s="3"/>
      <c r="G117" s="3"/>
      <c r="H117" s="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2"/>
      <c r="Y117" s="2"/>
      <c r="Z117" s="2"/>
      <c r="AA117" s="2"/>
      <c r="AB117" s="2"/>
    </row>
    <row r="118" ht="12.75" customHeight="1">
      <c r="A118" s="2"/>
      <c r="B118" s="2"/>
      <c r="C118" s="2"/>
      <c r="D118" s="3"/>
      <c r="E118" s="3"/>
      <c r="F118" s="3"/>
      <c r="G118" s="3"/>
      <c r="H118" s="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2"/>
      <c r="Y118" s="2"/>
      <c r="Z118" s="2"/>
      <c r="AA118" s="2"/>
      <c r="AB118" s="2"/>
    </row>
    <row r="119" ht="12.75" customHeight="1">
      <c r="A119" s="2"/>
      <c r="B119" s="2"/>
      <c r="C119" s="2"/>
      <c r="D119" s="3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2"/>
      <c r="Y119" s="2"/>
      <c r="Z119" s="2"/>
      <c r="AA119" s="2"/>
      <c r="AB119" s="2"/>
    </row>
    <row r="120" ht="12.75" customHeight="1">
      <c r="A120" s="2"/>
      <c r="B120" s="2"/>
      <c r="C120" s="2"/>
      <c r="D120" s="3"/>
      <c r="E120" s="3"/>
      <c r="F120" s="3"/>
      <c r="G120" s="3"/>
      <c r="H120" s="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2"/>
      <c r="Y120" s="2"/>
      <c r="Z120" s="2"/>
      <c r="AA120" s="2"/>
      <c r="AB120" s="2"/>
    </row>
    <row r="121" ht="12.75" customHeight="1">
      <c r="A121" s="2"/>
      <c r="B121" s="2"/>
      <c r="C121" s="2"/>
      <c r="D121" s="3"/>
      <c r="E121" s="3"/>
      <c r="F121" s="3"/>
      <c r="G121" s="3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2"/>
      <c r="Y121" s="2"/>
      <c r="Z121" s="2"/>
      <c r="AA121" s="2"/>
      <c r="AB121" s="2"/>
    </row>
    <row r="122" ht="12.75" customHeight="1">
      <c r="A122" s="2"/>
      <c r="B122" s="2"/>
      <c r="C122" s="2"/>
      <c r="D122" s="3"/>
      <c r="E122" s="3"/>
      <c r="F122" s="3"/>
      <c r="G122" s="3"/>
      <c r="H122" s="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2"/>
      <c r="Y122" s="2"/>
      <c r="Z122" s="2"/>
      <c r="AA122" s="2"/>
      <c r="AB122" s="2"/>
    </row>
    <row r="123" ht="12.75" customHeight="1">
      <c r="A123" s="2"/>
      <c r="B123" s="2"/>
      <c r="C123" s="2"/>
      <c r="D123" s="3"/>
      <c r="E123" s="3"/>
      <c r="F123" s="3"/>
      <c r="G123" s="3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2"/>
      <c r="Y123" s="2"/>
      <c r="Z123" s="2"/>
      <c r="AA123" s="2"/>
      <c r="AB123" s="2"/>
    </row>
    <row r="124" ht="12.75" customHeight="1">
      <c r="A124" s="2"/>
      <c r="B124" s="2"/>
      <c r="C124" s="2"/>
      <c r="D124" s="3"/>
      <c r="E124" s="3"/>
      <c r="F124" s="3"/>
      <c r="G124" s="3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2"/>
      <c r="Y124" s="2"/>
      <c r="Z124" s="2"/>
      <c r="AA124" s="2"/>
      <c r="AB124" s="2"/>
    </row>
    <row r="125" ht="12.75" customHeight="1">
      <c r="A125" s="2"/>
      <c r="B125" s="2"/>
      <c r="C125" s="2"/>
      <c r="D125" s="3"/>
      <c r="E125" s="3"/>
      <c r="F125" s="3"/>
      <c r="G125" s="3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2"/>
      <c r="Y125" s="2"/>
      <c r="Z125" s="2"/>
      <c r="AA125" s="2"/>
      <c r="AB125" s="2"/>
    </row>
    <row r="126" ht="12.75" customHeight="1">
      <c r="A126" s="2"/>
      <c r="B126" s="2"/>
      <c r="C126" s="2"/>
      <c r="D126" s="3"/>
      <c r="E126" s="3"/>
      <c r="F126" s="3"/>
      <c r="G126" s="3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2"/>
      <c r="Y126" s="2"/>
      <c r="Z126" s="2"/>
      <c r="AA126" s="2"/>
      <c r="AB126" s="2"/>
    </row>
    <row r="127" ht="12.75" customHeight="1">
      <c r="A127" s="2"/>
      <c r="B127" s="2"/>
      <c r="C127" s="2"/>
      <c r="D127" s="3"/>
      <c r="E127" s="3"/>
      <c r="F127" s="3"/>
      <c r="G127" s="3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2"/>
      <c r="Y127" s="2"/>
      <c r="Z127" s="2"/>
      <c r="AA127" s="2"/>
      <c r="AB127" s="2"/>
    </row>
    <row r="128" ht="12.75" customHeight="1">
      <c r="A128" s="2"/>
      <c r="B128" s="2"/>
      <c r="C128" s="2"/>
      <c r="D128" s="3"/>
      <c r="E128" s="3"/>
      <c r="F128" s="3"/>
      <c r="G128" s="3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2"/>
      <c r="Y128" s="2"/>
      <c r="Z128" s="2"/>
      <c r="AA128" s="2"/>
      <c r="AB128" s="2"/>
    </row>
    <row r="129" ht="12.75" customHeight="1">
      <c r="A129" s="2"/>
      <c r="B129" s="2"/>
      <c r="C129" s="2"/>
      <c r="D129" s="3"/>
      <c r="E129" s="3"/>
      <c r="F129" s="3"/>
      <c r="G129" s="3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2"/>
      <c r="Y129" s="2"/>
      <c r="Z129" s="2"/>
      <c r="AA129" s="2"/>
      <c r="AB129" s="2"/>
    </row>
    <row r="130" ht="12.75" customHeight="1">
      <c r="A130" s="2"/>
      <c r="B130" s="2"/>
      <c r="C130" s="2"/>
      <c r="D130" s="3"/>
      <c r="E130" s="3"/>
      <c r="F130" s="3"/>
      <c r="G130" s="3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2"/>
      <c r="Y130" s="2"/>
      <c r="Z130" s="2"/>
      <c r="AA130" s="2"/>
      <c r="AB130" s="2"/>
    </row>
    <row r="131" ht="12.75" customHeight="1">
      <c r="A131" s="2"/>
      <c r="B131" s="2"/>
      <c r="C131" s="2"/>
      <c r="D131" s="3"/>
      <c r="E131" s="3"/>
      <c r="F131" s="3"/>
      <c r="G131" s="3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2"/>
      <c r="Y131" s="2"/>
      <c r="Z131" s="2"/>
      <c r="AA131" s="2"/>
      <c r="AB131" s="2"/>
    </row>
    <row r="132" ht="12.75" customHeight="1">
      <c r="A132" s="2"/>
      <c r="B132" s="2"/>
      <c r="C132" s="2"/>
      <c r="D132" s="3"/>
      <c r="E132" s="3"/>
      <c r="F132" s="3"/>
      <c r="G132" s="3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2"/>
      <c r="Y132" s="2"/>
      <c r="Z132" s="2"/>
      <c r="AA132" s="2"/>
      <c r="AB132" s="2"/>
    </row>
    <row r="133" ht="12.75" customHeight="1">
      <c r="A133" s="2"/>
      <c r="B133" s="2"/>
      <c r="C133" s="2"/>
      <c r="D133" s="3"/>
      <c r="E133" s="3"/>
      <c r="F133" s="3"/>
      <c r="G133" s="3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2"/>
      <c r="Y133" s="2"/>
      <c r="Z133" s="2"/>
      <c r="AA133" s="2"/>
      <c r="AB133" s="2"/>
    </row>
    <row r="134" ht="12.75" customHeight="1">
      <c r="A134" s="2"/>
      <c r="B134" s="2"/>
      <c r="C134" s="2"/>
      <c r="D134" s="3"/>
      <c r="E134" s="3"/>
      <c r="F134" s="3"/>
      <c r="G134" s="3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2"/>
      <c r="Y134" s="2"/>
      <c r="Z134" s="2"/>
      <c r="AA134" s="2"/>
      <c r="AB134" s="2"/>
    </row>
    <row r="135" ht="12.75" customHeight="1">
      <c r="A135" s="2"/>
      <c r="B135" s="2"/>
      <c r="C135" s="2"/>
      <c r="D135" s="3"/>
      <c r="E135" s="3"/>
      <c r="F135" s="3"/>
      <c r="G135" s="3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2"/>
      <c r="Y135" s="2"/>
      <c r="Z135" s="2"/>
      <c r="AA135" s="2"/>
      <c r="AB135" s="2"/>
    </row>
    <row r="136" ht="12.75" customHeight="1">
      <c r="A136" s="2"/>
      <c r="B136" s="2"/>
      <c r="C136" s="2"/>
      <c r="D136" s="3"/>
      <c r="E136" s="3"/>
      <c r="F136" s="3"/>
      <c r="G136" s="3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2"/>
      <c r="Y136" s="2"/>
      <c r="Z136" s="2"/>
      <c r="AA136" s="2"/>
      <c r="AB136" s="2"/>
    </row>
    <row r="137" ht="12.75" customHeight="1">
      <c r="A137" s="2"/>
      <c r="B137" s="2"/>
      <c r="C137" s="2"/>
      <c r="D137" s="3"/>
      <c r="E137" s="3"/>
      <c r="F137" s="3"/>
      <c r="G137" s="3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2"/>
      <c r="Y137" s="2"/>
      <c r="Z137" s="2"/>
      <c r="AA137" s="2"/>
      <c r="AB137" s="2"/>
    </row>
    <row r="138" ht="12.75" customHeight="1">
      <c r="A138" s="2"/>
      <c r="B138" s="2"/>
      <c r="C138" s="2"/>
      <c r="D138" s="3"/>
      <c r="E138" s="3"/>
      <c r="F138" s="3"/>
      <c r="G138" s="3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2"/>
      <c r="Y138" s="2"/>
      <c r="Z138" s="2"/>
      <c r="AA138" s="2"/>
      <c r="AB138" s="2"/>
    </row>
    <row r="139" ht="12.75" customHeight="1">
      <c r="A139" s="2"/>
      <c r="B139" s="2"/>
      <c r="C139" s="2"/>
      <c r="D139" s="3"/>
      <c r="E139" s="3"/>
      <c r="F139" s="3"/>
      <c r="G139" s="3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2"/>
      <c r="Y139" s="2"/>
      <c r="Z139" s="2"/>
      <c r="AA139" s="2"/>
      <c r="AB139" s="2"/>
    </row>
    <row r="140" ht="12.75" customHeight="1">
      <c r="A140" s="2"/>
      <c r="B140" s="2"/>
      <c r="C140" s="2"/>
      <c r="D140" s="3"/>
      <c r="E140" s="3"/>
      <c r="F140" s="3"/>
      <c r="G140" s="3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2"/>
      <c r="Y140" s="2"/>
      <c r="Z140" s="2"/>
      <c r="AA140" s="2"/>
      <c r="AB140" s="2"/>
    </row>
    <row r="141" ht="12.75" customHeight="1">
      <c r="A141" s="2"/>
      <c r="B141" s="2"/>
      <c r="C141" s="2"/>
      <c r="D141" s="3"/>
      <c r="E141" s="3"/>
      <c r="F141" s="3"/>
      <c r="G141" s="3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2"/>
      <c r="Y141" s="2"/>
      <c r="Z141" s="2"/>
      <c r="AA141" s="2"/>
      <c r="AB141" s="2"/>
    </row>
    <row r="142" ht="12.75" customHeight="1">
      <c r="A142" s="2"/>
      <c r="B142" s="2"/>
      <c r="C142" s="2"/>
      <c r="D142" s="3"/>
      <c r="E142" s="3"/>
      <c r="F142" s="3"/>
      <c r="G142" s="3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2"/>
      <c r="Y142" s="2"/>
      <c r="Z142" s="2"/>
      <c r="AA142" s="2"/>
      <c r="AB142" s="2"/>
    </row>
    <row r="143" ht="12.75" customHeight="1">
      <c r="A143" s="2"/>
      <c r="B143" s="2"/>
      <c r="C143" s="2"/>
      <c r="D143" s="3"/>
      <c r="E143" s="3"/>
      <c r="F143" s="3"/>
      <c r="G143" s="3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2"/>
      <c r="Y143" s="2"/>
      <c r="Z143" s="2"/>
      <c r="AA143" s="2"/>
      <c r="AB143" s="2"/>
    </row>
    <row r="144" ht="12.75" customHeight="1">
      <c r="A144" s="2"/>
      <c r="B144" s="2"/>
      <c r="C144" s="2"/>
      <c r="D144" s="3"/>
      <c r="E144" s="3"/>
      <c r="F144" s="3"/>
      <c r="G144" s="3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2"/>
      <c r="Y144" s="2"/>
      <c r="Z144" s="2"/>
      <c r="AA144" s="2"/>
      <c r="AB144" s="2"/>
    </row>
    <row r="145" ht="12.75" customHeight="1">
      <c r="A145" s="2"/>
      <c r="B145" s="2"/>
      <c r="C145" s="2"/>
      <c r="D145" s="3"/>
      <c r="E145" s="3"/>
      <c r="F145" s="3"/>
      <c r="G145" s="3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2"/>
      <c r="Y145" s="2"/>
      <c r="Z145" s="2"/>
      <c r="AA145" s="2"/>
      <c r="AB145" s="2"/>
    </row>
    <row r="146" ht="12.75" customHeight="1">
      <c r="A146" s="2"/>
      <c r="B146" s="2"/>
      <c r="C146" s="2"/>
      <c r="D146" s="3"/>
      <c r="E146" s="3"/>
      <c r="F146" s="3"/>
      <c r="G146" s="3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2"/>
      <c r="Y146" s="2"/>
      <c r="Z146" s="2"/>
      <c r="AA146" s="2"/>
      <c r="AB146" s="2"/>
    </row>
    <row r="147" ht="12.75" customHeight="1">
      <c r="A147" s="2"/>
      <c r="B147" s="2"/>
      <c r="C147" s="2"/>
      <c r="D147" s="3"/>
      <c r="E147" s="3"/>
      <c r="F147" s="3"/>
      <c r="G147" s="3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2"/>
      <c r="Y147" s="2"/>
      <c r="Z147" s="2"/>
      <c r="AA147" s="2"/>
      <c r="AB147" s="2"/>
    </row>
    <row r="148" ht="12.75" customHeight="1">
      <c r="A148" s="2"/>
      <c r="B148" s="2"/>
      <c r="C148" s="2"/>
      <c r="D148" s="3"/>
      <c r="E148" s="3"/>
      <c r="F148" s="3"/>
      <c r="G148" s="3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2"/>
      <c r="Y148" s="2"/>
      <c r="Z148" s="2"/>
      <c r="AA148" s="2"/>
      <c r="AB148" s="2"/>
    </row>
    <row r="149" ht="12.75" customHeight="1">
      <c r="A149" s="2"/>
      <c r="B149" s="2"/>
      <c r="C149" s="2"/>
      <c r="D149" s="3"/>
      <c r="E149" s="3"/>
      <c r="F149" s="3"/>
      <c r="G149" s="3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2"/>
      <c r="Y149" s="2"/>
      <c r="Z149" s="2"/>
      <c r="AA149" s="2"/>
      <c r="AB149" s="2"/>
    </row>
    <row r="150" ht="12.75" customHeight="1">
      <c r="A150" s="2"/>
      <c r="B150" s="2"/>
      <c r="C150" s="2"/>
      <c r="D150" s="3"/>
      <c r="E150" s="3"/>
      <c r="F150" s="3"/>
      <c r="G150" s="3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2"/>
      <c r="Y150" s="2"/>
      <c r="Z150" s="2"/>
      <c r="AA150" s="2"/>
      <c r="AB150" s="2"/>
    </row>
    <row r="151" ht="12.75" customHeight="1">
      <c r="A151" s="2"/>
      <c r="B151" s="2"/>
      <c r="C151" s="2"/>
      <c r="D151" s="3"/>
      <c r="E151" s="3"/>
      <c r="F151" s="3"/>
      <c r="G151" s="3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2"/>
      <c r="Y151" s="2"/>
      <c r="Z151" s="2"/>
      <c r="AA151" s="2"/>
      <c r="AB151" s="2"/>
    </row>
    <row r="152" ht="12.75" customHeight="1">
      <c r="A152" s="2"/>
      <c r="B152" s="2"/>
      <c r="C152" s="2"/>
      <c r="D152" s="3"/>
      <c r="E152" s="3"/>
      <c r="F152" s="3"/>
      <c r="G152" s="3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2"/>
      <c r="Y152" s="2"/>
      <c r="Z152" s="2"/>
      <c r="AA152" s="2"/>
      <c r="AB152" s="2"/>
    </row>
    <row r="153" ht="12.75" customHeight="1">
      <c r="A153" s="2"/>
      <c r="B153" s="2"/>
      <c r="C153" s="2"/>
      <c r="D153" s="3"/>
      <c r="E153" s="3"/>
      <c r="F153" s="3"/>
      <c r="G153" s="3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2"/>
      <c r="Y153" s="2"/>
      <c r="Z153" s="2"/>
      <c r="AA153" s="2"/>
      <c r="AB153" s="2"/>
    </row>
    <row r="154" ht="12.75" customHeight="1">
      <c r="A154" s="2"/>
      <c r="B154" s="2"/>
      <c r="C154" s="2"/>
      <c r="D154" s="3"/>
      <c r="E154" s="3"/>
      <c r="F154" s="3"/>
      <c r="G154" s="3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2"/>
      <c r="Y154" s="2"/>
      <c r="Z154" s="2"/>
      <c r="AA154" s="2"/>
      <c r="AB154" s="2"/>
    </row>
    <row r="155" ht="12.75" customHeight="1">
      <c r="A155" s="2"/>
      <c r="B155" s="2"/>
      <c r="C155" s="2"/>
      <c r="D155" s="3"/>
      <c r="E155" s="3"/>
      <c r="F155" s="3"/>
      <c r="G155" s="3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2"/>
      <c r="Y155" s="2"/>
      <c r="Z155" s="2"/>
      <c r="AA155" s="2"/>
      <c r="AB155" s="2"/>
    </row>
    <row r="156" ht="12.75" customHeight="1">
      <c r="A156" s="2"/>
      <c r="B156" s="2"/>
      <c r="C156" s="2"/>
      <c r="D156" s="3"/>
      <c r="E156" s="3"/>
      <c r="F156" s="3"/>
      <c r="G156" s="3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2"/>
      <c r="Y156" s="2"/>
      <c r="Z156" s="2"/>
      <c r="AA156" s="2"/>
      <c r="AB156" s="2"/>
    </row>
    <row r="157" ht="12.75" customHeight="1">
      <c r="A157" s="2"/>
      <c r="B157" s="2"/>
      <c r="C157" s="2"/>
      <c r="D157" s="3"/>
      <c r="E157" s="3"/>
      <c r="F157" s="3"/>
      <c r="G157" s="3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2"/>
      <c r="Y157" s="2"/>
      <c r="Z157" s="2"/>
      <c r="AA157" s="2"/>
      <c r="AB157" s="2"/>
    </row>
    <row r="158" ht="12.75" customHeight="1">
      <c r="A158" s="2"/>
      <c r="B158" s="2"/>
      <c r="C158" s="2"/>
      <c r="D158" s="3"/>
      <c r="E158" s="3"/>
      <c r="F158" s="3"/>
      <c r="G158" s="3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2"/>
      <c r="Y158" s="2"/>
      <c r="Z158" s="2"/>
      <c r="AA158" s="2"/>
      <c r="AB158" s="2"/>
    </row>
    <row r="159" ht="12.75" customHeight="1">
      <c r="A159" s="2"/>
      <c r="B159" s="2"/>
      <c r="C159" s="2"/>
      <c r="D159" s="3"/>
      <c r="E159" s="3"/>
      <c r="F159" s="3"/>
      <c r="G159" s="3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2"/>
      <c r="Y159" s="2"/>
      <c r="Z159" s="2"/>
      <c r="AA159" s="2"/>
      <c r="AB159" s="2"/>
    </row>
    <row r="160" ht="12.75" customHeight="1">
      <c r="A160" s="2"/>
      <c r="B160" s="2"/>
      <c r="C160" s="2"/>
      <c r="D160" s="3"/>
      <c r="E160" s="3"/>
      <c r="F160" s="3"/>
      <c r="G160" s="3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2"/>
      <c r="Y160" s="2"/>
      <c r="Z160" s="2"/>
      <c r="AA160" s="2"/>
      <c r="AB160" s="2"/>
    </row>
    <row r="161" ht="12.75" customHeight="1">
      <c r="A161" s="2"/>
      <c r="B161" s="2"/>
      <c r="C161" s="2"/>
      <c r="D161" s="3"/>
      <c r="E161" s="3"/>
      <c r="F161" s="3"/>
      <c r="G161" s="3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2"/>
      <c r="Y161" s="2"/>
      <c r="Z161" s="2"/>
      <c r="AA161" s="2"/>
      <c r="AB161" s="2"/>
    </row>
    <row r="162" ht="12.75" customHeight="1">
      <c r="A162" s="2"/>
      <c r="B162" s="2"/>
      <c r="C162" s="2"/>
      <c r="D162" s="3"/>
      <c r="E162" s="3"/>
      <c r="F162" s="3"/>
      <c r="G162" s="3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2"/>
      <c r="Y162" s="2"/>
      <c r="Z162" s="2"/>
      <c r="AA162" s="2"/>
      <c r="AB162" s="2"/>
    </row>
    <row r="163" ht="12.75" customHeight="1">
      <c r="A163" s="2"/>
      <c r="B163" s="2"/>
      <c r="C163" s="2"/>
      <c r="D163" s="3"/>
      <c r="E163" s="3"/>
      <c r="F163" s="3"/>
      <c r="G163" s="3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2"/>
      <c r="Y163" s="2"/>
      <c r="Z163" s="2"/>
      <c r="AA163" s="2"/>
      <c r="AB163" s="2"/>
    </row>
    <row r="164" ht="12.75" customHeight="1">
      <c r="A164" s="2"/>
      <c r="B164" s="2"/>
      <c r="C164" s="2"/>
      <c r="D164" s="3"/>
      <c r="E164" s="3"/>
      <c r="F164" s="3"/>
      <c r="G164" s="3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2"/>
      <c r="Y164" s="2"/>
      <c r="Z164" s="2"/>
      <c r="AA164" s="2"/>
      <c r="AB164" s="2"/>
    </row>
    <row r="165" ht="12.75" customHeight="1">
      <c r="A165" s="2"/>
      <c r="B165" s="2"/>
      <c r="C165" s="2"/>
      <c r="D165" s="3"/>
      <c r="E165" s="3"/>
      <c r="F165" s="3"/>
      <c r="G165" s="3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2"/>
      <c r="Y165" s="2"/>
      <c r="Z165" s="2"/>
      <c r="AA165" s="2"/>
      <c r="AB165" s="2"/>
    </row>
    <row r="166" ht="12.75" customHeight="1">
      <c r="A166" s="2"/>
      <c r="B166" s="2"/>
      <c r="C166" s="2"/>
      <c r="D166" s="3"/>
      <c r="E166" s="3"/>
      <c r="F166" s="3"/>
      <c r="G166" s="3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2"/>
      <c r="Y166" s="2"/>
      <c r="Z166" s="2"/>
      <c r="AA166" s="2"/>
      <c r="AB166" s="2"/>
    </row>
    <row r="167" ht="12.75" customHeight="1">
      <c r="A167" s="2"/>
      <c r="B167" s="2"/>
      <c r="C167" s="2"/>
      <c r="D167" s="3"/>
      <c r="E167" s="3"/>
      <c r="F167" s="3"/>
      <c r="G167" s="3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2"/>
      <c r="Y167" s="2"/>
      <c r="Z167" s="2"/>
      <c r="AA167" s="2"/>
      <c r="AB167" s="2"/>
    </row>
    <row r="168" ht="12.75" customHeight="1">
      <c r="A168" s="2"/>
      <c r="B168" s="2"/>
      <c r="C168" s="2"/>
      <c r="D168" s="3"/>
      <c r="E168" s="3"/>
      <c r="F168" s="3"/>
      <c r="G168" s="3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2"/>
      <c r="Y168" s="2"/>
      <c r="Z168" s="2"/>
      <c r="AA168" s="2"/>
      <c r="AB168" s="2"/>
    </row>
    <row r="169" ht="12.75" customHeight="1">
      <c r="A169" s="2"/>
      <c r="B169" s="2"/>
      <c r="C169" s="2"/>
      <c r="D169" s="3"/>
      <c r="E169" s="3"/>
      <c r="F169" s="3"/>
      <c r="G169" s="3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2"/>
      <c r="Y169" s="2"/>
      <c r="Z169" s="2"/>
      <c r="AA169" s="2"/>
      <c r="AB169" s="2"/>
    </row>
    <row r="170" ht="12.75" customHeight="1">
      <c r="A170" s="2"/>
      <c r="B170" s="2"/>
      <c r="C170" s="2"/>
      <c r="D170" s="3"/>
      <c r="E170" s="3"/>
      <c r="F170" s="3"/>
      <c r="G170" s="3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2"/>
      <c r="Y170" s="2"/>
      <c r="Z170" s="2"/>
      <c r="AA170" s="2"/>
      <c r="AB170" s="2"/>
    </row>
    <row r="171" ht="12.75" customHeight="1">
      <c r="A171" s="2"/>
      <c r="B171" s="2"/>
      <c r="C171" s="2"/>
      <c r="D171" s="3"/>
      <c r="E171" s="3"/>
      <c r="F171" s="3"/>
      <c r="G171" s="3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2"/>
      <c r="Y171" s="2"/>
      <c r="Z171" s="2"/>
      <c r="AA171" s="2"/>
      <c r="AB171" s="2"/>
    </row>
    <row r="172" ht="12.75" customHeight="1">
      <c r="A172" s="2"/>
      <c r="B172" s="2"/>
      <c r="C172" s="2"/>
      <c r="D172" s="3"/>
      <c r="E172" s="3"/>
      <c r="F172" s="3"/>
      <c r="G172" s="3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"/>
      <c r="Y172" s="2"/>
      <c r="Z172" s="2"/>
      <c r="AA172" s="2"/>
      <c r="AB172" s="2"/>
    </row>
    <row r="173" ht="12.75" customHeight="1">
      <c r="A173" s="2"/>
      <c r="B173" s="2"/>
      <c r="C173" s="2"/>
      <c r="D173" s="3"/>
      <c r="E173" s="3"/>
      <c r="F173" s="3"/>
      <c r="G173" s="3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"/>
      <c r="Y173" s="2"/>
      <c r="Z173" s="2"/>
      <c r="AA173" s="2"/>
      <c r="AB173" s="2"/>
    </row>
    <row r="174" ht="12.75" customHeight="1">
      <c r="A174" s="2"/>
      <c r="B174" s="2"/>
      <c r="C174" s="2"/>
      <c r="D174" s="3"/>
      <c r="E174" s="3"/>
      <c r="F174" s="3"/>
      <c r="G174" s="3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"/>
      <c r="Y174" s="2"/>
      <c r="Z174" s="2"/>
      <c r="AA174" s="2"/>
      <c r="AB174" s="2"/>
    </row>
    <row r="175" ht="12.75" customHeight="1">
      <c r="A175" s="2"/>
      <c r="B175" s="2"/>
      <c r="C175" s="2"/>
      <c r="D175" s="3"/>
      <c r="E175" s="3"/>
      <c r="F175" s="3"/>
      <c r="G175" s="3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"/>
      <c r="Y175" s="2"/>
      <c r="Z175" s="2"/>
      <c r="AA175" s="2"/>
      <c r="AB175" s="2"/>
    </row>
    <row r="176" ht="12.75" customHeight="1">
      <c r="A176" s="2"/>
      <c r="B176" s="2"/>
      <c r="C176" s="2"/>
      <c r="D176" s="3"/>
      <c r="E176" s="3"/>
      <c r="F176" s="3"/>
      <c r="G176" s="3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"/>
      <c r="Y176" s="2"/>
      <c r="Z176" s="2"/>
      <c r="AA176" s="2"/>
      <c r="AB176" s="2"/>
    </row>
    <row r="177" ht="12.75" customHeight="1">
      <c r="A177" s="2"/>
      <c r="B177" s="2"/>
      <c r="C177" s="2"/>
      <c r="D177" s="3"/>
      <c r="E177" s="3"/>
      <c r="F177" s="3"/>
      <c r="G177" s="3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"/>
      <c r="Y177" s="2"/>
      <c r="Z177" s="2"/>
      <c r="AA177" s="2"/>
      <c r="AB177" s="2"/>
    </row>
    <row r="178" ht="12.75" customHeight="1">
      <c r="A178" s="2"/>
      <c r="B178" s="2"/>
      <c r="C178" s="2"/>
      <c r="D178" s="3"/>
      <c r="E178" s="3"/>
      <c r="F178" s="3"/>
      <c r="G178" s="3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2"/>
      <c r="Y178" s="2"/>
      <c r="Z178" s="2"/>
      <c r="AA178" s="2"/>
      <c r="AB178" s="2"/>
    </row>
    <row r="179" ht="12.75" customHeight="1">
      <c r="A179" s="2"/>
      <c r="B179" s="2"/>
      <c r="C179" s="2"/>
      <c r="D179" s="3"/>
      <c r="E179" s="3"/>
      <c r="F179" s="3"/>
      <c r="G179" s="3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2"/>
      <c r="Y179" s="2"/>
      <c r="Z179" s="2"/>
      <c r="AA179" s="2"/>
      <c r="AB179" s="2"/>
    </row>
    <row r="180" ht="12.75" customHeight="1">
      <c r="A180" s="2"/>
      <c r="B180" s="2"/>
      <c r="C180" s="2"/>
      <c r="D180" s="3"/>
      <c r="E180" s="3"/>
      <c r="F180" s="3"/>
      <c r="G180" s="3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2"/>
      <c r="Y180" s="2"/>
      <c r="Z180" s="2"/>
      <c r="AA180" s="2"/>
      <c r="AB180" s="2"/>
    </row>
    <row r="181" ht="12.75" customHeight="1">
      <c r="A181" s="2"/>
      <c r="B181" s="2"/>
      <c r="C181" s="2"/>
      <c r="D181" s="3"/>
      <c r="E181" s="3"/>
      <c r="F181" s="3"/>
      <c r="G181" s="3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2"/>
      <c r="Y181" s="2"/>
      <c r="Z181" s="2"/>
      <c r="AA181" s="2"/>
      <c r="AB181" s="2"/>
    </row>
    <row r="182" ht="12.75" customHeight="1">
      <c r="A182" s="2"/>
      <c r="B182" s="2"/>
      <c r="C182" s="2"/>
      <c r="D182" s="3"/>
      <c r="E182" s="3"/>
      <c r="F182" s="3"/>
      <c r="G182" s="3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2"/>
      <c r="Y182" s="2"/>
      <c r="Z182" s="2"/>
      <c r="AA182" s="2"/>
      <c r="AB182" s="2"/>
    </row>
    <row r="183" ht="12.75" customHeight="1">
      <c r="A183" s="2"/>
      <c r="B183" s="2"/>
      <c r="C183" s="2"/>
      <c r="D183" s="3"/>
      <c r="E183" s="3"/>
      <c r="F183" s="3"/>
      <c r="G183" s="3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2"/>
      <c r="Y183" s="2"/>
      <c r="Z183" s="2"/>
      <c r="AA183" s="2"/>
      <c r="AB183" s="2"/>
    </row>
    <row r="184" ht="12.75" customHeight="1">
      <c r="A184" s="2"/>
      <c r="B184" s="2"/>
      <c r="C184" s="2"/>
      <c r="D184" s="3"/>
      <c r="E184" s="3"/>
      <c r="F184" s="3"/>
      <c r="G184" s="3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2"/>
      <c r="Y184" s="2"/>
      <c r="Z184" s="2"/>
      <c r="AA184" s="2"/>
      <c r="AB184" s="2"/>
    </row>
    <row r="185" ht="12.75" customHeight="1">
      <c r="A185" s="2"/>
      <c r="B185" s="2"/>
      <c r="C185" s="2"/>
      <c r="D185" s="3"/>
      <c r="E185" s="3"/>
      <c r="F185" s="3"/>
      <c r="G185" s="3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2"/>
      <c r="Y185" s="2"/>
      <c r="Z185" s="2"/>
      <c r="AA185" s="2"/>
      <c r="AB185" s="2"/>
    </row>
    <row r="186" ht="12.75" customHeight="1">
      <c r="A186" s="2"/>
      <c r="B186" s="2"/>
      <c r="C186" s="2"/>
      <c r="D186" s="3"/>
      <c r="E186" s="3"/>
      <c r="F186" s="3"/>
      <c r="G186" s="3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2"/>
      <c r="Y186" s="2"/>
      <c r="Z186" s="2"/>
      <c r="AA186" s="2"/>
      <c r="AB186" s="2"/>
    </row>
    <row r="187" ht="12.75" customHeight="1">
      <c r="A187" s="2"/>
      <c r="B187" s="2"/>
      <c r="C187" s="2"/>
      <c r="D187" s="3"/>
      <c r="E187" s="3"/>
      <c r="F187" s="3"/>
      <c r="G187" s="3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2"/>
      <c r="Y187" s="2"/>
      <c r="Z187" s="2"/>
      <c r="AA187" s="2"/>
      <c r="AB187" s="2"/>
    </row>
    <row r="188" ht="12.75" customHeight="1">
      <c r="A188" s="2"/>
      <c r="B188" s="2"/>
      <c r="C188" s="2"/>
      <c r="D188" s="3"/>
      <c r="E188" s="3"/>
      <c r="F188" s="3"/>
      <c r="G188" s="3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2"/>
      <c r="Y188" s="2"/>
      <c r="Z188" s="2"/>
      <c r="AA188" s="2"/>
      <c r="AB188" s="2"/>
    </row>
    <row r="189" ht="12.75" customHeight="1">
      <c r="A189" s="2"/>
      <c r="B189" s="2"/>
      <c r="C189" s="2"/>
      <c r="D189" s="3"/>
      <c r="E189" s="3"/>
      <c r="F189" s="3"/>
      <c r="G189" s="3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2"/>
      <c r="Y189" s="2"/>
      <c r="Z189" s="2"/>
      <c r="AA189" s="2"/>
      <c r="AB189" s="2"/>
    </row>
    <row r="190" ht="12.75" customHeight="1">
      <c r="A190" s="2"/>
      <c r="B190" s="2"/>
      <c r="C190" s="2"/>
      <c r="D190" s="3"/>
      <c r="E190" s="3"/>
      <c r="F190" s="3"/>
      <c r="G190" s="3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2"/>
      <c r="Y190" s="2"/>
      <c r="Z190" s="2"/>
      <c r="AA190" s="2"/>
      <c r="AB190" s="2"/>
    </row>
    <row r="191" ht="12.75" customHeight="1">
      <c r="A191" s="2"/>
      <c r="B191" s="2"/>
      <c r="C191" s="2"/>
      <c r="D191" s="3"/>
      <c r="E191" s="3"/>
      <c r="F191" s="3"/>
      <c r="G191" s="3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2"/>
      <c r="Y191" s="2"/>
      <c r="Z191" s="2"/>
      <c r="AA191" s="2"/>
      <c r="AB191" s="2"/>
    </row>
    <row r="192" ht="12.75" customHeight="1">
      <c r="A192" s="2"/>
      <c r="B192" s="2"/>
      <c r="C192" s="2"/>
      <c r="D192" s="3"/>
      <c r="E192" s="3"/>
      <c r="F192" s="3"/>
      <c r="G192" s="3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2"/>
      <c r="Y192" s="2"/>
      <c r="Z192" s="2"/>
      <c r="AA192" s="2"/>
      <c r="AB192" s="2"/>
    </row>
    <row r="193" ht="12.75" customHeight="1">
      <c r="A193" s="2"/>
      <c r="B193" s="2"/>
      <c r="C193" s="2"/>
      <c r="D193" s="3"/>
      <c r="E193" s="3"/>
      <c r="F193" s="3"/>
      <c r="G193" s="3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2"/>
      <c r="Y193" s="2"/>
      <c r="Z193" s="2"/>
      <c r="AA193" s="2"/>
      <c r="AB193" s="2"/>
    </row>
    <row r="194" ht="12.75" customHeight="1">
      <c r="A194" s="2"/>
      <c r="B194" s="2"/>
      <c r="C194" s="2"/>
      <c r="D194" s="3"/>
      <c r="E194" s="3"/>
      <c r="F194" s="3"/>
      <c r="G194" s="3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2"/>
      <c r="Y194" s="2"/>
      <c r="Z194" s="2"/>
      <c r="AA194" s="2"/>
      <c r="AB194" s="2"/>
    </row>
    <row r="195" ht="12.75" customHeight="1">
      <c r="A195" s="2"/>
      <c r="B195" s="2"/>
      <c r="C195" s="2"/>
      <c r="D195" s="3"/>
      <c r="E195" s="3"/>
      <c r="F195" s="3"/>
      <c r="G195" s="3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2"/>
      <c r="Y195" s="2"/>
      <c r="Z195" s="2"/>
      <c r="AA195" s="2"/>
      <c r="AB195" s="2"/>
    </row>
    <row r="196" ht="12.75" customHeight="1">
      <c r="A196" s="2"/>
      <c r="B196" s="2"/>
      <c r="C196" s="2"/>
      <c r="D196" s="3"/>
      <c r="E196" s="3"/>
      <c r="F196" s="3"/>
      <c r="G196" s="3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2"/>
      <c r="Y196" s="2"/>
      <c r="Z196" s="2"/>
      <c r="AA196" s="2"/>
      <c r="AB196" s="2"/>
    </row>
    <row r="197" ht="12.75" customHeight="1">
      <c r="A197" s="2"/>
      <c r="B197" s="2"/>
      <c r="C197" s="2"/>
      <c r="D197" s="3"/>
      <c r="E197" s="3"/>
      <c r="F197" s="3"/>
      <c r="G197" s="3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2"/>
      <c r="Y197" s="2"/>
      <c r="Z197" s="2"/>
      <c r="AA197" s="2"/>
      <c r="AB197" s="2"/>
    </row>
    <row r="198" ht="12.75" customHeight="1">
      <c r="A198" s="2"/>
      <c r="B198" s="2"/>
      <c r="C198" s="2"/>
      <c r="D198" s="3"/>
      <c r="E198" s="3"/>
      <c r="F198" s="3"/>
      <c r="G198" s="3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2"/>
      <c r="Y198" s="2"/>
      <c r="Z198" s="2"/>
      <c r="AA198" s="2"/>
      <c r="AB198" s="2"/>
    </row>
    <row r="199" ht="12.75" customHeight="1">
      <c r="A199" s="2"/>
      <c r="B199" s="2"/>
      <c r="C199" s="2"/>
      <c r="D199" s="3"/>
      <c r="E199" s="3"/>
      <c r="F199" s="3"/>
      <c r="G199" s="3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2"/>
      <c r="Y199" s="2"/>
      <c r="Z199" s="2"/>
      <c r="AA199" s="2"/>
      <c r="AB199" s="2"/>
    </row>
    <row r="200" ht="12.75" customHeight="1">
      <c r="A200" s="2"/>
      <c r="B200" s="2"/>
      <c r="C200" s="2"/>
      <c r="D200" s="3"/>
      <c r="E200" s="3"/>
      <c r="F200" s="3"/>
      <c r="G200" s="3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2"/>
      <c r="Y200" s="2"/>
      <c r="Z200" s="2"/>
      <c r="AA200" s="2"/>
      <c r="AB200" s="2"/>
    </row>
    <row r="201" ht="12.75" customHeight="1">
      <c r="A201" s="2"/>
      <c r="B201" s="2"/>
      <c r="C201" s="2"/>
      <c r="D201" s="3"/>
      <c r="E201" s="3"/>
      <c r="F201" s="3"/>
      <c r="G201" s="3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2"/>
      <c r="Y201" s="2"/>
      <c r="Z201" s="2"/>
      <c r="AA201" s="2"/>
      <c r="AB201" s="2"/>
    </row>
    <row r="202" ht="12.75" customHeight="1">
      <c r="A202" s="2"/>
      <c r="B202" s="2"/>
      <c r="C202" s="2"/>
      <c r="D202" s="3"/>
      <c r="E202" s="3"/>
      <c r="F202" s="3"/>
      <c r="G202" s="3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2"/>
      <c r="Y202" s="2"/>
      <c r="Z202" s="2"/>
      <c r="AA202" s="2"/>
      <c r="AB202" s="2"/>
    </row>
    <row r="203" ht="12.75" customHeight="1">
      <c r="A203" s="2"/>
      <c r="B203" s="2"/>
      <c r="C203" s="2"/>
      <c r="D203" s="3"/>
      <c r="E203" s="3"/>
      <c r="F203" s="3"/>
      <c r="G203" s="3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2"/>
      <c r="Y203" s="2"/>
      <c r="Z203" s="2"/>
      <c r="AA203" s="2"/>
      <c r="AB203" s="2"/>
    </row>
    <row r="204" ht="12.75" customHeight="1">
      <c r="A204" s="2"/>
      <c r="B204" s="2"/>
      <c r="C204" s="2"/>
      <c r="D204" s="3"/>
      <c r="E204" s="3"/>
      <c r="F204" s="3"/>
      <c r="G204" s="3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2"/>
      <c r="Y204" s="2"/>
      <c r="Z204" s="2"/>
      <c r="AA204" s="2"/>
      <c r="AB204" s="2"/>
    </row>
    <row r="205" ht="12.75" customHeight="1">
      <c r="A205" s="2"/>
      <c r="B205" s="2"/>
      <c r="C205" s="2"/>
      <c r="D205" s="3"/>
      <c r="E205" s="3"/>
      <c r="F205" s="3"/>
      <c r="G205" s="3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2"/>
      <c r="Y205" s="2"/>
      <c r="Z205" s="2"/>
      <c r="AA205" s="2"/>
      <c r="AB205" s="2"/>
    </row>
    <row r="206" ht="12.75" customHeight="1">
      <c r="A206" s="2"/>
      <c r="B206" s="2"/>
      <c r="C206" s="2"/>
      <c r="D206" s="3"/>
      <c r="E206" s="3"/>
      <c r="F206" s="3"/>
      <c r="G206" s="3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2"/>
      <c r="Y206" s="2"/>
      <c r="Z206" s="2"/>
      <c r="AA206" s="2"/>
      <c r="AB206" s="2"/>
    </row>
    <row r="207" ht="12.75" customHeight="1">
      <c r="A207" s="2"/>
      <c r="B207" s="2"/>
      <c r="C207" s="2"/>
      <c r="D207" s="3"/>
      <c r="E207" s="3"/>
      <c r="F207" s="3"/>
      <c r="G207" s="3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2"/>
      <c r="Y207" s="2"/>
      <c r="Z207" s="2"/>
      <c r="AA207" s="2"/>
      <c r="AB207" s="2"/>
    </row>
    <row r="208" ht="12.75" customHeight="1">
      <c r="A208" s="2"/>
      <c r="B208" s="2"/>
      <c r="C208" s="2"/>
      <c r="D208" s="3"/>
      <c r="E208" s="3"/>
      <c r="F208" s="3"/>
      <c r="G208" s="3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2"/>
      <c r="Y208" s="2"/>
      <c r="Z208" s="2"/>
      <c r="AA208" s="2"/>
      <c r="AB208" s="2"/>
    </row>
    <row r="209" ht="12.75" customHeight="1">
      <c r="A209" s="2"/>
      <c r="B209" s="2"/>
      <c r="C209" s="2"/>
      <c r="D209" s="3"/>
      <c r="E209" s="3"/>
      <c r="F209" s="3"/>
      <c r="G209" s="3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2"/>
      <c r="Y209" s="2"/>
      <c r="Z209" s="2"/>
      <c r="AA209" s="2"/>
      <c r="AB209" s="2"/>
    </row>
    <row r="210" ht="12.75" customHeight="1">
      <c r="A210" s="2"/>
      <c r="B210" s="2"/>
      <c r="C210" s="2"/>
      <c r="D210" s="3"/>
      <c r="E210" s="3"/>
      <c r="F210" s="3"/>
      <c r="G210" s="3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2"/>
      <c r="Y210" s="2"/>
      <c r="Z210" s="2"/>
      <c r="AA210" s="2"/>
      <c r="AB210" s="2"/>
    </row>
    <row r="211" ht="12.75" customHeight="1">
      <c r="A211" s="2"/>
      <c r="B211" s="2"/>
      <c r="C211" s="2"/>
      <c r="D211" s="3"/>
      <c r="E211" s="3"/>
      <c r="F211" s="3"/>
      <c r="G211" s="3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2"/>
      <c r="Y211" s="2"/>
      <c r="Z211" s="2"/>
      <c r="AA211" s="2"/>
      <c r="AB211" s="2"/>
    </row>
    <row r="212" ht="12.75" customHeight="1">
      <c r="A212" s="2"/>
      <c r="B212" s="2"/>
      <c r="C212" s="2"/>
      <c r="D212" s="3"/>
      <c r="E212" s="3"/>
      <c r="F212" s="3"/>
      <c r="G212" s="3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2"/>
      <c r="Y212" s="2"/>
      <c r="Z212" s="2"/>
      <c r="AA212" s="2"/>
      <c r="AB212" s="2"/>
    </row>
    <row r="213" ht="12.75" customHeight="1">
      <c r="A213" s="2"/>
      <c r="B213" s="2"/>
      <c r="C213" s="2"/>
      <c r="D213" s="3"/>
      <c r="E213" s="3"/>
      <c r="F213" s="3"/>
      <c r="G213" s="3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2"/>
      <c r="Y213" s="2"/>
      <c r="Z213" s="2"/>
      <c r="AA213" s="2"/>
      <c r="AB213" s="2"/>
    </row>
    <row r="214" ht="12.75" customHeight="1">
      <c r="A214" s="2"/>
      <c r="B214" s="2"/>
      <c r="C214" s="2"/>
      <c r="D214" s="3"/>
      <c r="E214" s="3"/>
      <c r="F214" s="3"/>
      <c r="G214" s="3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2"/>
      <c r="Y214" s="2"/>
      <c r="Z214" s="2"/>
      <c r="AA214" s="2"/>
      <c r="AB214" s="2"/>
    </row>
    <row r="215" ht="12.75" customHeight="1">
      <c r="A215" s="2"/>
      <c r="B215" s="2"/>
      <c r="C215" s="2"/>
      <c r="D215" s="3"/>
      <c r="E215" s="3"/>
      <c r="F215" s="3"/>
      <c r="G215" s="3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2"/>
      <c r="Y215" s="2"/>
      <c r="Z215" s="2"/>
      <c r="AA215" s="2"/>
      <c r="AB215" s="2"/>
    </row>
    <row r="216" ht="12.75" customHeight="1">
      <c r="A216" s="2"/>
      <c r="B216" s="2"/>
      <c r="C216" s="2"/>
      <c r="D216" s="3"/>
      <c r="E216" s="3"/>
      <c r="F216" s="3"/>
      <c r="G216" s="3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2"/>
      <c r="Y216" s="2"/>
      <c r="Z216" s="2"/>
      <c r="AA216" s="2"/>
      <c r="AB216" s="2"/>
    </row>
    <row r="217" ht="12.75" customHeight="1">
      <c r="A217" s="2"/>
      <c r="B217" s="2"/>
      <c r="C217" s="2"/>
      <c r="D217" s="3"/>
      <c r="E217" s="3"/>
      <c r="F217" s="3"/>
      <c r="G217" s="3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"/>
      <c r="Y217" s="2"/>
      <c r="Z217" s="2"/>
      <c r="AA217" s="2"/>
      <c r="AB217" s="2"/>
    </row>
    <row r="218" ht="12.75" customHeight="1">
      <c r="A218" s="2"/>
      <c r="B218" s="2"/>
      <c r="C218" s="2"/>
      <c r="D218" s="3"/>
      <c r="E218" s="3"/>
      <c r="F218" s="3"/>
      <c r="G218" s="3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2"/>
      <c r="Y218" s="2"/>
      <c r="Z218" s="2"/>
      <c r="AA218" s="2"/>
      <c r="AB218" s="2"/>
    </row>
    <row r="219" ht="12.75" customHeight="1">
      <c r="A219" s="2"/>
      <c r="B219" s="2"/>
      <c r="C219" s="2"/>
      <c r="D219" s="3"/>
      <c r="E219" s="3"/>
      <c r="F219" s="3"/>
      <c r="G219" s="3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2"/>
      <c r="Y219" s="2"/>
      <c r="Z219" s="2"/>
      <c r="AA219" s="2"/>
      <c r="AB219" s="2"/>
    </row>
    <row r="220" ht="12.75" customHeight="1">
      <c r="A220" s="2"/>
      <c r="B220" s="2"/>
      <c r="C220" s="2"/>
      <c r="D220" s="3"/>
      <c r="E220" s="3"/>
      <c r="F220" s="3"/>
      <c r="G220" s="3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2"/>
      <c r="Y220" s="2"/>
      <c r="Z220" s="2"/>
      <c r="AA220" s="2"/>
      <c r="AB220" s="2"/>
    </row>
    <row r="221" ht="12.75" customHeight="1">
      <c r="A221" s="2"/>
      <c r="B221" s="2"/>
      <c r="C221" s="2"/>
      <c r="D221" s="3"/>
      <c r="E221" s="3"/>
      <c r="F221" s="3"/>
      <c r="G221" s="3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2"/>
      <c r="Y221" s="2"/>
      <c r="Z221" s="2"/>
      <c r="AA221" s="2"/>
      <c r="AB221" s="2"/>
    </row>
    <row r="222" ht="12.75" customHeight="1">
      <c r="A222" s="2"/>
      <c r="B222" s="2"/>
      <c r="C222" s="2"/>
      <c r="D222" s="3"/>
      <c r="E222" s="3"/>
      <c r="F222" s="3"/>
      <c r="G222" s="3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2"/>
      <c r="Y222" s="2"/>
      <c r="Z222" s="2"/>
      <c r="AA222" s="2"/>
      <c r="AB222" s="2"/>
    </row>
    <row r="223" ht="12.75" customHeight="1">
      <c r="A223" s="2"/>
      <c r="B223" s="2"/>
      <c r="C223" s="2"/>
      <c r="D223" s="3"/>
      <c r="E223" s="3"/>
      <c r="F223" s="3"/>
      <c r="G223" s="3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2"/>
      <c r="Y223" s="2"/>
      <c r="Z223" s="2"/>
      <c r="AA223" s="2"/>
      <c r="AB223" s="2"/>
    </row>
    <row r="224" ht="12.75" customHeight="1">
      <c r="A224" s="2"/>
      <c r="B224" s="2"/>
      <c r="C224" s="2"/>
      <c r="D224" s="3"/>
      <c r="E224" s="3"/>
      <c r="F224" s="3"/>
      <c r="G224" s="3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2"/>
      <c r="Y224" s="2"/>
      <c r="Z224" s="2"/>
      <c r="AA224" s="2"/>
      <c r="AB224" s="2"/>
    </row>
    <row r="225" ht="12.75" customHeight="1">
      <c r="A225" s="2"/>
      <c r="B225" s="2"/>
      <c r="C225" s="2"/>
      <c r="D225" s="3"/>
      <c r="E225" s="3"/>
      <c r="F225" s="3"/>
      <c r="G225" s="3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2"/>
      <c r="Y225" s="2"/>
      <c r="Z225" s="2"/>
      <c r="AA225" s="2"/>
      <c r="AB225" s="2"/>
    </row>
    <row r="226" ht="12.75" customHeight="1">
      <c r="A226" s="2"/>
      <c r="B226" s="2"/>
      <c r="C226" s="2"/>
      <c r="D226" s="3"/>
      <c r="E226" s="3"/>
      <c r="F226" s="3"/>
      <c r="G226" s="3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2"/>
      <c r="Y226" s="2"/>
      <c r="Z226" s="2"/>
      <c r="AA226" s="2"/>
      <c r="AB226" s="2"/>
    </row>
    <row r="227" ht="12.75" customHeight="1">
      <c r="A227" s="2"/>
      <c r="B227" s="2"/>
      <c r="C227" s="2"/>
      <c r="D227" s="3"/>
      <c r="E227" s="3"/>
      <c r="F227" s="3"/>
      <c r="G227" s="3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2"/>
      <c r="Y227" s="2"/>
      <c r="Z227" s="2"/>
      <c r="AA227" s="2"/>
      <c r="AB227" s="2"/>
    </row>
    <row r="228" ht="12.75" customHeight="1">
      <c r="A228" s="2"/>
      <c r="B228" s="2"/>
      <c r="C228" s="2"/>
      <c r="D228" s="3"/>
      <c r="E228" s="3"/>
      <c r="F228" s="3"/>
      <c r="G228" s="3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2"/>
      <c r="Y228" s="2"/>
      <c r="Z228" s="2"/>
      <c r="AA228" s="2"/>
      <c r="AB228" s="2"/>
    </row>
    <row r="229" ht="12.75" customHeight="1">
      <c r="A229" s="2"/>
      <c r="B229" s="2"/>
      <c r="C229" s="2"/>
      <c r="D229" s="3"/>
      <c r="E229" s="3"/>
      <c r="F229" s="3"/>
      <c r="G229" s="3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2"/>
      <c r="Y229" s="2"/>
      <c r="Z229" s="2"/>
      <c r="AA229" s="2"/>
      <c r="AB229" s="2"/>
    </row>
    <row r="230" ht="12.75" customHeight="1">
      <c r="A230" s="2"/>
      <c r="B230" s="2"/>
      <c r="C230" s="2"/>
      <c r="D230" s="3"/>
      <c r="E230" s="3"/>
      <c r="F230" s="3"/>
      <c r="G230" s="3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2"/>
      <c r="Y230" s="2"/>
      <c r="Z230" s="2"/>
      <c r="AA230" s="2"/>
      <c r="AB230" s="2"/>
    </row>
    <row r="231" ht="12.75" customHeight="1">
      <c r="A231" s="2"/>
      <c r="B231" s="2"/>
      <c r="C231" s="2"/>
      <c r="D231" s="3"/>
      <c r="E231" s="3"/>
      <c r="F231" s="3"/>
      <c r="G231" s="3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2"/>
      <c r="Y231" s="2"/>
      <c r="Z231" s="2"/>
      <c r="AA231" s="2"/>
      <c r="AB231" s="2"/>
    </row>
    <row r="232" ht="12.75" customHeight="1">
      <c r="A232" s="2"/>
      <c r="B232" s="2"/>
      <c r="C232" s="2"/>
      <c r="D232" s="3"/>
      <c r="E232" s="3"/>
      <c r="F232" s="3"/>
      <c r="G232" s="3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2"/>
      <c r="Y232" s="2"/>
      <c r="Z232" s="2"/>
      <c r="AA232" s="2"/>
      <c r="AB232" s="2"/>
    </row>
    <row r="233" ht="12.75" customHeight="1">
      <c r="A233" s="2"/>
      <c r="B233" s="2"/>
      <c r="C233" s="2"/>
      <c r="D233" s="3"/>
      <c r="E233" s="3"/>
      <c r="F233" s="3"/>
      <c r="G233" s="3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2"/>
      <c r="Y233" s="2"/>
      <c r="Z233" s="2"/>
      <c r="AA233" s="2"/>
      <c r="AB233" s="2"/>
    </row>
    <row r="234" ht="12.75" customHeight="1">
      <c r="A234" s="2"/>
      <c r="B234" s="2"/>
      <c r="C234" s="2"/>
      <c r="D234" s="3"/>
      <c r="E234" s="3"/>
      <c r="F234" s="3"/>
      <c r="G234" s="3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2"/>
      <c r="Y234" s="2"/>
      <c r="Z234" s="2"/>
      <c r="AA234" s="2"/>
      <c r="AB234" s="2"/>
    </row>
    <row r="235" ht="12.75" customHeight="1">
      <c r="A235" s="2"/>
      <c r="B235" s="2"/>
      <c r="C235" s="2"/>
      <c r="D235" s="3"/>
      <c r="E235" s="3"/>
      <c r="F235" s="3"/>
      <c r="G235" s="3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2"/>
      <c r="Y235" s="2"/>
      <c r="Z235" s="2"/>
      <c r="AA235" s="2"/>
      <c r="AB235" s="2"/>
    </row>
    <row r="236" ht="12.75" customHeight="1">
      <c r="A236" s="2"/>
      <c r="B236" s="2"/>
      <c r="C236" s="2"/>
      <c r="D236" s="3"/>
      <c r="E236" s="3"/>
      <c r="F236" s="3"/>
      <c r="G236" s="3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2"/>
      <c r="Y236" s="2"/>
      <c r="Z236" s="2"/>
      <c r="AA236" s="2"/>
      <c r="AB236" s="2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</row>
  </sheetData>
  <printOptions/>
  <pageMargins bottom="0.75" footer="0.0" header="0.0" left="0.7" right="0.7" top="0.75"/>
  <pageSetup paperSize="9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6.0"/>
    <col customWidth="1" min="3" max="3" width="32.71"/>
    <col customWidth="1" min="4" max="4" width="10.86"/>
    <col customWidth="1" min="5" max="5" width="8.29"/>
    <col customWidth="1" min="6" max="6" width="4.43"/>
    <col customWidth="1" min="7" max="7" width="8.71"/>
    <col customWidth="1" min="8" max="8" width="3.43"/>
    <col customWidth="1" min="9" max="9" width="8.0"/>
    <col customWidth="1" min="10" max="20" width="7.86"/>
    <col customWidth="1" min="21" max="21" width="8.71"/>
    <col customWidth="1" min="22" max="22" width="9.57"/>
    <col customWidth="1" min="23" max="23" width="10.0"/>
    <col customWidth="1" min="24" max="28" width="9.0"/>
  </cols>
  <sheetData>
    <row r="1" ht="12.75" customHeight="1">
      <c r="A1" s="1" t="s">
        <v>0</v>
      </c>
      <c r="B1" s="2"/>
      <c r="C1" s="2"/>
      <c r="D1" s="3"/>
      <c r="E1" s="3"/>
      <c r="F1" s="3"/>
      <c r="G1" s="3"/>
      <c r="H1" s="4"/>
      <c r="I1" s="1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2"/>
      <c r="Y1" s="2"/>
      <c r="Z1" s="6"/>
      <c r="AA1" s="2"/>
      <c r="AB1" s="6"/>
    </row>
    <row r="2" ht="12.75" customHeight="1">
      <c r="A2" s="1"/>
      <c r="B2" s="2"/>
      <c r="C2" s="2"/>
      <c r="D2" s="3"/>
      <c r="E2" s="3"/>
      <c r="F2" s="3"/>
      <c r="G2" s="3"/>
      <c r="H2" s="4"/>
      <c r="I2" s="1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2"/>
      <c r="Y2" s="2"/>
      <c r="Z2" s="6"/>
      <c r="AA2" s="2"/>
      <c r="AB2" s="6"/>
    </row>
    <row r="3" ht="12.75" customHeight="1">
      <c r="A3" s="7" t="s">
        <v>53</v>
      </c>
      <c r="B3" s="2"/>
      <c r="C3" s="2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2"/>
      <c r="Y3" s="2"/>
      <c r="Z3" s="6"/>
      <c r="AA3" s="2"/>
      <c r="AB3" s="6"/>
    </row>
    <row r="4" ht="12.75" customHeight="1">
      <c r="A4" s="29" t="s">
        <v>2</v>
      </c>
      <c r="B4" s="29" t="s">
        <v>3</v>
      </c>
      <c r="C4" s="29" t="s">
        <v>4</v>
      </c>
      <c r="D4" s="30" t="s">
        <v>5</v>
      </c>
      <c r="E4" s="30" t="s">
        <v>6</v>
      </c>
      <c r="F4" s="30" t="s">
        <v>20</v>
      </c>
      <c r="G4" s="30" t="s">
        <v>8</v>
      </c>
      <c r="H4" s="31" t="s">
        <v>9</v>
      </c>
      <c r="I4" s="11">
        <v>45016.0</v>
      </c>
      <c r="J4" s="11">
        <v>45046.0</v>
      </c>
      <c r="K4" s="11">
        <v>45077.0</v>
      </c>
      <c r="L4" s="11">
        <v>45107.0</v>
      </c>
      <c r="M4" s="11">
        <v>45138.0</v>
      </c>
      <c r="N4" s="11">
        <v>45169.0</v>
      </c>
      <c r="O4" s="11">
        <v>45199.0</v>
      </c>
      <c r="P4" s="11">
        <v>45230.0</v>
      </c>
      <c r="Q4" s="11">
        <v>45260.0</v>
      </c>
      <c r="R4" s="11">
        <v>45291.0</v>
      </c>
      <c r="S4" s="11">
        <v>45322.0</v>
      </c>
      <c r="T4" s="11">
        <v>45351.0</v>
      </c>
      <c r="U4" s="26" t="s">
        <v>10</v>
      </c>
      <c r="V4" s="11" t="s">
        <v>11</v>
      </c>
      <c r="W4" s="11" t="s">
        <v>49</v>
      </c>
      <c r="X4" s="2"/>
      <c r="Y4" s="2"/>
      <c r="Z4" s="6"/>
      <c r="AA4" s="2"/>
      <c r="AB4" s="6"/>
    </row>
    <row r="5" ht="12.75" customHeight="1">
      <c r="A5" s="12"/>
      <c r="B5" s="12"/>
      <c r="C5" s="2"/>
      <c r="D5" s="3"/>
      <c r="E5" s="3"/>
      <c r="F5" s="3"/>
      <c r="G5" s="3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2"/>
      <c r="Y5" s="2"/>
      <c r="Z5" s="6"/>
      <c r="AA5" s="2"/>
      <c r="AB5" s="6"/>
    </row>
    <row r="6" ht="12.75" customHeight="1">
      <c r="A6" s="13" t="s">
        <v>13</v>
      </c>
      <c r="B6" s="2"/>
      <c r="C6" s="2"/>
      <c r="D6" s="3"/>
      <c r="E6" s="14"/>
      <c r="F6" s="3"/>
      <c r="G6" s="3"/>
      <c r="H6" s="4"/>
      <c r="I6" s="13" t="str">
        <f>+A6</f>
        <v>6100&gt;020 (Computer Equipment&gt;Cost)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"/>
      <c r="Y6" s="2"/>
      <c r="Z6" s="6"/>
      <c r="AA6" s="2"/>
      <c r="AB6" s="6"/>
    </row>
    <row r="7" ht="12.75" customHeight="1">
      <c r="A7" s="8"/>
      <c r="B7" s="2"/>
      <c r="C7" s="2"/>
      <c r="D7" s="3"/>
      <c r="E7" s="14"/>
      <c r="F7" s="3"/>
      <c r="G7" s="3"/>
      <c r="H7" s="4">
        <v>3.0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2"/>
      <c r="Y7" s="2"/>
      <c r="Z7" s="6"/>
      <c r="AA7" s="2"/>
      <c r="AB7" s="6"/>
    </row>
    <row r="8" ht="12.75" customHeight="1">
      <c r="A8" s="15">
        <v>42825.0</v>
      </c>
      <c r="B8" s="16">
        <v>18431.0</v>
      </c>
      <c r="C8" s="7" t="s">
        <v>14</v>
      </c>
      <c r="D8" s="17">
        <f>'FAR21'!G8</f>
        <v>16077.6</v>
      </c>
      <c r="E8" s="17"/>
      <c r="F8" s="3"/>
      <c r="G8" s="3">
        <f t="shared" ref="G8:G12" si="1">+D8+E8-F8</f>
        <v>16077.6</v>
      </c>
      <c r="H8" s="4"/>
      <c r="I8" s="28">
        <v>0.0</v>
      </c>
      <c r="J8" s="28">
        <v>0.0</v>
      </c>
      <c r="K8" s="28">
        <v>0.0</v>
      </c>
      <c r="L8" s="28">
        <v>0.0</v>
      </c>
      <c r="M8" s="28">
        <v>0.0</v>
      </c>
      <c r="N8" s="28">
        <v>0.0</v>
      </c>
      <c r="O8" s="28">
        <v>0.0</v>
      </c>
      <c r="P8" s="28">
        <v>0.0</v>
      </c>
      <c r="Q8" s="28">
        <v>0.0</v>
      </c>
      <c r="R8" s="28">
        <v>0.0</v>
      </c>
      <c r="S8" s="28">
        <v>0.0</v>
      </c>
      <c r="T8" s="28">
        <v>0.0</v>
      </c>
      <c r="U8" s="28">
        <f t="shared" ref="U8:U14" si="2">SUM(I8:T8)</f>
        <v>0</v>
      </c>
      <c r="V8" s="3">
        <f>'FAR21'!V8+U8</f>
        <v>16077.6</v>
      </c>
      <c r="W8" s="3">
        <f t="shared" ref="W8:W14" si="3">+G8-V8</f>
        <v>0</v>
      </c>
      <c r="X8" s="2"/>
      <c r="Y8" s="2"/>
      <c r="Z8" s="6"/>
      <c r="AA8" s="2"/>
      <c r="AB8" s="6"/>
    </row>
    <row r="9" ht="12.75" customHeight="1">
      <c r="A9" s="15">
        <v>42825.0</v>
      </c>
      <c r="B9" s="16">
        <v>18431.0</v>
      </c>
      <c r="C9" s="7" t="s">
        <v>15</v>
      </c>
      <c r="D9" s="17">
        <f>'FAR21'!G9</f>
        <v>10078.8</v>
      </c>
      <c r="E9" s="17"/>
      <c r="F9" s="3"/>
      <c r="G9" s="3">
        <f t="shared" si="1"/>
        <v>10078.8</v>
      </c>
      <c r="H9" s="4"/>
      <c r="I9" s="28">
        <v>0.0</v>
      </c>
      <c r="J9" s="28">
        <v>0.0</v>
      </c>
      <c r="K9" s="28">
        <v>0.0</v>
      </c>
      <c r="L9" s="28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  <c r="S9" s="28">
        <v>0.0</v>
      </c>
      <c r="T9" s="28">
        <v>0.0</v>
      </c>
      <c r="U9" s="28">
        <f t="shared" si="2"/>
        <v>0</v>
      </c>
      <c r="V9" s="3">
        <f>'FAR21'!V9+U9</f>
        <v>10078.8</v>
      </c>
      <c r="W9" s="3">
        <f t="shared" si="3"/>
        <v>0</v>
      </c>
      <c r="X9" s="2"/>
      <c r="Y9" s="2"/>
      <c r="Z9" s="6"/>
      <c r="AA9" s="2"/>
      <c r="AB9" s="6"/>
    </row>
    <row r="10" ht="12.75" customHeight="1">
      <c r="A10" s="15">
        <v>43046.0</v>
      </c>
      <c r="B10" s="16" t="s">
        <v>16</v>
      </c>
      <c r="C10" s="7" t="s">
        <v>17</v>
      </c>
      <c r="D10" s="17">
        <f>'FAR21'!G10</f>
        <v>52651</v>
      </c>
      <c r="E10" s="17"/>
      <c r="F10" s="3"/>
      <c r="G10" s="3">
        <f t="shared" si="1"/>
        <v>52651</v>
      </c>
      <c r="H10" s="4"/>
      <c r="I10" s="28">
        <v>0.0</v>
      </c>
      <c r="J10" s="28">
        <v>0.0</v>
      </c>
      <c r="K10" s="28">
        <v>0.0</v>
      </c>
      <c r="L10" s="28">
        <v>0.0</v>
      </c>
      <c r="M10" s="28">
        <v>0.0</v>
      </c>
      <c r="N10" s="28">
        <v>0.0</v>
      </c>
      <c r="O10" s="28">
        <v>0.0</v>
      </c>
      <c r="P10" s="28">
        <v>0.0</v>
      </c>
      <c r="Q10" s="28">
        <v>0.0</v>
      </c>
      <c r="R10" s="28">
        <v>0.0</v>
      </c>
      <c r="S10" s="28">
        <v>0.0</v>
      </c>
      <c r="T10" s="28">
        <v>0.0</v>
      </c>
      <c r="U10" s="28">
        <f t="shared" si="2"/>
        <v>0</v>
      </c>
      <c r="V10" s="3">
        <f>'FAR21'!V10+U10</f>
        <v>52651.00364</v>
      </c>
      <c r="W10" s="3">
        <f t="shared" si="3"/>
        <v>-0.003637747337</v>
      </c>
      <c r="X10" s="2"/>
      <c r="Y10" s="2"/>
      <c r="Z10" s="6"/>
      <c r="AA10" s="2"/>
      <c r="AB10" s="6"/>
    </row>
    <row r="11" ht="12.75" customHeight="1">
      <c r="A11" s="15">
        <v>43160.0</v>
      </c>
      <c r="B11" s="16">
        <v>21643.0</v>
      </c>
      <c r="C11" s="7" t="s">
        <v>30</v>
      </c>
      <c r="D11" s="17">
        <f>'FAR21'!G11</f>
        <v>92322.7</v>
      </c>
      <c r="E11" s="17"/>
      <c r="F11" s="3"/>
      <c r="G11" s="3">
        <f t="shared" si="1"/>
        <v>92322.7</v>
      </c>
      <c r="H11" s="4"/>
      <c r="I11" s="28">
        <v>0.0</v>
      </c>
      <c r="J11" s="28">
        <v>0.0</v>
      </c>
      <c r="K11" s="28">
        <v>0.0</v>
      </c>
      <c r="L11" s="28">
        <v>0.0</v>
      </c>
      <c r="M11" s="28">
        <v>0.0</v>
      </c>
      <c r="N11" s="28">
        <v>0.0</v>
      </c>
      <c r="O11" s="28">
        <v>0.0</v>
      </c>
      <c r="P11" s="28">
        <v>0.0</v>
      </c>
      <c r="Q11" s="28">
        <v>0.0</v>
      </c>
      <c r="R11" s="28">
        <v>0.0</v>
      </c>
      <c r="S11" s="28">
        <v>0.0</v>
      </c>
      <c r="T11" s="28">
        <v>0.0</v>
      </c>
      <c r="U11" s="28">
        <f t="shared" si="2"/>
        <v>0</v>
      </c>
      <c r="V11" s="3">
        <f>'FAR21'!V11+U11</f>
        <v>92322.7</v>
      </c>
      <c r="W11" s="3">
        <f t="shared" si="3"/>
        <v>0</v>
      </c>
      <c r="X11" s="2"/>
      <c r="Y11" s="2"/>
      <c r="Z11" s="6"/>
      <c r="AA11" s="2"/>
      <c r="AB11" s="6"/>
    </row>
    <row r="12" ht="12.75" customHeight="1">
      <c r="A12" s="15">
        <v>44144.0</v>
      </c>
      <c r="B12" s="16" t="s">
        <v>45</v>
      </c>
      <c r="C12" s="7" t="s">
        <v>46</v>
      </c>
      <c r="D12" s="17">
        <f>'FAR21'!G12</f>
        <v>92565.27</v>
      </c>
      <c r="E12" s="17"/>
      <c r="F12" s="3"/>
      <c r="G12" s="3">
        <f t="shared" si="1"/>
        <v>92565.27</v>
      </c>
      <c r="H12" s="4"/>
      <c r="I12" s="3">
        <f t="shared" ref="I12:T12" si="4">+$G12/$H$7/12</f>
        <v>2571.2575</v>
      </c>
      <c r="J12" s="3">
        <f t="shared" si="4"/>
        <v>2571.2575</v>
      </c>
      <c r="K12" s="3">
        <f t="shared" si="4"/>
        <v>2571.2575</v>
      </c>
      <c r="L12" s="3">
        <f t="shared" si="4"/>
        <v>2571.2575</v>
      </c>
      <c r="M12" s="3">
        <f t="shared" si="4"/>
        <v>2571.2575</v>
      </c>
      <c r="N12" s="3">
        <f t="shared" si="4"/>
        <v>2571.2575</v>
      </c>
      <c r="O12" s="3">
        <f t="shared" si="4"/>
        <v>2571.2575</v>
      </c>
      <c r="P12" s="3">
        <f t="shared" si="4"/>
        <v>2571.2575</v>
      </c>
      <c r="Q12" s="3">
        <f t="shared" si="4"/>
        <v>2571.2575</v>
      </c>
      <c r="R12" s="3">
        <f t="shared" si="4"/>
        <v>2571.2575</v>
      </c>
      <c r="S12" s="3">
        <f t="shared" si="4"/>
        <v>2571.2575</v>
      </c>
      <c r="T12" s="3">
        <f t="shared" si="4"/>
        <v>2571.2575</v>
      </c>
      <c r="U12" s="28">
        <f t="shared" si="2"/>
        <v>30855.09</v>
      </c>
      <c r="V12" s="3">
        <f>'FAR23'!V12+U12</f>
        <v>92565.27</v>
      </c>
      <c r="W12" s="3">
        <f t="shared" si="3"/>
        <v>0</v>
      </c>
      <c r="X12" s="2"/>
      <c r="Y12" s="2"/>
      <c r="Z12" s="6"/>
      <c r="AA12" s="2"/>
      <c r="AB12" s="6"/>
    </row>
    <row r="13" ht="12.75" customHeight="1">
      <c r="A13" s="15">
        <v>45020.0</v>
      </c>
      <c r="B13" s="16" t="s">
        <v>54</v>
      </c>
      <c r="C13" s="33" t="s">
        <v>55</v>
      </c>
      <c r="D13" s="17"/>
      <c r="E13" s="34">
        <v>12460.87</v>
      </c>
      <c r="F13" s="3"/>
      <c r="G13" s="3">
        <f t="shared" ref="G13:G14" si="6">E13</f>
        <v>12460.87</v>
      </c>
      <c r="H13" s="4"/>
      <c r="I13" s="3">
        <v>0.0</v>
      </c>
      <c r="J13" s="3">
        <f>+$G13/$H$7/365*(30-4)</f>
        <v>295.8745388</v>
      </c>
      <c r="K13" s="3">
        <f t="shared" ref="K13:T13" si="5">+$G13/$H$7/12</f>
        <v>346.1352778</v>
      </c>
      <c r="L13" s="3">
        <f t="shared" si="5"/>
        <v>346.1352778</v>
      </c>
      <c r="M13" s="3">
        <f t="shared" si="5"/>
        <v>346.1352778</v>
      </c>
      <c r="N13" s="3">
        <f t="shared" si="5"/>
        <v>346.1352778</v>
      </c>
      <c r="O13" s="3">
        <f t="shared" si="5"/>
        <v>346.1352778</v>
      </c>
      <c r="P13" s="3">
        <f t="shared" si="5"/>
        <v>346.1352778</v>
      </c>
      <c r="Q13" s="3">
        <f t="shared" si="5"/>
        <v>346.1352778</v>
      </c>
      <c r="R13" s="3">
        <f t="shared" si="5"/>
        <v>346.1352778</v>
      </c>
      <c r="S13" s="3">
        <f t="shared" si="5"/>
        <v>346.1352778</v>
      </c>
      <c r="T13" s="3">
        <f t="shared" si="5"/>
        <v>346.1352778</v>
      </c>
      <c r="U13" s="28">
        <f t="shared" si="2"/>
        <v>3757.227317</v>
      </c>
      <c r="V13" s="3">
        <f t="shared" ref="V13:V14" si="8">U13</f>
        <v>3757.227317</v>
      </c>
      <c r="W13" s="3">
        <f t="shared" si="3"/>
        <v>8703.642683</v>
      </c>
      <c r="X13" s="2"/>
      <c r="Y13" s="2"/>
      <c r="Z13" s="6"/>
      <c r="AA13" s="2"/>
      <c r="AB13" s="6"/>
    </row>
    <row r="14" ht="12.75" customHeight="1">
      <c r="A14" s="15">
        <v>45188.0</v>
      </c>
      <c r="B14" s="16" t="s">
        <v>56</v>
      </c>
      <c r="C14" s="33" t="s">
        <v>57</v>
      </c>
      <c r="D14" s="17"/>
      <c r="E14" s="34">
        <v>7307.41</v>
      </c>
      <c r="F14" s="3"/>
      <c r="G14" s="3">
        <f t="shared" si="6"/>
        <v>7307.41</v>
      </c>
      <c r="H14" s="4"/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f>+$G14/$H$7/365*(30-19)</f>
        <v>73.40777169</v>
      </c>
      <c r="P14" s="3">
        <f t="shared" ref="P14:T14" si="7">+$G14/$H$7/12</f>
        <v>202.9836111</v>
      </c>
      <c r="Q14" s="3">
        <f t="shared" si="7"/>
        <v>202.9836111</v>
      </c>
      <c r="R14" s="3">
        <f t="shared" si="7"/>
        <v>202.9836111</v>
      </c>
      <c r="S14" s="3">
        <f t="shared" si="7"/>
        <v>202.9836111</v>
      </c>
      <c r="T14" s="3">
        <f t="shared" si="7"/>
        <v>202.9836111</v>
      </c>
      <c r="U14" s="28">
        <f t="shared" si="2"/>
        <v>1088.325827</v>
      </c>
      <c r="V14" s="3">
        <f t="shared" si="8"/>
        <v>1088.325827</v>
      </c>
      <c r="W14" s="3">
        <f t="shared" si="3"/>
        <v>6219.084173</v>
      </c>
      <c r="X14" s="2"/>
      <c r="Y14" s="2"/>
      <c r="Z14" s="6"/>
      <c r="AA14" s="2"/>
      <c r="AB14" s="6"/>
    </row>
    <row r="15" ht="12.75" customHeight="1">
      <c r="A15" s="19"/>
      <c r="B15" s="32"/>
      <c r="C15" s="13"/>
      <c r="D15" s="17"/>
      <c r="E15" s="17"/>
      <c r="F15" s="3"/>
      <c r="G15" s="3"/>
      <c r="H15" s="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28"/>
      <c r="V15" s="3"/>
      <c r="W15" s="3"/>
      <c r="X15" s="2"/>
      <c r="Y15" s="2"/>
      <c r="Z15" s="6"/>
      <c r="AA15" s="2"/>
      <c r="AB15" s="6"/>
    </row>
    <row r="16" ht="12.75" customHeight="1">
      <c r="A16" s="19" t="s">
        <v>50</v>
      </c>
      <c r="B16" s="18"/>
      <c r="C16" s="7"/>
      <c r="D16" s="3"/>
      <c r="E16" s="17"/>
      <c r="F16" s="3"/>
      <c r="G16" s="3"/>
      <c r="H16" s="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2"/>
      <c r="Z16" s="6"/>
      <c r="AA16" s="2"/>
      <c r="AB16" s="2"/>
    </row>
    <row r="17" ht="12.75" customHeight="1">
      <c r="A17" s="19"/>
      <c r="B17" s="20"/>
      <c r="C17" s="13"/>
      <c r="D17" s="21">
        <f t="shared" ref="D17:E17" si="9">SUM(D6:D16)</f>
        <v>263695.37</v>
      </c>
      <c r="E17" s="21">
        <f t="shared" si="9"/>
        <v>19768.28</v>
      </c>
      <c r="F17" s="22"/>
      <c r="G17" s="22">
        <f>SUM(G8:G16)</f>
        <v>283463.65</v>
      </c>
      <c r="H17" s="4"/>
      <c r="I17" s="22">
        <f t="shared" ref="I17:W17" si="10">SUM(I8:I16)</f>
        <v>2571.2575</v>
      </c>
      <c r="J17" s="22">
        <f t="shared" si="10"/>
        <v>2867.132039</v>
      </c>
      <c r="K17" s="22">
        <f t="shared" si="10"/>
        <v>2917.392778</v>
      </c>
      <c r="L17" s="22">
        <f t="shared" si="10"/>
        <v>2917.392778</v>
      </c>
      <c r="M17" s="22">
        <f t="shared" si="10"/>
        <v>2917.392778</v>
      </c>
      <c r="N17" s="22">
        <f t="shared" si="10"/>
        <v>2917.392778</v>
      </c>
      <c r="O17" s="22">
        <f t="shared" si="10"/>
        <v>2990.800549</v>
      </c>
      <c r="P17" s="22">
        <f t="shared" si="10"/>
        <v>3120.376389</v>
      </c>
      <c r="Q17" s="22">
        <f t="shared" si="10"/>
        <v>3120.376389</v>
      </c>
      <c r="R17" s="22">
        <f t="shared" si="10"/>
        <v>3120.376389</v>
      </c>
      <c r="S17" s="22">
        <f t="shared" si="10"/>
        <v>3120.376389</v>
      </c>
      <c r="T17" s="22">
        <f t="shared" si="10"/>
        <v>3120.376389</v>
      </c>
      <c r="U17" s="22">
        <f t="shared" si="10"/>
        <v>35700.64314</v>
      </c>
      <c r="V17" s="22">
        <f t="shared" si="10"/>
        <v>268540.9268</v>
      </c>
      <c r="W17" s="22">
        <f t="shared" si="10"/>
        <v>14922.72322</v>
      </c>
      <c r="X17" s="2"/>
      <c r="Y17" s="2"/>
      <c r="Z17" s="6"/>
      <c r="AA17" s="23"/>
      <c r="AB17" s="23"/>
    </row>
    <row r="18" ht="12.75" customHeight="1">
      <c r="A18" s="15"/>
      <c r="B18" s="18"/>
      <c r="C18" s="7"/>
      <c r="D18" s="3"/>
      <c r="E18" s="17"/>
      <c r="F18" s="3"/>
      <c r="G18" s="3"/>
      <c r="H18" s="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2"/>
      <c r="Y18" s="2"/>
      <c r="Z18" s="6"/>
      <c r="AA18" s="2"/>
      <c r="AB18" s="2"/>
    </row>
    <row r="19" ht="12.75" customHeight="1">
      <c r="A19" s="8" t="s">
        <v>2</v>
      </c>
      <c r="B19" s="8" t="s">
        <v>3</v>
      </c>
      <c r="C19" s="8" t="s">
        <v>4</v>
      </c>
      <c r="D19" s="9" t="s">
        <v>18</v>
      </c>
      <c r="E19" s="9" t="s">
        <v>6</v>
      </c>
      <c r="F19" s="9" t="s">
        <v>20</v>
      </c>
      <c r="G19" s="9" t="s">
        <v>8</v>
      </c>
      <c r="H19" s="10" t="s">
        <v>9</v>
      </c>
      <c r="I19" s="11">
        <v>45016.0</v>
      </c>
      <c r="J19" s="11">
        <v>45046.0</v>
      </c>
      <c r="K19" s="11">
        <v>45077.0</v>
      </c>
      <c r="L19" s="11">
        <v>45107.0</v>
      </c>
      <c r="M19" s="11">
        <v>45138.0</v>
      </c>
      <c r="N19" s="11">
        <v>45169.0</v>
      </c>
      <c r="O19" s="11">
        <v>45199.0</v>
      </c>
      <c r="P19" s="11">
        <v>45230.0</v>
      </c>
      <c r="Q19" s="11">
        <v>45260.0</v>
      </c>
      <c r="R19" s="11">
        <v>45291.0</v>
      </c>
      <c r="S19" s="11">
        <v>45322.0</v>
      </c>
      <c r="T19" s="11">
        <v>45351.0</v>
      </c>
      <c r="U19" s="11" t="s">
        <v>10</v>
      </c>
      <c r="V19" s="11" t="s">
        <v>11</v>
      </c>
      <c r="W19" s="11" t="s">
        <v>49</v>
      </c>
      <c r="X19" s="2"/>
      <c r="Y19" s="2"/>
      <c r="Z19" s="6"/>
      <c r="AA19" s="2"/>
      <c r="AB19" s="6"/>
    </row>
    <row r="20" ht="12.75" customHeight="1">
      <c r="A20" s="13" t="s">
        <v>21</v>
      </c>
      <c r="B20" s="2"/>
      <c r="C20" s="2"/>
      <c r="D20" s="14"/>
      <c r="E20" s="3"/>
      <c r="F20" s="3"/>
      <c r="G20" s="3"/>
      <c r="H20" s="4" t="s">
        <v>22</v>
      </c>
      <c r="I20" s="13" t="str">
        <f>+A20</f>
        <v>6200&gt;020 (Furniture &amp; Fittings&gt;Cost)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2"/>
      <c r="Y20" s="2"/>
      <c r="Z20" s="2"/>
      <c r="AA20" s="2"/>
      <c r="AB20" s="2"/>
    </row>
    <row r="21" ht="12.75" customHeight="1">
      <c r="A21" s="8"/>
      <c r="B21" s="2"/>
      <c r="C21" s="2"/>
      <c r="D21" s="14"/>
      <c r="E21" s="3"/>
      <c r="F21" s="3"/>
      <c r="G21" s="3"/>
      <c r="H21" s="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/>
      <c r="Y21" s="2"/>
      <c r="Z21" s="2"/>
      <c r="AA21" s="2"/>
      <c r="AB21" s="2"/>
    </row>
    <row r="22" ht="12.75" customHeight="1">
      <c r="A22" s="15">
        <v>42836.0</v>
      </c>
      <c r="B22" s="16">
        <v>30110.0</v>
      </c>
      <c r="C22" s="7" t="s">
        <v>23</v>
      </c>
      <c r="D22" s="17">
        <f>'FAR21'!G19</f>
        <v>52250</v>
      </c>
      <c r="E22" s="3"/>
      <c r="F22" s="3"/>
      <c r="G22" s="3">
        <f t="shared" ref="G22:G27" si="11">+D22+E22-F22</f>
        <v>52250</v>
      </c>
      <c r="H22" s="4"/>
      <c r="I22" s="3">
        <f t="shared" ref="I22:I28" si="12">+$G22/$H$20/12</f>
        <v>725.6944444</v>
      </c>
      <c r="J22" s="3">
        <v>272.38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f t="shared" ref="U22:U28" si="14">SUM(I22:T22)</f>
        <v>998.0744444</v>
      </c>
      <c r="V22" s="3">
        <f>'FAR23'!V19+U22</f>
        <v>52249.99606</v>
      </c>
      <c r="W22" s="3">
        <f t="shared" ref="W22:W27" si="15">+G22-V22</f>
        <v>0.003942161333</v>
      </c>
      <c r="X22" s="2"/>
      <c r="Y22" s="2"/>
      <c r="Z22" s="2"/>
      <c r="AA22" s="2"/>
      <c r="AB22" s="2"/>
    </row>
    <row r="23" ht="12.75" customHeight="1">
      <c r="A23" s="15">
        <v>43165.0</v>
      </c>
      <c r="B23" s="16" t="s">
        <v>31</v>
      </c>
      <c r="C23" s="7" t="s">
        <v>32</v>
      </c>
      <c r="D23" s="17">
        <f>'FAR21'!G20</f>
        <v>44144</v>
      </c>
      <c r="E23" s="3"/>
      <c r="F23" s="3"/>
      <c r="G23" s="3">
        <f t="shared" si="11"/>
        <v>44144</v>
      </c>
      <c r="H23" s="4"/>
      <c r="I23" s="3">
        <f t="shared" si="12"/>
        <v>613.1111111</v>
      </c>
      <c r="J23" s="3">
        <f t="shared" ref="J23:T23" si="13">+$G23/$H$20/12</f>
        <v>613.1111111</v>
      </c>
      <c r="K23" s="3">
        <f t="shared" si="13"/>
        <v>613.1111111</v>
      </c>
      <c r="L23" s="3">
        <f t="shared" si="13"/>
        <v>613.1111111</v>
      </c>
      <c r="M23" s="3">
        <f t="shared" si="13"/>
        <v>613.1111111</v>
      </c>
      <c r="N23" s="3">
        <f t="shared" si="13"/>
        <v>613.1111111</v>
      </c>
      <c r="O23" s="3">
        <f t="shared" si="13"/>
        <v>613.1111111</v>
      </c>
      <c r="P23" s="3">
        <f t="shared" si="13"/>
        <v>613.1111111</v>
      </c>
      <c r="Q23" s="3">
        <f t="shared" si="13"/>
        <v>613.1111111</v>
      </c>
      <c r="R23" s="3">
        <f t="shared" si="13"/>
        <v>613.1111111</v>
      </c>
      <c r="S23" s="3">
        <f t="shared" si="13"/>
        <v>613.1111111</v>
      </c>
      <c r="T23" s="3">
        <f t="shared" si="13"/>
        <v>613.1111111</v>
      </c>
      <c r="U23" s="3">
        <f t="shared" si="14"/>
        <v>7357.333333</v>
      </c>
      <c r="V23" s="3">
        <f>'FAR23'!V20+U23</f>
        <v>44034.81583</v>
      </c>
      <c r="W23" s="3">
        <f t="shared" si="15"/>
        <v>109.1841705</v>
      </c>
      <c r="X23" s="2"/>
      <c r="Y23" s="2"/>
      <c r="Z23" s="2"/>
      <c r="AA23" s="2"/>
      <c r="AB23" s="2"/>
    </row>
    <row r="24" ht="12.75" customHeight="1">
      <c r="A24" s="15">
        <v>43179.0</v>
      </c>
      <c r="B24" s="16">
        <v>32006.0</v>
      </c>
      <c r="C24" s="7" t="s">
        <v>33</v>
      </c>
      <c r="D24" s="17">
        <f>'FAR21'!G21</f>
        <v>19430</v>
      </c>
      <c r="E24" s="3"/>
      <c r="F24" s="3"/>
      <c r="G24" s="3">
        <f t="shared" si="11"/>
        <v>19430</v>
      </c>
      <c r="H24" s="4"/>
      <c r="I24" s="3">
        <f t="shared" si="12"/>
        <v>269.8611111</v>
      </c>
      <c r="J24" s="3">
        <f t="shared" ref="J24:T24" si="16">+$G24/$H$20/12</f>
        <v>269.8611111</v>
      </c>
      <c r="K24" s="3">
        <f t="shared" si="16"/>
        <v>269.8611111</v>
      </c>
      <c r="L24" s="3">
        <f t="shared" si="16"/>
        <v>269.8611111</v>
      </c>
      <c r="M24" s="3">
        <f t="shared" si="16"/>
        <v>269.8611111</v>
      </c>
      <c r="N24" s="3">
        <f t="shared" si="16"/>
        <v>269.8611111</v>
      </c>
      <c r="O24" s="3">
        <f t="shared" si="16"/>
        <v>269.8611111</v>
      </c>
      <c r="P24" s="3">
        <f t="shared" si="16"/>
        <v>269.8611111</v>
      </c>
      <c r="Q24" s="3">
        <f t="shared" si="16"/>
        <v>269.8611111</v>
      </c>
      <c r="R24" s="3">
        <f t="shared" si="16"/>
        <v>269.8611111</v>
      </c>
      <c r="S24" s="3">
        <f t="shared" si="16"/>
        <v>269.8611111</v>
      </c>
      <c r="T24" s="3">
        <f t="shared" si="16"/>
        <v>269.8611111</v>
      </c>
      <c r="U24" s="3">
        <f t="shared" si="14"/>
        <v>3238.333333</v>
      </c>
      <c r="V24" s="3">
        <f>'FAR23'!V21+U24</f>
        <v>19257.7325</v>
      </c>
      <c r="W24" s="3">
        <f t="shared" si="15"/>
        <v>172.2675038</v>
      </c>
      <c r="X24" s="2"/>
      <c r="Y24" s="2"/>
      <c r="Z24" s="2"/>
      <c r="AA24" s="2"/>
      <c r="AB24" s="2"/>
    </row>
    <row r="25" ht="12.75" customHeight="1">
      <c r="A25" s="15">
        <v>43578.0</v>
      </c>
      <c r="B25" s="16" t="s">
        <v>36</v>
      </c>
      <c r="C25" s="7" t="s">
        <v>37</v>
      </c>
      <c r="D25" s="17">
        <f>'FAR21'!G22</f>
        <v>26544</v>
      </c>
      <c r="E25" s="3"/>
      <c r="F25" s="3"/>
      <c r="G25" s="3">
        <f t="shared" si="11"/>
        <v>26544</v>
      </c>
      <c r="H25" s="4"/>
      <c r="I25" s="3">
        <f t="shared" si="12"/>
        <v>368.6666667</v>
      </c>
      <c r="J25" s="3">
        <f t="shared" ref="J25:T25" si="17">+$G25/$H$20/12</f>
        <v>368.6666667</v>
      </c>
      <c r="K25" s="3">
        <f t="shared" si="17"/>
        <v>368.6666667</v>
      </c>
      <c r="L25" s="3">
        <f t="shared" si="17"/>
        <v>368.6666667</v>
      </c>
      <c r="M25" s="3">
        <f t="shared" si="17"/>
        <v>368.6666667</v>
      </c>
      <c r="N25" s="3">
        <f t="shared" si="17"/>
        <v>368.6666667</v>
      </c>
      <c r="O25" s="3">
        <f t="shared" si="17"/>
        <v>368.6666667</v>
      </c>
      <c r="P25" s="3">
        <f t="shared" si="17"/>
        <v>368.6666667</v>
      </c>
      <c r="Q25" s="3">
        <f t="shared" si="17"/>
        <v>368.6666667</v>
      </c>
      <c r="R25" s="3">
        <f t="shared" si="17"/>
        <v>368.6666667</v>
      </c>
      <c r="S25" s="3">
        <f t="shared" si="17"/>
        <v>368.6666667</v>
      </c>
      <c r="T25" s="3">
        <f t="shared" si="17"/>
        <v>368.6666667</v>
      </c>
      <c r="U25" s="3">
        <f t="shared" si="14"/>
        <v>4424</v>
      </c>
      <c r="V25" s="3">
        <f>'FAR23'!V22+U25</f>
        <v>21467.5105</v>
      </c>
      <c r="W25" s="3">
        <f t="shared" si="15"/>
        <v>5076.489498</v>
      </c>
      <c r="X25" s="2"/>
      <c r="Y25" s="2"/>
      <c r="Z25" s="2"/>
      <c r="AA25" s="2"/>
      <c r="AB25" s="2"/>
    </row>
    <row r="26" ht="12.75" customHeight="1">
      <c r="A26" s="15">
        <v>43710.0</v>
      </c>
      <c r="B26" s="16">
        <v>34825.0</v>
      </c>
      <c r="C26" s="7" t="s">
        <v>38</v>
      </c>
      <c r="D26" s="17">
        <f>'FAR21'!G23</f>
        <v>15767</v>
      </c>
      <c r="E26" s="3"/>
      <c r="F26" s="3"/>
      <c r="G26" s="3">
        <f t="shared" si="11"/>
        <v>15767</v>
      </c>
      <c r="H26" s="4"/>
      <c r="I26" s="3">
        <f t="shared" si="12"/>
        <v>218.9861111</v>
      </c>
      <c r="J26" s="3">
        <f t="shared" ref="J26:T26" si="18">+$G26/$H$20/12</f>
        <v>218.9861111</v>
      </c>
      <c r="K26" s="3">
        <f t="shared" si="18"/>
        <v>218.9861111</v>
      </c>
      <c r="L26" s="3">
        <f t="shared" si="18"/>
        <v>218.9861111</v>
      </c>
      <c r="M26" s="3">
        <f t="shared" si="18"/>
        <v>218.9861111</v>
      </c>
      <c r="N26" s="3">
        <f t="shared" si="18"/>
        <v>218.9861111</v>
      </c>
      <c r="O26" s="3">
        <f t="shared" si="18"/>
        <v>218.9861111</v>
      </c>
      <c r="P26" s="3">
        <f t="shared" si="18"/>
        <v>218.9861111</v>
      </c>
      <c r="Q26" s="3">
        <f t="shared" si="18"/>
        <v>218.9861111</v>
      </c>
      <c r="R26" s="3">
        <f t="shared" si="18"/>
        <v>218.9861111</v>
      </c>
      <c r="S26" s="3">
        <f t="shared" si="18"/>
        <v>218.9861111</v>
      </c>
      <c r="T26" s="3">
        <f t="shared" si="18"/>
        <v>218.9861111</v>
      </c>
      <c r="U26" s="3">
        <f t="shared" si="14"/>
        <v>2627.833333</v>
      </c>
      <c r="V26" s="3">
        <f>'FAR23'!V23+U26</f>
        <v>11825.25</v>
      </c>
      <c r="W26" s="3">
        <f t="shared" si="15"/>
        <v>3941.75</v>
      </c>
      <c r="X26" s="2"/>
      <c r="Y26" s="2"/>
      <c r="Z26" s="2"/>
      <c r="AA26" s="2"/>
      <c r="AB26" s="2"/>
    </row>
    <row r="27" ht="12.75" customHeight="1">
      <c r="A27" s="15">
        <v>43710.0</v>
      </c>
      <c r="B27" s="16">
        <v>34825.0</v>
      </c>
      <c r="C27" s="7" t="s">
        <v>39</v>
      </c>
      <c r="D27" s="17">
        <f>'FAR21'!G24</f>
        <v>25647</v>
      </c>
      <c r="E27" s="17"/>
      <c r="F27" s="3"/>
      <c r="G27" s="3">
        <f t="shared" si="11"/>
        <v>25647</v>
      </c>
      <c r="H27" s="4"/>
      <c r="I27" s="3">
        <f t="shared" si="12"/>
        <v>356.2083333</v>
      </c>
      <c r="J27" s="3">
        <f t="shared" ref="J27:T27" si="19">+$G27/$H$20/12</f>
        <v>356.2083333</v>
      </c>
      <c r="K27" s="3">
        <f t="shared" si="19"/>
        <v>356.2083333</v>
      </c>
      <c r="L27" s="3">
        <f t="shared" si="19"/>
        <v>356.2083333</v>
      </c>
      <c r="M27" s="3">
        <f t="shared" si="19"/>
        <v>356.2083333</v>
      </c>
      <c r="N27" s="3">
        <f t="shared" si="19"/>
        <v>356.2083333</v>
      </c>
      <c r="O27" s="3">
        <f t="shared" si="19"/>
        <v>356.2083333</v>
      </c>
      <c r="P27" s="3">
        <f t="shared" si="19"/>
        <v>356.2083333</v>
      </c>
      <c r="Q27" s="3">
        <f t="shared" si="19"/>
        <v>356.2083333</v>
      </c>
      <c r="R27" s="3">
        <f t="shared" si="19"/>
        <v>356.2083333</v>
      </c>
      <c r="S27" s="3">
        <f t="shared" si="19"/>
        <v>356.2083333</v>
      </c>
      <c r="T27" s="3">
        <f t="shared" si="19"/>
        <v>356.2083333</v>
      </c>
      <c r="U27" s="3">
        <f t="shared" si="14"/>
        <v>4274.5</v>
      </c>
      <c r="V27" s="3">
        <f>'FAR23'!V24+U27</f>
        <v>19235.25</v>
      </c>
      <c r="W27" s="3">
        <f t="shared" si="15"/>
        <v>6411.75</v>
      </c>
      <c r="X27" s="2"/>
      <c r="Y27" s="2"/>
      <c r="Z27" s="2"/>
      <c r="AA27" s="2"/>
      <c r="AB27" s="2"/>
    </row>
    <row r="28" ht="12.75" customHeight="1">
      <c r="A28" s="15">
        <v>44791.0</v>
      </c>
      <c r="B28" s="16" t="s">
        <v>31</v>
      </c>
      <c r="C28" s="7" t="s">
        <v>52</v>
      </c>
      <c r="D28" s="17">
        <v>13715.0</v>
      </c>
      <c r="E28" s="17"/>
      <c r="F28" s="3"/>
      <c r="G28" s="3">
        <v>13715.0</v>
      </c>
      <c r="H28" s="4"/>
      <c r="I28" s="3">
        <f t="shared" si="12"/>
        <v>190.4861111</v>
      </c>
      <c r="J28" s="3">
        <f t="shared" ref="J28:T28" si="20">+$G28/$H$20/12</f>
        <v>190.4861111</v>
      </c>
      <c r="K28" s="3">
        <f t="shared" si="20"/>
        <v>190.4861111</v>
      </c>
      <c r="L28" s="3">
        <f t="shared" si="20"/>
        <v>190.4861111</v>
      </c>
      <c r="M28" s="3">
        <f t="shared" si="20"/>
        <v>190.4861111</v>
      </c>
      <c r="N28" s="3">
        <f t="shared" si="20"/>
        <v>190.4861111</v>
      </c>
      <c r="O28" s="3">
        <f t="shared" si="20"/>
        <v>190.4861111</v>
      </c>
      <c r="P28" s="3">
        <f t="shared" si="20"/>
        <v>190.4861111</v>
      </c>
      <c r="Q28" s="3">
        <f t="shared" si="20"/>
        <v>190.4861111</v>
      </c>
      <c r="R28" s="3">
        <f t="shared" si="20"/>
        <v>190.4861111</v>
      </c>
      <c r="S28" s="3">
        <f t="shared" si="20"/>
        <v>190.4861111</v>
      </c>
      <c r="T28" s="3">
        <f t="shared" si="20"/>
        <v>190.4861111</v>
      </c>
      <c r="U28" s="3">
        <f t="shared" si="14"/>
        <v>2285.833333</v>
      </c>
      <c r="V28" s="3">
        <f>'FAR23'!V25+U28</f>
        <v>3510.163242</v>
      </c>
      <c r="W28" s="3">
        <f>G28-V28</f>
        <v>10204.83676</v>
      </c>
      <c r="X28" s="2"/>
      <c r="Y28" s="2"/>
      <c r="Z28" s="2"/>
      <c r="AA28" s="2"/>
      <c r="AB28" s="2"/>
    </row>
    <row r="29" ht="12.75" customHeight="1">
      <c r="A29" s="15"/>
      <c r="B29" s="16"/>
      <c r="C29" s="7"/>
      <c r="D29" s="3"/>
      <c r="E29" s="17"/>
      <c r="F29" s="3"/>
      <c r="G29" s="3"/>
      <c r="H29" s="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2"/>
      <c r="Z29" s="2"/>
      <c r="AA29" s="2"/>
      <c r="AB29" s="2"/>
    </row>
    <row r="30" ht="12.75" customHeight="1">
      <c r="A30" s="23"/>
      <c r="B30" s="23"/>
      <c r="C30" s="23"/>
      <c r="D30" s="22">
        <f t="shared" ref="D30:E30" si="21">SUM(D20:D29)</f>
        <v>197497</v>
      </c>
      <c r="E30" s="22">
        <f t="shared" si="21"/>
        <v>0</v>
      </c>
      <c r="F30" s="22">
        <f>SUM(F20:F27)</f>
        <v>0</v>
      </c>
      <c r="G30" s="22">
        <f>SUM(D30:F30)</f>
        <v>197497</v>
      </c>
      <c r="H30" s="4"/>
      <c r="I30" s="22">
        <f t="shared" ref="I30:W30" si="22">SUM(I22:I29)</f>
        <v>2743.013889</v>
      </c>
      <c r="J30" s="22">
        <f t="shared" si="22"/>
        <v>2289.699444</v>
      </c>
      <c r="K30" s="22">
        <f t="shared" si="22"/>
        <v>2017.319444</v>
      </c>
      <c r="L30" s="22">
        <f t="shared" si="22"/>
        <v>2017.319444</v>
      </c>
      <c r="M30" s="22">
        <f t="shared" si="22"/>
        <v>2017.319444</v>
      </c>
      <c r="N30" s="22">
        <f t="shared" si="22"/>
        <v>2017.319444</v>
      </c>
      <c r="O30" s="22">
        <f t="shared" si="22"/>
        <v>2017.319444</v>
      </c>
      <c r="P30" s="22">
        <f t="shared" si="22"/>
        <v>2017.319444</v>
      </c>
      <c r="Q30" s="22">
        <f t="shared" si="22"/>
        <v>2017.319444</v>
      </c>
      <c r="R30" s="22">
        <f t="shared" si="22"/>
        <v>2017.319444</v>
      </c>
      <c r="S30" s="22">
        <f t="shared" si="22"/>
        <v>2017.319444</v>
      </c>
      <c r="T30" s="22">
        <f t="shared" si="22"/>
        <v>2017.319444</v>
      </c>
      <c r="U30" s="22">
        <f t="shared" si="22"/>
        <v>25205.90778</v>
      </c>
      <c r="V30" s="22">
        <f t="shared" si="22"/>
        <v>171580.7181</v>
      </c>
      <c r="W30" s="22">
        <f t="shared" si="22"/>
        <v>25916.28187</v>
      </c>
      <c r="X30" s="2"/>
      <c r="Y30" s="23"/>
      <c r="Z30" s="23"/>
      <c r="AA30" s="23"/>
      <c r="AB30" s="23"/>
    </row>
    <row r="31" ht="12.75" customHeight="1">
      <c r="A31" s="23"/>
      <c r="B31" s="23"/>
      <c r="C31" s="23"/>
      <c r="D31" s="24"/>
      <c r="E31" s="24"/>
      <c r="F31" s="24"/>
      <c r="G31" s="24"/>
      <c r="H31" s="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"/>
      <c r="Y31" s="23"/>
      <c r="Z31" s="23"/>
      <c r="AA31" s="23"/>
      <c r="AB31" s="23"/>
    </row>
    <row r="32" ht="12.75" customHeight="1">
      <c r="A32" s="8" t="s">
        <v>2</v>
      </c>
      <c r="B32" s="8" t="s">
        <v>3</v>
      </c>
      <c r="C32" s="8" t="s">
        <v>4</v>
      </c>
      <c r="D32" s="9" t="s">
        <v>18</v>
      </c>
      <c r="E32" s="9" t="s">
        <v>6</v>
      </c>
      <c r="F32" s="9" t="s">
        <v>20</v>
      </c>
      <c r="G32" s="9" t="s">
        <v>8</v>
      </c>
      <c r="H32" s="10" t="s">
        <v>9</v>
      </c>
      <c r="I32" s="11">
        <v>45016.0</v>
      </c>
      <c r="J32" s="11">
        <v>45046.0</v>
      </c>
      <c r="K32" s="11">
        <v>45077.0</v>
      </c>
      <c r="L32" s="11">
        <v>45107.0</v>
      </c>
      <c r="M32" s="11">
        <v>45138.0</v>
      </c>
      <c r="N32" s="11">
        <v>45169.0</v>
      </c>
      <c r="O32" s="11">
        <v>45199.0</v>
      </c>
      <c r="P32" s="11">
        <v>45230.0</v>
      </c>
      <c r="Q32" s="11">
        <v>45260.0</v>
      </c>
      <c r="R32" s="11">
        <v>45291.0</v>
      </c>
      <c r="S32" s="11">
        <v>45322.0</v>
      </c>
      <c r="T32" s="11">
        <v>45351.0</v>
      </c>
      <c r="U32" s="11" t="s">
        <v>10</v>
      </c>
      <c r="V32" s="11" t="s">
        <v>11</v>
      </c>
      <c r="W32" s="11" t="s">
        <v>49</v>
      </c>
      <c r="X32" s="2"/>
      <c r="Y32" s="2"/>
      <c r="Z32" s="6"/>
      <c r="AA32" s="2"/>
      <c r="AB32" s="6"/>
    </row>
    <row r="33" ht="12.75" customHeight="1">
      <c r="A33" s="13" t="s">
        <v>24</v>
      </c>
      <c r="B33" s="2"/>
      <c r="C33" s="2"/>
      <c r="D33" s="3"/>
      <c r="E33" s="14"/>
      <c r="F33" s="3"/>
      <c r="G33" s="3"/>
      <c r="H33" s="4" t="s">
        <v>25</v>
      </c>
      <c r="I33" s="13" t="str">
        <f>+A33</f>
        <v>6300&gt;020 (Motor Vehicles&gt;Cost)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2"/>
      <c r="Z33" s="2"/>
      <c r="AA33" s="2"/>
      <c r="AB33" s="2"/>
    </row>
    <row r="34" ht="12.75" customHeight="1">
      <c r="A34" s="8"/>
      <c r="B34" s="2"/>
      <c r="C34" s="2"/>
      <c r="D34" s="3"/>
      <c r="E34" s="14"/>
      <c r="F34" s="3"/>
      <c r="G34" s="3"/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2"/>
      <c r="Y34" s="2"/>
      <c r="Z34" s="2"/>
      <c r="AA34" s="2"/>
      <c r="AB34" s="2"/>
    </row>
    <row r="35" ht="12.75" customHeight="1">
      <c r="A35" s="15">
        <v>42860.0</v>
      </c>
      <c r="B35" s="16">
        <v>8.900964E7</v>
      </c>
      <c r="C35" s="7" t="s">
        <v>26</v>
      </c>
      <c r="D35" s="3">
        <f>'FAR21'!G31</f>
        <v>255969.92</v>
      </c>
      <c r="E35" s="17"/>
      <c r="F35" s="3"/>
      <c r="G35" s="3">
        <f>+D35+E35-F35</f>
        <v>255969.92</v>
      </c>
      <c r="H35" s="4"/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f>SUM(I35:T35)</f>
        <v>0</v>
      </c>
      <c r="V35" s="3">
        <f>'FAR23'!V32</f>
        <v>255969.9194</v>
      </c>
      <c r="W35" s="3">
        <f>+G35-V35</f>
        <v>0.0005826484412</v>
      </c>
      <c r="X35" s="2"/>
      <c r="Y35" s="2"/>
      <c r="Z35" s="2"/>
      <c r="AA35" s="2"/>
      <c r="AB35" s="2"/>
    </row>
    <row r="36" ht="12.75" customHeight="1">
      <c r="A36" s="7"/>
      <c r="B36" s="7"/>
      <c r="C36" s="7"/>
      <c r="D36" s="3"/>
      <c r="E36" s="17"/>
      <c r="F36" s="3"/>
      <c r="G36" s="3"/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2"/>
      <c r="Y36" s="2"/>
      <c r="Z36" s="2"/>
      <c r="AA36" s="2"/>
      <c r="AB36" s="2"/>
    </row>
    <row r="37" ht="12.75" customHeight="1">
      <c r="A37" s="23"/>
      <c r="B37" s="23"/>
      <c r="C37" s="23"/>
      <c r="D37" s="22">
        <f t="shared" ref="D37:F37" si="23">SUM(D35)</f>
        <v>255969.92</v>
      </c>
      <c r="E37" s="21">
        <f t="shared" si="23"/>
        <v>0</v>
      </c>
      <c r="F37" s="22">
        <f t="shared" si="23"/>
        <v>0</v>
      </c>
      <c r="G37" s="22">
        <f>SUM(D37:F37)</f>
        <v>255969.92</v>
      </c>
      <c r="H37" s="4"/>
      <c r="I37" s="22">
        <f t="shared" ref="I37:W37" si="24">SUM(I35)</f>
        <v>0</v>
      </c>
      <c r="J37" s="22">
        <f t="shared" si="24"/>
        <v>0</v>
      </c>
      <c r="K37" s="22">
        <f t="shared" si="24"/>
        <v>0</v>
      </c>
      <c r="L37" s="22">
        <f t="shared" si="24"/>
        <v>0</v>
      </c>
      <c r="M37" s="22">
        <f t="shared" si="24"/>
        <v>0</v>
      </c>
      <c r="N37" s="22">
        <f t="shared" si="24"/>
        <v>0</v>
      </c>
      <c r="O37" s="22">
        <f t="shared" si="24"/>
        <v>0</v>
      </c>
      <c r="P37" s="22">
        <f t="shared" si="24"/>
        <v>0</v>
      </c>
      <c r="Q37" s="22">
        <f t="shared" si="24"/>
        <v>0</v>
      </c>
      <c r="R37" s="22">
        <f t="shared" si="24"/>
        <v>0</v>
      </c>
      <c r="S37" s="22">
        <f t="shared" si="24"/>
        <v>0</v>
      </c>
      <c r="T37" s="22">
        <f t="shared" si="24"/>
        <v>0</v>
      </c>
      <c r="U37" s="22">
        <f t="shared" si="24"/>
        <v>0</v>
      </c>
      <c r="V37" s="22">
        <f t="shared" si="24"/>
        <v>255969.9194</v>
      </c>
      <c r="W37" s="22">
        <f t="shared" si="24"/>
        <v>0.0005826484412</v>
      </c>
      <c r="X37" s="23"/>
      <c r="Y37" s="23"/>
      <c r="Z37" s="23"/>
      <c r="AA37" s="23"/>
      <c r="AB37" s="23"/>
    </row>
    <row r="38" ht="12.75" customHeight="1">
      <c r="A38" s="23"/>
      <c r="B38" s="23"/>
      <c r="C38" s="23"/>
      <c r="D38" s="24"/>
      <c r="E38" s="14"/>
      <c r="F38" s="24"/>
      <c r="G38" s="24"/>
      <c r="H38" s="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3"/>
      <c r="Y38" s="23"/>
      <c r="Z38" s="23"/>
      <c r="AA38" s="23"/>
      <c r="AB38" s="23"/>
    </row>
    <row r="39" ht="12.75" customHeight="1">
      <c r="A39" s="23"/>
      <c r="B39" s="23"/>
      <c r="C39" s="23"/>
      <c r="D39" s="24"/>
      <c r="E39" s="14"/>
      <c r="F39" s="24"/>
      <c r="G39" s="24"/>
      <c r="H39" s="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3"/>
      <c r="Y39" s="23"/>
      <c r="Z39" s="23"/>
      <c r="AA39" s="23"/>
      <c r="AB39" s="23"/>
    </row>
    <row r="40" ht="12.75" customHeight="1">
      <c r="A40" s="8" t="s">
        <v>2</v>
      </c>
      <c r="B40" s="8" t="s">
        <v>3</v>
      </c>
      <c r="C40" s="8" t="s">
        <v>4</v>
      </c>
      <c r="D40" s="9" t="s">
        <v>18</v>
      </c>
      <c r="E40" s="9" t="s">
        <v>6</v>
      </c>
      <c r="F40" s="9" t="s">
        <v>20</v>
      </c>
      <c r="G40" s="9" t="s">
        <v>8</v>
      </c>
      <c r="H40" s="10" t="s">
        <v>9</v>
      </c>
      <c r="I40" s="11">
        <v>45016.0</v>
      </c>
      <c r="J40" s="11">
        <v>45046.0</v>
      </c>
      <c r="K40" s="11">
        <v>45077.0</v>
      </c>
      <c r="L40" s="11">
        <v>45107.0</v>
      </c>
      <c r="M40" s="11">
        <v>45138.0</v>
      </c>
      <c r="N40" s="11">
        <v>45169.0</v>
      </c>
      <c r="O40" s="11">
        <v>45199.0</v>
      </c>
      <c r="P40" s="11">
        <v>45230.0</v>
      </c>
      <c r="Q40" s="11">
        <v>45260.0</v>
      </c>
      <c r="R40" s="11">
        <v>45291.0</v>
      </c>
      <c r="S40" s="11">
        <v>45322.0</v>
      </c>
      <c r="T40" s="11">
        <v>45351.0</v>
      </c>
      <c r="U40" s="11" t="s">
        <v>10</v>
      </c>
      <c r="V40" s="11" t="s">
        <v>11</v>
      </c>
      <c r="W40" s="11" t="s">
        <v>49</v>
      </c>
      <c r="X40" s="2"/>
      <c r="Y40" s="2"/>
      <c r="Z40" s="2"/>
      <c r="AA40" s="2"/>
      <c r="AB40" s="2"/>
    </row>
    <row r="41" ht="12.75" customHeight="1">
      <c r="A41" s="13" t="s">
        <v>58</v>
      </c>
      <c r="B41" s="8"/>
      <c r="C41" s="8"/>
      <c r="D41" s="9"/>
      <c r="E41" s="9"/>
      <c r="F41" s="9"/>
      <c r="G41" s="9"/>
      <c r="H41" s="10"/>
      <c r="I41" s="35" t="str">
        <f>+A41</f>
        <v>6400&gt;020 (Office Equipment&gt;Cost)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2"/>
      <c r="Y41" s="2"/>
      <c r="Z41" s="2"/>
      <c r="AA41" s="2"/>
      <c r="AB41" s="2"/>
    </row>
    <row r="42" ht="12.75" customHeight="1">
      <c r="A42" s="2"/>
      <c r="B42" s="2"/>
      <c r="C42" s="2"/>
      <c r="D42" s="14"/>
      <c r="E42" s="3"/>
      <c r="F42" s="3"/>
      <c r="G42" s="3"/>
      <c r="H42" s="4" t="s">
        <v>22</v>
      </c>
      <c r="I42" s="1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2"/>
      <c r="Y42" s="2"/>
      <c r="Z42" s="2"/>
      <c r="AA42" s="2"/>
      <c r="AB42" s="2"/>
    </row>
    <row r="43" ht="12.75" customHeight="1">
      <c r="A43" s="6">
        <v>45139.0</v>
      </c>
      <c r="B43" s="2" t="s">
        <v>59</v>
      </c>
      <c r="C43" s="2" t="s">
        <v>60</v>
      </c>
      <c r="D43" s="14"/>
      <c r="E43" s="3">
        <v>44100.0</v>
      </c>
      <c r="F43" s="3"/>
      <c r="G43" s="3">
        <v>44100.0</v>
      </c>
      <c r="H43" s="4"/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f t="shared" ref="N43:T43" si="25">+$G43/$H$42/12</f>
        <v>612.5</v>
      </c>
      <c r="O43" s="3">
        <f t="shared" si="25"/>
        <v>612.5</v>
      </c>
      <c r="P43" s="3">
        <f t="shared" si="25"/>
        <v>612.5</v>
      </c>
      <c r="Q43" s="3">
        <f t="shared" si="25"/>
        <v>612.5</v>
      </c>
      <c r="R43" s="3">
        <f t="shared" si="25"/>
        <v>612.5</v>
      </c>
      <c r="S43" s="3">
        <f t="shared" si="25"/>
        <v>612.5</v>
      </c>
      <c r="T43" s="3">
        <f t="shared" si="25"/>
        <v>612.5</v>
      </c>
      <c r="U43" s="3">
        <f>SUM(I43:T43)</f>
        <v>4287.5</v>
      </c>
      <c r="V43" s="3">
        <f>U43</f>
        <v>4287.5</v>
      </c>
      <c r="W43" s="3">
        <f>G43-V43</f>
        <v>39812.5</v>
      </c>
      <c r="X43" s="2"/>
      <c r="Y43" s="2"/>
      <c r="Z43" s="2"/>
      <c r="AA43" s="2"/>
      <c r="AB43" s="2"/>
    </row>
    <row r="44" ht="12.75" customHeight="1">
      <c r="A44" s="2"/>
      <c r="B44" s="2"/>
      <c r="C44" s="2"/>
      <c r="D44" s="14"/>
      <c r="E44" s="3"/>
      <c r="F44" s="3"/>
      <c r="G44" s="3"/>
      <c r="H44" s="4"/>
      <c r="I44" s="1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2"/>
      <c r="Y44" s="2"/>
      <c r="Z44" s="2"/>
      <c r="AA44" s="2"/>
      <c r="AB44" s="2"/>
    </row>
    <row r="45" ht="12.75" customHeight="1">
      <c r="A45" s="2"/>
      <c r="B45" s="2"/>
      <c r="C45" s="2"/>
      <c r="D45" s="21"/>
      <c r="E45" s="36">
        <f>SUM(E43:E44)</f>
        <v>44100</v>
      </c>
      <c r="F45" s="36"/>
      <c r="G45" s="36">
        <f>SUM(G43:G44)</f>
        <v>44100</v>
      </c>
      <c r="H45" s="4"/>
      <c r="I45" s="37">
        <f t="shared" ref="I45:T45" si="26">SUM(I43:I44)</f>
        <v>0</v>
      </c>
      <c r="J45" s="37">
        <f t="shared" si="26"/>
        <v>0</v>
      </c>
      <c r="K45" s="37">
        <f t="shared" si="26"/>
        <v>0</v>
      </c>
      <c r="L45" s="37">
        <f t="shared" si="26"/>
        <v>0</v>
      </c>
      <c r="M45" s="37">
        <f t="shared" si="26"/>
        <v>0</v>
      </c>
      <c r="N45" s="37">
        <f t="shared" si="26"/>
        <v>612.5</v>
      </c>
      <c r="O45" s="37">
        <f t="shared" si="26"/>
        <v>612.5</v>
      </c>
      <c r="P45" s="37">
        <f t="shared" si="26"/>
        <v>612.5</v>
      </c>
      <c r="Q45" s="37">
        <f t="shared" si="26"/>
        <v>612.5</v>
      </c>
      <c r="R45" s="37">
        <f t="shared" si="26"/>
        <v>612.5</v>
      </c>
      <c r="S45" s="37">
        <f t="shared" si="26"/>
        <v>612.5</v>
      </c>
      <c r="T45" s="37">
        <f t="shared" si="26"/>
        <v>612.5</v>
      </c>
      <c r="U45" s="36"/>
      <c r="V45" s="36"/>
      <c r="W45" s="36"/>
      <c r="X45" s="2"/>
      <c r="Y45" s="2"/>
      <c r="Z45" s="2"/>
      <c r="AA45" s="2"/>
      <c r="AB45" s="2"/>
    </row>
    <row r="46" ht="12.75" customHeight="1">
      <c r="A46" s="2"/>
      <c r="B46" s="2"/>
      <c r="C46" s="2"/>
      <c r="D46" s="3"/>
      <c r="E46" s="9"/>
      <c r="F46" s="3"/>
      <c r="G46" s="3"/>
      <c r="H46" s="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2"/>
      <c r="Y46" s="2"/>
      <c r="Z46" s="2"/>
      <c r="AA46" s="2"/>
      <c r="AB46" s="2"/>
    </row>
    <row r="47" ht="12.75" customHeight="1">
      <c r="A47" s="23" t="s">
        <v>27</v>
      </c>
      <c r="B47" s="2"/>
      <c r="C47" s="2"/>
      <c r="D47" s="22">
        <f>D17+D30+D37</f>
        <v>717162.29</v>
      </c>
      <c r="E47" s="22">
        <f>E17+E30+E37+E45</f>
        <v>63868.28</v>
      </c>
      <c r="F47" s="22">
        <f>F17+F30+F37</f>
        <v>0</v>
      </c>
      <c r="G47" s="22">
        <f>G17+G30+G37+G45</f>
        <v>781030.57</v>
      </c>
      <c r="H47" s="4"/>
      <c r="I47" s="22">
        <f t="shared" ref="I47:M47" si="27">I17+I30+I37</f>
        <v>5314.271389</v>
      </c>
      <c r="J47" s="22">
        <f t="shared" si="27"/>
        <v>5156.831483</v>
      </c>
      <c r="K47" s="22">
        <f t="shared" si="27"/>
        <v>4934.712222</v>
      </c>
      <c r="L47" s="22">
        <f t="shared" si="27"/>
        <v>4934.712222</v>
      </c>
      <c r="M47" s="22">
        <f t="shared" si="27"/>
        <v>4934.712222</v>
      </c>
      <c r="N47" s="22">
        <f t="shared" ref="N47:T47" si="28">N17+N30+N37+N45</f>
        <v>5547.212222</v>
      </c>
      <c r="O47" s="22">
        <f t="shared" si="28"/>
        <v>5620.619994</v>
      </c>
      <c r="P47" s="22">
        <f t="shared" si="28"/>
        <v>5750.195833</v>
      </c>
      <c r="Q47" s="22">
        <f t="shared" si="28"/>
        <v>5750.195833</v>
      </c>
      <c r="R47" s="22">
        <f t="shared" si="28"/>
        <v>5750.195833</v>
      </c>
      <c r="S47" s="22">
        <f t="shared" si="28"/>
        <v>5750.195833</v>
      </c>
      <c r="T47" s="22">
        <f t="shared" si="28"/>
        <v>5750.195833</v>
      </c>
      <c r="U47" s="22">
        <f t="shared" ref="U47:W47" si="29">U17+U30+U37</f>
        <v>60906.55092</v>
      </c>
      <c r="V47" s="22">
        <f t="shared" si="29"/>
        <v>696091.5643</v>
      </c>
      <c r="W47" s="22">
        <f t="shared" si="29"/>
        <v>40839.00567</v>
      </c>
      <c r="X47" s="2"/>
      <c r="Y47" s="2"/>
      <c r="Z47" s="2"/>
      <c r="AA47" s="2"/>
      <c r="AB47" s="2"/>
    </row>
    <row r="48" ht="12.75" customHeight="1">
      <c r="A48" s="2"/>
      <c r="B48" s="2"/>
      <c r="C48" s="2"/>
      <c r="D48" s="3"/>
      <c r="E48" s="3"/>
      <c r="F48" s="3"/>
      <c r="G48" s="3"/>
      <c r="H48" s="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2"/>
      <c r="Y48" s="2"/>
      <c r="Z48" s="2"/>
      <c r="AA48" s="2"/>
      <c r="AB48" s="2"/>
    </row>
    <row r="49" ht="12.75" customHeight="1">
      <c r="A49" s="2"/>
      <c r="B49" s="2"/>
      <c r="C49" s="2"/>
      <c r="D49" s="3"/>
      <c r="E49" s="3"/>
      <c r="F49" s="3"/>
      <c r="G49" s="3"/>
      <c r="H49" s="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2"/>
      <c r="Y49" s="2"/>
      <c r="Z49" s="2"/>
      <c r="AA49" s="2"/>
      <c r="AB49" s="2"/>
    </row>
    <row r="50" ht="12.75" customHeight="1">
      <c r="A50" s="2"/>
      <c r="B50" s="2"/>
      <c r="C50" s="2"/>
      <c r="D50" s="3"/>
      <c r="E50" s="3"/>
      <c r="F50" s="3"/>
      <c r="G50" s="3"/>
      <c r="H50" s="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2"/>
      <c r="Y50" s="2"/>
      <c r="Z50" s="2"/>
      <c r="AA50" s="2"/>
      <c r="AB50" s="2"/>
    </row>
    <row r="51" ht="12.75" customHeight="1">
      <c r="A51" s="2"/>
      <c r="B51" s="2"/>
      <c r="C51" s="2"/>
      <c r="D51" s="3"/>
      <c r="E51" s="3"/>
      <c r="F51" s="3"/>
      <c r="G51" s="3"/>
      <c r="H51" s="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2"/>
      <c r="Y51" s="2"/>
      <c r="Z51" s="2"/>
      <c r="AA51" s="2"/>
      <c r="AB51" s="2"/>
    </row>
    <row r="52" ht="12.75" customHeight="1">
      <c r="A52" s="2"/>
      <c r="B52" s="2"/>
      <c r="C52" s="2"/>
      <c r="D52" s="3"/>
      <c r="E52" s="3"/>
      <c r="F52" s="3"/>
      <c r="G52" s="3"/>
      <c r="H52" s="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2"/>
      <c r="Y52" s="2"/>
      <c r="Z52" s="2"/>
      <c r="AA52" s="2"/>
      <c r="AB52" s="2"/>
    </row>
    <row r="53" ht="12.75" customHeight="1">
      <c r="A53" s="2"/>
      <c r="B53" s="2"/>
      <c r="C53" s="2"/>
      <c r="D53" s="3"/>
      <c r="E53" s="3"/>
      <c r="F53" s="3"/>
      <c r="G53" s="3"/>
      <c r="H53" s="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2"/>
      <c r="Y53" s="2"/>
      <c r="Z53" s="2"/>
      <c r="AA53" s="2"/>
      <c r="AB53" s="2"/>
    </row>
    <row r="54" ht="12.75" customHeight="1">
      <c r="A54" s="2"/>
      <c r="B54" s="2"/>
      <c r="C54" s="2"/>
      <c r="D54" s="3"/>
      <c r="E54" s="3"/>
      <c r="F54" s="3"/>
      <c r="G54" s="3"/>
      <c r="H54" s="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2"/>
      <c r="Y54" s="2"/>
      <c r="Z54" s="2"/>
      <c r="AA54" s="2"/>
      <c r="AB54" s="2"/>
    </row>
    <row r="55" ht="12.75" customHeight="1">
      <c r="A55" s="2"/>
      <c r="B55" s="2"/>
      <c r="C55" s="2"/>
      <c r="D55" s="3"/>
      <c r="E55" s="3"/>
      <c r="F55" s="3"/>
      <c r="G55" s="3"/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2"/>
      <c r="Y55" s="2"/>
      <c r="Z55" s="2"/>
      <c r="AA55" s="2"/>
      <c r="AB55" s="2"/>
    </row>
    <row r="56" ht="12.75" customHeight="1">
      <c r="A56" s="2"/>
      <c r="B56" s="2"/>
      <c r="C56" s="2"/>
      <c r="D56" s="3"/>
      <c r="E56" s="3"/>
      <c r="F56" s="3"/>
      <c r="G56" s="3"/>
      <c r="H56" s="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2"/>
      <c r="Y56" s="2"/>
      <c r="Z56" s="2"/>
      <c r="AA56" s="2"/>
      <c r="AB56" s="2"/>
    </row>
    <row r="57" ht="12.75" customHeight="1">
      <c r="A57" s="2"/>
      <c r="B57" s="2"/>
      <c r="C57" s="2"/>
      <c r="D57" s="3"/>
      <c r="E57" s="3"/>
      <c r="F57" s="3"/>
      <c r="G57" s="3"/>
      <c r="H57" s="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2"/>
      <c r="Y57" s="2"/>
      <c r="Z57" s="2"/>
      <c r="AA57" s="2"/>
      <c r="AB57" s="2"/>
    </row>
    <row r="58" ht="12.75" customHeight="1">
      <c r="A58" s="2"/>
      <c r="B58" s="2"/>
      <c r="C58" s="2"/>
      <c r="D58" s="3"/>
      <c r="E58" s="3"/>
      <c r="F58" s="3"/>
      <c r="G58" s="3"/>
      <c r="H58" s="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2"/>
      <c r="Y58" s="2"/>
      <c r="Z58" s="2"/>
      <c r="AA58" s="2"/>
      <c r="AB58" s="2"/>
    </row>
    <row r="59" ht="12.75" customHeight="1">
      <c r="A59" s="2"/>
      <c r="B59" s="2"/>
      <c r="C59" s="2"/>
      <c r="D59" s="3"/>
      <c r="E59" s="3"/>
      <c r="F59" s="3"/>
      <c r="G59" s="3"/>
      <c r="H59" s="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2"/>
      <c r="Y59" s="2"/>
      <c r="Z59" s="2"/>
      <c r="AA59" s="2"/>
      <c r="AB59" s="2"/>
    </row>
    <row r="60" ht="12.75" customHeight="1">
      <c r="A60" s="2"/>
      <c r="B60" s="2"/>
      <c r="C60" s="2"/>
      <c r="D60" s="3"/>
      <c r="E60" s="3"/>
      <c r="F60" s="3"/>
      <c r="G60" s="3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2"/>
      <c r="Y60" s="2"/>
      <c r="Z60" s="2"/>
      <c r="AA60" s="2"/>
      <c r="AB60" s="2"/>
    </row>
    <row r="61" ht="12.75" customHeight="1">
      <c r="A61" s="2"/>
      <c r="B61" s="2"/>
      <c r="C61" s="2"/>
      <c r="D61" s="3"/>
      <c r="E61" s="3"/>
      <c r="F61" s="3"/>
      <c r="G61" s="3"/>
      <c r="H61" s="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2"/>
      <c r="Y61" s="2"/>
      <c r="Z61" s="2"/>
      <c r="AA61" s="2"/>
      <c r="AB61" s="2"/>
    </row>
    <row r="62" ht="12.75" customHeight="1">
      <c r="A62" s="2"/>
      <c r="B62" s="2"/>
      <c r="C62" s="2"/>
      <c r="D62" s="3"/>
      <c r="E62" s="3"/>
      <c r="F62" s="3"/>
      <c r="G62" s="3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2"/>
      <c r="Y62" s="2"/>
      <c r="Z62" s="2"/>
      <c r="AA62" s="2"/>
      <c r="AB62" s="2"/>
    </row>
    <row r="63" ht="12.75" customHeight="1">
      <c r="A63" s="2"/>
      <c r="B63" s="2"/>
      <c r="C63" s="2"/>
      <c r="D63" s="3"/>
      <c r="E63" s="3"/>
      <c r="F63" s="3"/>
      <c r="G63" s="3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"/>
      <c r="Y63" s="2"/>
      <c r="Z63" s="2"/>
      <c r="AA63" s="2"/>
      <c r="AB63" s="2"/>
    </row>
    <row r="64" ht="12.75" customHeight="1">
      <c r="A64" s="2"/>
      <c r="B64" s="2"/>
      <c r="C64" s="2"/>
      <c r="D64" s="3"/>
      <c r="E64" s="3"/>
      <c r="F64" s="3"/>
      <c r="G64" s="3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2"/>
      <c r="Y64" s="2"/>
      <c r="Z64" s="2"/>
      <c r="AA64" s="2"/>
      <c r="AB64" s="2"/>
    </row>
    <row r="65" ht="12.75" customHeight="1">
      <c r="A65" s="2"/>
      <c r="B65" s="2"/>
      <c r="C65" s="2"/>
      <c r="D65" s="3"/>
      <c r="E65" s="3"/>
      <c r="F65" s="3"/>
      <c r="G65" s="3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2"/>
      <c r="Y65" s="2"/>
      <c r="Z65" s="2"/>
      <c r="AA65" s="2"/>
      <c r="AB65" s="2"/>
    </row>
    <row r="66" ht="12.75" customHeight="1">
      <c r="A66" s="2"/>
      <c r="B66" s="2"/>
      <c r="C66" s="2"/>
      <c r="D66" s="3"/>
      <c r="E66" s="3"/>
      <c r="F66" s="3"/>
      <c r="G66" s="3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2"/>
      <c r="Y66" s="2"/>
      <c r="Z66" s="2"/>
      <c r="AA66" s="2"/>
      <c r="AB66" s="2"/>
    </row>
    <row r="67" ht="12.75" customHeight="1">
      <c r="A67" s="2"/>
      <c r="B67" s="2"/>
      <c r="C67" s="2"/>
      <c r="D67" s="3"/>
      <c r="E67" s="3"/>
      <c r="F67" s="3"/>
      <c r="G67" s="3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2"/>
      <c r="Y67" s="2"/>
      <c r="Z67" s="2"/>
      <c r="AA67" s="2"/>
      <c r="AB67" s="2"/>
    </row>
    <row r="68" ht="12.75" customHeight="1">
      <c r="A68" s="2"/>
      <c r="B68" s="2"/>
      <c r="C68" s="2"/>
      <c r="D68" s="3"/>
      <c r="E68" s="3"/>
      <c r="F68" s="3"/>
      <c r="G68" s="3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2"/>
      <c r="Y68" s="2"/>
      <c r="Z68" s="2"/>
      <c r="AA68" s="2"/>
      <c r="AB68" s="2"/>
    </row>
    <row r="69" ht="12.75" customHeight="1">
      <c r="A69" s="2"/>
      <c r="B69" s="2"/>
      <c r="C69" s="2"/>
      <c r="D69" s="3"/>
      <c r="E69" s="3"/>
      <c r="F69" s="3"/>
      <c r="G69" s="3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2"/>
      <c r="Y69" s="2"/>
      <c r="Z69" s="2"/>
      <c r="AA69" s="2"/>
      <c r="AB69" s="2"/>
    </row>
    <row r="70" ht="12.75" customHeight="1">
      <c r="A70" s="2"/>
      <c r="B70" s="2"/>
      <c r="C70" s="2"/>
      <c r="D70" s="3"/>
      <c r="E70" s="3"/>
      <c r="F70" s="3"/>
      <c r="G70" s="3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2"/>
      <c r="Y70" s="2"/>
      <c r="Z70" s="2"/>
      <c r="AA70" s="2"/>
      <c r="AB70" s="2"/>
    </row>
    <row r="71" ht="12.75" customHeight="1">
      <c r="A71" s="2"/>
      <c r="B71" s="2"/>
      <c r="C71" s="2"/>
      <c r="D71" s="3"/>
      <c r="E71" s="3"/>
      <c r="F71" s="3"/>
      <c r="G71" s="3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2"/>
      <c r="Y71" s="2"/>
      <c r="Z71" s="2"/>
      <c r="AA71" s="2"/>
      <c r="AB71" s="2"/>
    </row>
    <row r="72" ht="12.75" customHeight="1">
      <c r="A72" s="2"/>
      <c r="B72" s="2"/>
      <c r="C72" s="2"/>
      <c r="D72" s="3"/>
      <c r="E72" s="3"/>
      <c r="F72" s="3"/>
      <c r="G72" s="3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2"/>
      <c r="Y72" s="2"/>
      <c r="Z72" s="2"/>
      <c r="AA72" s="2"/>
      <c r="AB72" s="2"/>
    </row>
    <row r="73" ht="12.75" customHeight="1">
      <c r="A73" s="2"/>
      <c r="B73" s="2"/>
      <c r="C73" s="2"/>
      <c r="D73" s="3"/>
      <c r="E73" s="3"/>
      <c r="F73" s="3"/>
      <c r="G73" s="3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2"/>
      <c r="Y73" s="2"/>
      <c r="Z73" s="2"/>
      <c r="AA73" s="2"/>
      <c r="AB73" s="2"/>
    </row>
    <row r="74" ht="12.75" customHeight="1">
      <c r="A74" s="2"/>
      <c r="B74" s="2"/>
      <c r="C74" s="2"/>
      <c r="D74" s="3"/>
      <c r="E74" s="3"/>
      <c r="F74" s="3"/>
      <c r="G74" s="3"/>
      <c r="H74" s="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2"/>
      <c r="Y74" s="2"/>
      <c r="Z74" s="2"/>
      <c r="AA74" s="2"/>
      <c r="AB74" s="2"/>
    </row>
    <row r="75" ht="12.75" customHeight="1">
      <c r="A75" s="2"/>
      <c r="B75" s="2"/>
      <c r="C75" s="2"/>
      <c r="D75" s="3"/>
      <c r="E75" s="3"/>
      <c r="F75" s="3"/>
      <c r="G75" s="3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2"/>
      <c r="Y75" s="2"/>
      <c r="Z75" s="2"/>
      <c r="AA75" s="2"/>
      <c r="AB75" s="2"/>
    </row>
    <row r="76" ht="12.75" customHeight="1">
      <c r="A76" s="2"/>
      <c r="B76" s="2"/>
      <c r="C76" s="2"/>
      <c r="D76" s="3"/>
      <c r="E76" s="3"/>
      <c r="F76" s="3"/>
      <c r="G76" s="3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2"/>
      <c r="Y76" s="2"/>
      <c r="Z76" s="2"/>
      <c r="AA76" s="2"/>
      <c r="AB76" s="2"/>
    </row>
    <row r="77" ht="12.75" customHeight="1">
      <c r="A77" s="2"/>
      <c r="B77" s="2"/>
      <c r="C77" s="2"/>
      <c r="D77" s="3"/>
      <c r="E77" s="3"/>
      <c r="F77" s="3"/>
      <c r="G77" s="3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2"/>
      <c r="Y77" s="2"/>
      <c r="Z77" s="2"/>
      <c r="AA77" s="2"/>
      <c r="AB77" s="2"/>
    </row>
    <row r="78" ht="12.75" customHeight="1">
      <c r="A78" s="2"/>
      <c r="B78" s="2"/>
      <c r="C78" s="2"/>
      <c r="D78" s="3"/>
      <c r="E78" s="3"/>
      <c r="F78" s="3"/>
      <c r="G78" s="3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2"/>
      <c r="Y78" s="2"/>
      <c r="Z78" s="2"/>
      <c r="AA78" s="2"/>
      <c r="AB78" s="2"/>
    </row>
    <row r="79" ht="12.75" customHeight="1">
      <c r="A79" s="2"/>
      <c r="B79" s="2"/>
      <c r="C79" s="2"/>
      <c r="D79" s="3"/>
      <c r="E79" s="3"/>
      <c r="F79" s="3"/>
      <c r="G79" s="3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2"/>
      <c r="Y79" s="2"/>
      <c r="Z79" s="2"/>
      <c r="AA79" s="2"/>
      <c r="AB79" s="2"/>
    </row>
    <row r="80" ht="12.75" customHeight="1">
      <c r="A80" s="2"/>
      <c r="B80" s="2"/>
      <c r="C80" s="2"/>
      <c r="D80" s="3"/>
      <c r="E80" s="3"/>
      <c r="F80" s="3"/>
      <c r="G80" s="3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2"/>
      <c r="Y80" s="2"/>
      <c r="Z80" s="2"/>
      <c r="AA80" s="2"/>
      <c r="AB80" s="2"/>
    </row>
    <row r="81" ht="12.75" customHeight="1">
      <c r="A81" s="2"/>
      <c r="B81" s="2"/>
      <c r="C81" s="2"/>
      <c r="D81" s="3"/>
      <c r="E81" s="3"/>
      <c r="F81" s="3"/>
      <c r="G81" s="3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2"/>
      <c r="Y81" s="2"/>
      <c r="Z81" s="2"/>
      <c r="AA81" s="2"/>
      <c r="AB81" s="2"/>
    </row>
    <row r="82" ht="12.75" customHeight="1">
      <c r="A82" s="2"/>
      <c r="B82" s="2"/>
      <c r="C82" s="2"/>
      <c r="D82" s="3"/>
      <c r="E82" s="3"/>
      <c r="F82" s="3"/>
      <c r="G82" s="3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2"/>
      <c r="Y82" s="2"/>
      <c r="Z82" s="2"/>
      <c r="AA82" s="2"/>
      <c r="AB82" s="2"/>
    </row>
    <row r="83" ht="12.75" customHeight="1">
      <c r="A83" s="2"/>
      <c r="B83" s="2"/>
      <c r="C83" s="2"/>
      <c r="D83" s="3"/>
      <c r="E83" s="3"/>
      <c r="F83" s="3"/>
      <c r="G83" s="3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2"/>
      <c r="Y83" s="2"/>
      <c r="Z83" s="2"/>
      <c r="AA83" s="2"/>
      <c r="AB83" s="2"/>
    </row>
    <row r="84" ht="12.75" customHeight="1">
      <c r="A84" s="2"/>
      <c r="B84" s="2"/>
      <c r="C84" s="2"/>
      <c r="D84" s="3"/>
      <c r="E84" s="3"/>
      <c r="F84" s="3"/>
      <c r="G84" s="3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2"/>
      <c r="Y84" s="2"/>
      <c r="Z84" s="2"/>
      <c r="AA84" s="2"/>
      <c r="AB84" s="2"/>
    </row>
    <row r="85" ht="12.75" customHeight="1">
      <c r="A85" s="2"/>
      <c r="B85" s="2"/>
      <c r="C85" s="2"/>
      <c r="D85" s="3"/>
      <c r="E85" s="3"/>
      <c r="F85" s="3"/>
      <c r="G85" s="3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2"/>
      <c r="Y85" s="2"/>
      <c r="Z85" s="2"/>
      <c r="AA85" s="2"/>
      <c r="AB85" s="2"/>
    </row>
    <row r="86" ht="12.75" customHeight="1">
      <c r="A86" s="2"/>
      <c r="B86" s="2"/>
      <c r="C86" s="2"/>
      <c r="D86" s="3"/>
      <c r="E86" s="3"/>
      <c r="F86" s="3"/>
      <c r="G86" s="3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2"/>
      <c r="Y86" s="2"/>
      <c r="Z86" s="2"/>
      <c r="AA86" s="2"/>
      <c r="AB86" s="2"/>
    </row>
    <row r="87" ht="12.75" customHeight="1">
      <c r="A87" s="2"/>
      <c r="B87" s="2"/>
      <c r="C87" s="2"/>
      <c r="D87" s="3"/>
      <c r="E87" s="3"/>
      <c r="F87" s="3"/>
      <c r="G87" s="3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2"/>
      <c r="Y87" s="2"/>
      <c r="Z87" s="2"/>
      <c r="AA87" s="2"/>
      <c r="AB87" s="2"/>
    </row>
    <row r="88" ht="12.75" customHeight="1">
      <c r="A88" s="2"/>
      <c r="B88" s="2"/>
      <c r="C88" s="2"/>
      <c r="D88" s="3"/>
      <c r="E88" s="3"/>
      <c r="F88" s="3"/>
      <c r="G88" s="3"/>
      <c r="H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2"/>
      <c r="Y88" s="2"/>
      <c r="Z88" s="2"/>
      <c r="AA88" s="2"/>
      <c r="AB88" s="2"/>
    </row>
    <row r="89" ht="12.75" customHeight="1">
      <c r="A89" s="2"/>
      <c r="B89" s="2"/>
      <c r="C89" s="2"/>
      <c r="D89" s="3"/>
      <c r="E89" s="3"/>
      <c r="F89" s="3"/>
      <c r="G89" s="3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2"/>
      <c r="Y89" s="2"/>
      <c r="Z89" s="2"/>
      <c r="AA89" s="2"/>
      <c r="AB89" s="2"/>
    </row>
    <row r="90" ht="12.75" customHeight="1">
      <c r="A90" s="2"/>
      <c r="B90" s="2"/>
      <c r="C90" s="2"/>
      <c r="D90" s="3"/>
      <c r="E90" s="3"/>
      <c r="F90" s="3"/>
      <c r="G90" s="3"/>
      <c r="H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2"/>
      <c r="Y90" s="2"/>
      <c r="Z90" s="2"/>
      <c r="AA90" s="2"/>
      <c r="AB90" s="2"/>
    </row>
    <row r="91" ht="12.75" customHeight="1">
      <c r="A91" s="2"/>
      <c r="B91" s="2"/>
      <c r="C91" s="2"/>
      <c r="D91" s="3"/>
      <c r="E91" s="3"/>
      <c r="F91" s="3"/>
      <c r="G91" s="3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2"/>
      <c r="Y91" s="2"/>
      <c r="Z91" s="2"/>
      <c r="AA91" s="2"/>
      <c r="AB91" s="2"/>
    </row>
    <row r="92" ht="12.75" customHeight="1">
      <c r="A92" s="2"/>
      <c r="B92" s="2"/>
      <c r="C92" s="2"/>
      <c r="D92" s="3"/>
      <c r="E92" s="3"/>
      <c r="F92" s="3"/>
      <c r="G92" s="3"/>
      <c r="H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2"/>
      <c r="Y92" s="2"/>
      <c r="Z92" s="2"/>
      <c r="AA92" s="2"/>
      <c r="AB92" s="2"/>
    </row>
    <row r="93" ht="12.75" customHeight="1">
      <c r="A93" s="2"/>
      <c r="B93" s="2"/>
      <c r="C93" s="2"/>
      <c r="D93" s="3"/>
      <c r="E93" s="3"/>
      <c r="F93" s="3"/>
      <c r="G93" s="3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2"/>
      <c r="Y93" s="2"/>
      <c r="Z93" s="2"/>
      <c r="AA93" s="2"/>
      <c r="AB93" s="2"/>
    </row>
    <row r="94" ht="12.75" customHeight="1">
      <c r="A94" s="2"/>
      <c r="B94" s="2"/>
      <c r="C94" s="2"/>
      <c r="D94" s="3"/>
      <c r="E94" s="3"/>
      <c r="F94" s="3"/>
      <c r="G94" s="3"/>
      <c r="H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2"/>
      <c r="Y94" s="2"/>
      <c r="Z94" s="2"/>
      <c r="AA94" s="2"/>
      <c r="AB94" s="2"/>
    </row>
    <row r="95" ht="12.75" customHeight="1">
      <c r="A95" s="2"/>
      <c r="B95" s="2"/>
      <c r="C95" s="2"/>
      <c r="D95" s="3"/>
      <c r="E95" s="3"/>
      <c r="F95" s="3"/>
      <c r="G95" s="3"/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2"/>
      <c r="Y95" s="2"/>
      <c r="Z95" s="2"/>
      <c r="AA95" s="2"/>
      <c r="AB95" s="2"/>
    </row>
    <row r="96" ht="12.75" customHeight="1">
      <c r="A96" s="2"/>
      <c r="B96" s="2"/>
      <c r="C96" s="2"/>
      <c r="D96" s="3"/>
      <c r="E96" s="3"/>
      <c r="F96" s="3"/>
      <c r="G96" s="3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2"/>
      <c r="Y96" s="2"/>
      <c r="Z96" s="2"/>
      <c r="AA96" s="2"/>
      <c r="AB96" s="2"/>
    </row>
    <row r="97" ht="12.75" customHeight="1">
      <c r="A97" s="2"/>
      <c r="B97" s="2"/>
      <c r="C97" s="2"/>
      <c r="D97" s="3"/>
      <c r="E97" s="3"/>
      <c r="F97" s="3"/>
      <c r="G97" s="3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2"/>
      <c r="Y97" s="2"/>
      <c r="Z97" s="2"/>
      <c r="AA97" s="2"/>
      <c r="AB97" s="2"/>
    </row>
    <row r="98" ht="12.75" customHeight="1">
      <c r="A98" s="2"/>
      <c r="B98" s="2"/>
      <c r="C98" s="2"/>
      <c r="D98" s="3"/>
      <c r="E98" s="3"/>
      <c r="F98" s="3"/>
      <c r="G98" s="3"/>
      <c r="H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2"/>
      <c r="Y98" s="2"/>
      <c r="Z98" s="2"/>
      <c r="AA98" s="2"/>
      <c r="AB98" s="2"/>
    </row>
    <row r="99" ht="12.75" customHeight="1">
      <c r="A99" s="2"/>
      <c r="B99" s="2"/>
      <c r="C99" s="2"/>
      <c r="D99" s="3"/>
      <c r="E99" s="3"/>
      <c r="F99" s="3"/>
      <c r="G99" s="3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2"/>
      <c r="Y99" s="2"/>
      <c r="Z99" s="2"/>
      <c r="AA99" s="2"/>
      <c r="AB99" s="2"/>
    </row>
    <row r="100" ht="12.75" customHeight="1">
      <c r="A100" s="2"/>
      <c r="B100" s="2"/>
      <c r="C100" s="2"/>
      <c r="D100" s="3"/>
      <c r="E100" s="3"/>
      <c r="F100" s="3"/>
      <c r="G100" s="3"/>
      <c r="H100" s="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2"/>
      <c r="Y100" s="2"/>
      <c r="Z100" s="2"/>
      <c r="AA100" s="2"/>
      <c r="AB100" s="2"/>
    </row>
    <row r="101" ht="12.75" customHeight="1">
      <c r="A101" s="2"/>
      <c r="B101" s="2"/>
      <c r="C101" s="2"/>
      <c r="D101" s="3"/>
      <c r="E101" s="3"/>
      <c r="F101" s="3"/>
      <c r="G101" s="3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2"/>
      <c r="Y101" s="2"/>
      <c r="Z101" s="2"/>
      <c r="AA101" s="2"/>
      <c r="AB101" s="2"/>
    </row>
    <row r="102" ht="12.75" customHeight="1">
      <c r="A102" s="2"/>
      <c r="B102" s="2"/>
      <c r="C102" s="2"/>
      <c r="D102" s="3"/>
      <c r="E102" s="3"/>
      <c r="F102" s="3"/>
      <c r="G102" s="3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2"/>
      <c r="Y102" s="2"/>
      <c r="Z102" s="2"/>
      <c r="AA102" s="2"/>
      <c r="AB102" s="2"/>
    </row>
    <row r="103" ht="12.75" customHeight="1">
      <c r="A103" s="2"/>
      <c r="B103" s="2"/>
      <c r="C103" s="2"/>
      <c r="D103" s="3"/>
      <c r="E103" s="3"/>
      <c r="F103" s="3"/>
      <c r="G103" s="3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2"/>
      <c r="Y103" s="2"/>
      <c r="Z103" s="2"/>
      <c r="AA103" s="2"/>
      <c r="AB103" s="2"/>
    </row>
    <row r="104" ht="12.75" customHeight="1">
      <c r="A104" s="2"/>
      <c r="B104" s="2"/>
      <c r="C104" s="2"/>
      <c r="D104" s="3"/>
      <c r="E104" s="3"/>
      <c r="F104" s="3"/>
      <c r="G104" s="3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2"/>
      <c r="Y104" s="2"/>
      <c r="Z104" s="2"/>
      <c r="AA104" s="2"/>
      <c r="AB104" s="2"/>
    </row>
    <row r="105" ht="12.75" customHeight="1">
      <c r="A105" s="2"/>
      <c r="B105" s="2"/>
      <c r="C105" s="2"/>
      <c r="D105" s="3"/>
      <c r="E105" s="3"/>
      <c r="F105" s="3"/>
      <c r="G105" s="3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2"/>
      <c r="Y105" s="2"/>
      <c r="Z105" s="2"/>
      <c r="AA105" s="2"/>
      <c r="AB105" s="2"/>
    </row>
    <row r="106" ht="12.75" customHeight="1">
      <c r="A106" s="2"/>
      <c r="B106" s="2"/>
      <c r="C106" s="2"/>
      <c r="D106" s="3"/>
      <c r="E106" s="3"/>
      <c r="F106" s="3"/>
      <c r="G106" s="3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2"/>
      <c r="Y106" s="2"/>
      <c r="Z106" s="2"/>
      <c r="AA106" s="2"/>
      <c r="AB106" s="2"/>
    </row>
    <row r="107" ht="12.75" customHeight="1">
      <c r="A107" s="2"/>
      <c r="B107" s="2"/>
      <c r="C107" s="2"/>
      <c r="D107" s="3"/>
      <c r="E107" s="3"/>
      <c r="F107" s="3"/>
      <c r="G107" s="3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2"/>
      <c r="Y107" s="2"/>
      <c r="Z107" s="2"/>
      <c r="AA107" s="2"/>
      <c r="AB107" s="2"/>
    </row>
    <row r="108" ht="12.75" customHeight="1">
      <c r="A108" s="2"/>
      <c r="B108" s="2"/>
      <c r="C108" s="2"/>
      <c r="D108" s="3"/>
      <c r="E108" s="3"/>
      <c r="F108" s="3"/>
      <c r="G108" s="3"/>
      <c r="H108" s="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2"/>
      <c r="Y108" s="2"/>
      <c r="Z108" s="2"/>
      <c r="AA108" s="2"/>
      <c r="AB108" s="2"/>
    </row>
    <row r="109" ht="12.75" customHeight="1">
      <c r="A109" s="2"/>
      <c r="B109" s="2"/>
      <c r="C109" s="2"/>
      <c r="D109" s="3"/>
      <c r="E109" s="3"/>
      <c r="F109" s="3"/>
      <c r="G109" s="3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2"/>
      <c r="Y109" s="2"/>
      <c r="Z109" s="2"/>
      <c r="AA109" s="2"/>
      <c r="AB109" s="2"/>
    </row>
    <row r="110" ht="12.75" customHeight="1">
      <c r="A110" s="2"/>
      <c r="B110" s="2"/>
      <c r="C110" s="2"/>
      <c r="D110" s="3"/>
      <c r="E110" s="3"/>
      <c r="F110" s="3"/>
      <c r="G110" s="3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2"/>
      <c r="Y110" s="2"/>
      <c r="Z110" s="2"/>
      <c r="AA110" s="2"/>
      <c r="AB110" s="2"/>
    </row>
    <row r="111" ht="12.75" customHeight="1">
      <c r="A111" s="2"/>
      <c r="B111" s="2"/>
      <c r="C111" s="2"/>
      <c r="D111" s="3"/>
      <c r="E111" s="3"/>
      <c r="F111" s="3"/>
      <c r="G111" s="3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2"/>
      <c r="Y111" s="2"/>
      <c r="Z111" s="2"/>
      <c r="AA111" s="2"/>
      <c r="AB111" s="2"/>
    </row>
    <row r="112" ht="12.75" customHeight="1">
      <c r="A112" s="2"/>
      <c r="B112" s="2"/>
      <c r="C112" s="2"/>
      <c r="D112" s="3"/>
      <c r="E112" s="3"/>
      <c r="F112" s="3"/>
      <c r="G112" s="3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2"/>
      <c r="Y112" s="2"/>
      <c r="Z112" s="2"/>
      <c r="AA112" s="2"/>
      <c r="AB112" s="2"/>
    </row>
    <row r="113" ht="12.75" customHeight="1">
      <c r="A113" s="2"/>
      <c r="B113" s="2"/>
      <c r="C113" s="2"/>
      <c r="D113" s="3"/>
      <c r="E113" s="3"/>
      <c r="F113" s="3"/>
      <c r="G113" s="3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2"/>
      <c r="Y113" s="2"/>
      <c r="Z113" s="2"/>
      <c r="AA113" s="2"/>
      <c r="AB113" s="2"/>
    </row>
    <row r="114" ht="12.75" customHeight="1">
      <c r="A114" s="2"/>
      <c r="B114" s="2"/>
      <c r="C114" s="2"/>
      <c r="D114" s="3"/>
      <c r="E114" s="3"/>
      <c r="F114" s="3"/>
      <c r="G114" s="3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2"/>
      <c r="Y114" s="2"/>
      <c r="Z114" s="2"/>
      <c r="AA114" s="2"/>
      <c r="AB114" s="2"/>
    </row>
    <row r="115" ht="12.75" customHeight="1">
      <c r="A115" s="2"/>
      <c r="B115" s="2"/>
      <c r="C115" s="2"/>
      <c r="D115" s="3"/>
      <c r="E115" s="3"/>
      <c r="F115" s="3"/>
      <c r="G115" s="3"/>
      <c r="H115" s="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2"/>
      <c r="Y115" s="2"/>
      <c r="Z115" s="2"/>
      <c r="AA115" s="2"/>
      <c r="AB115" s="2"/>
    </row>
    <row r="116" ht="12.75" customHeight="1">
      <c r="A116" s="2"/>
      <c r="B116" s="2"/>
      <c r="C116" s="2"/>
      <c r="D116" s="3"/>
      <c r="E116" s="3"/>
      <c r="F116" s="3"/>
      <c r="G116" s="3"/>
      <c r="H116" s="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2"/>
      <c r="Y116" s="2"/>
      <c r="Z116" s="2"/>
      <c r="AA116" s="2"/>
      <c r="AB116" s="2"/>
    </row>
    <row r="117" ht="12.75" customHeight="1">
      <c r="A117" s="2"/>
      <c r="B117" s="2"/>
      <c r="C117" s="2"/>
      <c r="D117" s="3"/>
      <c r="E117" s="3"/>
      <c r="F117" s="3"/>
      <c r="G117" s="3"/>
      <c r="H117" s="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2"/>
      <c r="Y117" s="2"/>
      <c r="Z117" s="2"/>
      <c r="AA117" s="2"/>
      <c r="AB117" s="2"/>
    </row>
    <row r="118" ht="12.75" customHeight="1">
      <c r="A118" s="2"/>
      <c r="B118" s="2"/>
      <c r="C118" s="2"/>
      <c r="D118" s="3"/>
      <c r="E118" s="3"/>
      <c r="F118" s="3"/>
      <c r="G118" s="3"/>
      <c r="H118" s="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2"/>
      <c r="Y118" s="2"/>
      <c r="Z118" s="2"/>
      <c r="AA118" s="2"/>
      <c r="AB118" s="2"/>
    </row>
    <row r="119" ht="12.75" customHeight="1">
      <c r="A119" s="2"/>
      <c r="B119" s="2"/>
      <c r="C119" s="2"/>
      <c r="D119" s="3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2"/>
      <c r="Y119" s="2"/>
      <c r="Z119" s="2"/>
      <c r="AA119" s="2"/>
      <c r="AB119" s="2"/>
    </row>
    <row r="120" ht="12.75" customHeight="1">
      <c r="A120" s="2"/>
      <c r="B120" s="2"/>
      <c r="C120" s="2"/>
      <c r="D120" s="3"/>
      <c r="E120" s="3"/>
      <c r="F120" s="3"/>
      <c r="G120" s="3"/>
      <c r="H120" s="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2"/>
      <c r="Y120" s="2"/>
      <c r="Z120" s="2"/>
      <c r="AA120" s="2"/>
      <c r="AB120" s="2"/>
    </row>
    <row r="121" ht="12.75" customHeight="1">
      <c r="A121" s="2"/>
      <c r="B121" s="2"/>
      <c r="C121" s="2"/>
      <c r="D121" s="3"/>
      <c r="E121" s="3"/>
      <c r="F121" s="3"/>
      <c r="G121" s="3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2"/>
      <c r="Y121" s="2"/>
      <c r="Z121" s="2"/>
      <c r="AA121" s="2"/>
      <c r="AB121" s="2"/>
    </row>
    <row r="122" ht="12.75" customHeight="1">
      <c r="A122" s="2"/>
      <c r="B122" s="2"/>
      <c r="C122" s="2"/>
      <c r="D122" s="3"/>
      <c r="E122" s="3"/>
      <c r="F122" s="3"/>
      <c r="G122" s="3"/>
      <c r="H122" s="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2"/>
      <c r="Y122" s="2"/>
      <c r="Z122" s="2"/>
      <c r="AA122" s="2"/>
      <c r="AB122" s="2"/>
    </row>
    <row r="123" ht="12.75" customHeight="1">
      <c r="A123" s="2"/>
      <c r="B123" s="2"/>
      <c r="C123" s="2"/>
      <c r="D123" s="3"/>
      <c r="E123" s="3"/>
      <c r="F123" s="3"/>
      <c r="G123" s="3"/>
      <c r="H123" s="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2"/>
      <c r="Y123" s="2"/>
      <c r="Z123" s="2"/>
      <c r="AA123" s="2"/>
      <c r="AB123" s="2"/>
    </row>
    <row r="124" ht="12.75" customHeight="1">
      <c r="A124" s="2"/>
      <c r="B124" s="2"/>
      <c r="C124" s="2"/>
      <c r="D124" s="3"/>
      <c r="E124" s="3"/>
      <c r="F124" s="3"/>
      <c r="G124" s="3"/>
      <c r="H124" s="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2"/>
      <c r="Y124" s="2"/>
      <c r="Z124" s="2"/>
      <c r="AA124" s="2"/>
      <c r="AB124" s="2"/>
    </row>
    <row r="125" ht="12.75" customHeight="1">
      <c r="A125" s="2"/>
      <c r="B125" s="2"/>
      <c r="C125" s="2"/>
      <c r="D125" s="3"/>
      <c r="E125" s="3"/>
      <c r="F125" s="3"/>
      <c r="G125" s="3"/>
      <c r="H125" s="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2"/>
      <c r="Y125" s="2"/>
      <c r="Z125" s="2"/>
      <c r="AA125" s="2"/>
      <c r="AB125" s="2"/>
    </row>
    <row r="126" ht="12.75" customHeight="1">
      <c r="A126" s="2"/>
      <c r="B126" s="2"/>
      <c r="C126" s="2"/>
      <c r="D126" s="3"/>
      <c r="E126" s="3"/>
      <c r="F126" s="3"/>
      <c r="G126" s="3"/>
      <c r="H126" s="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2"/>
      <c r="Y126" s="2"/>
      <c r="Z126" s="2"/>
      <c r="AA126" s="2"/>
      <c r="AB126" s="2"/>
    </row>
    <row r="127" ht="12.75" customHeight="1">
      <c r="A127" s="2"/>
      <c r="B127" s="2"/>
      <c r="C127" s="2"/>
      <c r="D127" s="3"/>
      <c r="E127" s="3"/>
      <c r="F127" s="3"/>
      <c r="G127" s="3"/>
      <c r="H127" s="4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2"/>
      <c r="Y127" s="2"/>
      <c r="Z127" s="2"/>
      <c r="AA127" s="2"/>
      <c r="AB127" s="2"/>
    </row>
    <row r="128" ht="12.75" customHeight="1">
      <c r="A128" s="2"/>
      <c r="B128" s="2"/>
      <c r="C128" s="2"/>
      <c r="D128" s="3"/>
      <c r="E128" s="3"/>
      <c r="F128" s="3"/>
      <c r="G128" s="3"/>
      <c r="H128" s="4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2"/>
      <c r="Y128" s="2"/>
      <c r="Z128" s="2"/>
      <c r="AA128" s="2"/>
      <c r="AB128" s="2"/>
    </row>
    <row r="129" ht="12.75" customHeight="1">
      <c r="A129" s="2"/>
      <c r="B129" s="2"/>
      <c r="C129" s="2"/>
      <c r="D129" s="3"/>
      <c r="E129" s="3"/>
      <c r="F129" s="3"/>
      <c r="G129" s="3"/>
      <c r="H129" s="4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2"/>
      <c r="Y129" s="2"/>
      <c r="Z129" s="2"/>
      <c r="AA129" s="2"/>
      <c r="AB129" s="2"/>
    </row>
    <row r="130" ht="12.75" customHeight="1">
      <c r="A130" s="2"/>
      <c r="B130" s="2"/>
      <c r="C130" s="2"/>
      <c r="D130" s="3"/>
      <c r="E130" s="3"/>
      <c r="F130" s="3"/>
      <c r="G130" s="3"/>
      <c r="H130" s="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2"/>
      <c r="Y130" s="2"/>
      <c r="Z130" s="2"/>
      <c r="AA130" s="2"/>
      <c r="AB130" s="2"/>
    </row>
    <row r="131" ht="12.75" customHeight="1">
      <c r="A131" s="2"/>
      <c r="B131" s="2"/>
      <c r="C131" s="2"/>
      <c r="D131" s="3"/>
      <c r="E131" s="3"/>
      <c r="F131" s="3"/>
      <c r="G131" s="3"/>
      <c r="H131" s="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2"/>
      <c r="Y131" s="2"/>
      <c r="Z131" s="2"/>
      <c r="AA131" s="2"/>
      <c r="AB131" s="2"/>
    </row>
    <row r="132" ht="12.75" customHeight="1">
      <c r="A132" s="2"/>
      <c r="B132" s="2"/>
      <c r="C132" s="2"/>
      <c r="D132" s="3"/>
      <c r="E132" s="3"/>
      <c r="F132" s="3"/>
      <c r="G132" s="3"/>
      <c r="H132" s="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2"/>
      <c r="Y132" s="2"/>
      <c r="Z132" s="2"/>
      <c r="AA132" s="2"/>
      <c r="AB132" s="2"/>
    </row>
    <row r="133" ht="12.75" customHeight="1">
      <c r="A133" s="2"/>
      <c r="B133" s="2"/>
      <c r="C133" s="2"/>
      <c r="D133" s="3"/>
      <c r="E133" s="3"/>
      <c r="F133" s="3"/>
      <c r="G133" s="3"/>
      <c r="H133" s="4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2"/>
      <c r="Y133" s="2"/>
      <c r="Z133" s="2"/>
      <c r="AA133" s="2"/>
      <c r="AB133" s="2"/>
    </row>
    <row r="134" ht="12.75" customHeight="1">
      <c r="A134" s="2"/>
      <c r="B134" s="2"/>
      <c r="C134" s="2"/>
      <c r="D134" s="3"/>
      <c r="E134" s="3"/>
      <c r="F134" s="3"/>
      <c r="G134" s="3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2"/>
      <c r="Y134" s="2"/>
      <c r="Z134" s="2"/>
      <c r="AA134" s="2"/>
      <c r="AB134" s="2"/>
    </row>
    <row r="135" ht="12.75" customHeight="1">
      <c r="A135" s="2"/>
      <c r="B135" s="2"/>
      <c r="C135" s="2"/>
      <c r="D135" s="3"/>
      <c r="E135" s="3"/>
      <c r="F135" s="3"/>
      <c r="G135" s="3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2"/>
      <c r="Y135" s="2"/>
      <c r="Z135" s="2"/>
      <c r="AA135" s="2"/>
      <c r="AB135" s="2"/>
    </row>
    <row r="136" ht="12.75" customHeight="1">
      <c r="A136" s="2"/>
      <c r="B136" s="2"/>
      <c r="C136" s="2"/>
      <c r="D136" s="3"/>
      <c r="E136" s="3"/>
      <c r="F136" s="3"/>
      <c r="G136" s="3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2"/>
      <c r="Y136" s="2"/>
      <c r="Z136" s="2"/>
      <c r="AA136" s="2"/>
      <c r="AB136" s="2"/>
    </row>
    <row r="137" ht="12.75" customHeight="1">
      <c r="A137" s="2"/>
      <c r="B137" s="2"/>
      <c r="C137" s="2"/>
      <c r="D137" s="3"/>
      <c r="E137" s="3"/>
      <c r="F137" s="3"/>
      <c r="G137" s="3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2"/>
      <c r="Y137" s="2"/>
      <c r="Z137" s="2"/>
      <c r="AA137" s="2"/>
      <c r="AB137" s="2"/>
    </row>
    <row r="138" ht="12.75" customHeight="1">
      <c r="A138" s="2"/>
      <c r="B138" s="2"/>
      <c r="C138" s="2"/>
      <c r="D138" s="3"/>
      <c r="E138" s="3"/>
      <c r="F138" s="3"/>
      <c r="G138" s="3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2"/>
      <c r="Y138" s="2"/>
      <c r="Z138" s="2"/>
      <c r="AA138" s="2"/>
      <c r="AB138" s="2"/>
    </row>
    <row r="139" ht="12.75" customHeight="1">
      <c r="A139" s="2"/>
      <c r="B139" s="2"/>
      <c r="C139" s="2"/>
      <c r="D139" s="3"/>
      <c r="E139" s="3"/>
      <c r="F139" s="3"/>
      <c r="G139" s="3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2"/>
      <c r="Y139" s="2"/>
      <c r="Z139" s="2"/>
      <c r="AA139" s="2"/>
      <c r="AB139" s="2"/>
    </row>
    <row r="140" ht="12.75" customHeight="1">
      <c r="A140" s="2"/>
      <c r="B140" s="2"/>
      <c r="C140" s="2"/>
      <c r="D140" s="3"/>
      <c r="E140" s="3"/>
      <c r="F140" s="3"/>
      <c r="G140" s="3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2"/>
      <c r="Y140" s="2"/>
      <c r="Z140" s="2"/>
      <c r="AA140" s="2"/>
      <c r="AB140" s="2"/>
    </row>
    <row r="141" ht="12.75" customHeight="1">
      <c r="A141" s="2"/>
      <c r="B141" s="2"/>
      <c r="C141" s="2"/>
      <c r="D141" s="3"/>
      <c r="E141" s="3"/>
      <c r="F141" s="3"/>
      <c r="G141" s="3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2"/>
      <c r="Y141" s="2"/>
      <c r="Z141" s="2"/>
      <c r="AA141" s="2"/>
      <c r="AB141" s="2"/>
    </row>
    <row r="142" ht="12.75" customHeight="1">
      <c r="A142" s="2"/>
      <c r="B142" s="2"/>
      <c r="C142" s="2"/>
      <c r="D142" s="3"/>
      <c r="E142" s="3"/>
      <c r="F142" s="3"/>
      <c r="G142" s="3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2"/>
      <c r="Y142" s="2"/>
      <c r="Z142" s="2"/>
      <c r="AA142" s="2"/>
      <c r="AB142" s="2"/>
    </row>
    <row r="143" ht="12.75" customHeight="1">
      <c r="A143" s="2"/>
      <c r="B143" s="2"/>
      <c r="C143" s="2"/>
      <c r="D143" s="3"/>
      <c r="E143" s="3"/>
      <c r="F143" s="3"/>
      <c r="G143" s="3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2"/>
      <c r="Y143" s="2"/>
      <c r="Z143" s="2"/>
      <c r="AA143" s="2"/>
      <c r="AB143" s="2"/>
    </row>
    <row r="144" ht="12.75" customHeight="1">
      <c r="A144" s="2"/>
      <c r="B144" s="2"/>
      <c r="C144" s="2"/>
      <c r="D144" s="3"/>
      <c r="E144" s="3"/>
      <c r="F144" s="3"/>
      <c r="G144" s="3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2"/>
      <c r="Y144" s="2"/>
      <c r="Z144" s="2"/>
      <c r="AA144" s="2"/>
      <c r="AB144" s="2"/>
    </row>
    <row r="145" ht="12.75" customHeight="1">
      <c r="A145" s="2"/>
      <c r="B145" s="2"/>
      <c r="C145" s="2"/>
      <c r="D145" s="3"/>
      <c r="E145" s="3"/>
      <c r="F145" s="3"/>
      <c r="G145" s="3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2"/>
      <c r="Y145" s="2"/>
      <c r="Z145" s="2"/>
      <c r="AA145" s="2"/>
      <c r="AB145" s="2"/>
    </row>
    <row r="146" ht="12.75" customHeight="1">
      <c r="A146" s="2"/>
      <c r="B146" s="2"/>
      <c r="C146" s="2"/>
      <c r="D146" s="3"/>
      <c r="E146" s="3"/>
      <c r="F146" s="3"/>
      <c r="G146" s="3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2"/>
      <c r="Y146" s="2"/>
      <c r="Z146" s="2"/>
      <c r="AA146" s="2"/>
      <c r="AB146" s="2"/>
    </row>
    <row r="147" ht="12.75" customHeight="1">
      <c r="A147" s="2"/>
      <c r="B147" s="2"/>
      <c r="C147" s="2"/>
      <c r="D147" s="3"/>
      <c r="E147" s="3"/>
      <c r="F147" s="3"/>
      <c r="G147" s="3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2"/>
      <c r="Y147" s="2"/>
      <c r="Z147" s="2"/>
      <c r="AA147" s="2"/>
      <c r="AB147" s="2"/>
    </row>
    <row r="148" ht="12.75" customHeight="1">
      <c r="A148" s="2"/>
      <c r="B148" s="2"/>
      <c r="C148" s="2"/>
      <c r="D148" s="3"/>
      <c r="E148" s="3"/>
      <c r="F148" s="3"/>
      <c r="G148" s="3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2"/>
      <c r="Y148" s="2"/>
      <c r="Z148" s="2"/>
      <c r="AA148" s="2"/>
      <c r="AB148" s="2"/>
    </row>
    <row r="149" ht="12.75" customHeight="1">
      <c r="A149" s="2"/>
      <c r="B149" s="2"/>
      <c r="C149" s="2"/>
      <c r="D149" s="3"/>
      <c r="E149" s="3"/>
      <c r="F149" s="3"/>
      <c r="G149" s="3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2"/>
      <c r="Y149" s="2"/>
      <c r="Z149" s="2"/>
      <c r="AA149" s="2"/>
      <c r="AB149" s="2"/>
    </row>
    <row r="150" ht="12.75" customHeight="1">
      <c r="A150" s="2"/>
      <c r="B150" s="2"/>
      <c r="C150" s="2"/>
      <c r="D150" s="3"/>
      <c r="E150" s="3"/>
      <c r="F150" s="3"/>
      <c r="G150" s="3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2"/>
      <c r="Y150" s="2"/>
      <c r="Z150" s="2"/>
      <c r="AA150" s="2"/>
      <c r="AB150" s="2"/>
    </row>
    <row r="151" ht="12.75" customHeight="1">
      <c r="A151" s="2"/>
      <c r="B151" s="2"/>
      <c r="C151" s="2"/>
      <c r="D151" s="3"/>
      <c r="E151" s="3"/>
      <c r="F151" s="3"/>
      <c r="G151" s="3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2"/>
      <c r="Y151" s="2"/>
      <c r="Z151" s="2"/>
      <c r="AA151" s="2"/>
      <c r="AB151" s="2"/>
    </row>
    <row r="152" ht="12.75" customHeight="1">
      <c r="A152" s="2"/>
      <c r="B152" s="2"/>
      <c r="C152" s="2"/>
      <c r="D152" s="3"/>
      <c r="E152" s="3"/>
      <c r="F152" s="3"/>
      <c r="G152" s="3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2"/>
      <c r="Y152" s="2"/>
      <c r="Z152" s="2"/>
      <c r="AA152" s="2"/>
      <c r="AB152" s="2"/>
    </row>
    <row r="153" ht="12.75" customHeight="1">
      <c r="A153" s="2"/>
      <c r="B153" s="2"/>
      <c r="C153" s="2"/>
      <c r="D153" s="3"/>
      <c r="E153" s="3"/>
      <c r="F153" s="3"/>
      <c r="G153" s="3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2"/>
      <c r="Y153" s="2"/>
      <c r="Z153" s="2"/>
      <c r="AA153" s="2"/>
      <c r="AB153" s="2"/>
    </row>
    <row r="154" ht="12.75" customHeight="1">
      <c r="A154" s="2"/>
      <c r="B154" s="2"/>
      <c r="C154" s="2"/>
      <c r="D154" s="3"/>
      <c r="E154" s="3"/>
      <c r="F154" s="3"/>
      <c r="G154" s="3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2"/>
      <c r="Y154" s="2"/>
      <c r="Z154" s="2"/>
      <c r="AA154" s="2"/>
      <c r="AB154" s="2"/>
    </row>
    <row r="155" ht="12.75" customHeight="1">
      <c r="A155" s="2"/>
      <c r="B155" s="2"/>
      <c r="C155" s="2"/>
      <c r="D155" s="3"/>
      <c r="E155" s="3"/>
      <c r="F155" s="3"/>
      <c r="G155" s="3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2"/>
      <c r="Y155" s="2"/>
      <c r="Z155" s="2"/>
      <c r="AA155" s="2"/>
      <c r="AB155" s="2"/>
    </row>
    <row r="156" ht="12.75" customHeight="1">
      <c r="A156" s="2"/>
      <c r="B156" s="2"/>
      <c r="C156" s="2"/>
      <c r="D156" s="3"/>
      <c r="E156" s="3"/>
      <c r="F156" s="3"/>
      <c r="G156" s="3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2"/>
      <c r="Y156" s="2"/>
      <c r="Z156" s="2"/>
      <c r="AA156" s="2"/>
      <c r="AB156" s="2"/>
    </row>
    <row r="157" ht="12.75" customHeight="1">
      <c r="A157" s="2"/>
      <c r="B157" s="2"/>
      <c r="C157" s="2"/>
      <c r="D157" s="3"/>
      <c r="E157" s="3"/>
      <c r="F157" s="3"/>
      <c r="G157" s="3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2"/>
      <c r="Y157" s="2"/>
      <c r="Z157" s="2"/>
      <c r="AA157" s="2"/>
      <c r="AB157" s="2"/>
    </row>
    <row r="158" ht="12.75" customHeight="1">
      <c r="A158" s="2"/>
      <c r="B158" s="2"/>
      <c r="C158" s="2"/>
      <c r="D158" s="3"/>
      <c r="E158" s="3"/>
      <c r="F158" s="3"/>
      <c r="G158" s="3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2"/>
      <c r="Y158" s="2"/>
      <c r="Z158" s="2"/>
      <c r="AA158" s="2"/>
      <c r="AB158" s="2"/>
    </row>
    <row r="159" ht="12.75" customHeight="1">
      <c r="A159" s="2"/>
      <c r="B159" s="2"/>
      <c r="C159" s="2"/>
      <c r="D159" s="3"/>
      <c r="E159" s="3"/>
      <c r="F159" s="3"/>
      <c r="G159" s="3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2"/>
      <c r="Y159" s="2"/>
      <c r="Z159" s="2"/>
      <c r="AA159" s="2"/>
      <c r="AB159" s="2"/>
    </row>
    <row r="160" ht="12.75" customHeight="1">
      <c r="A160" s="2"/>
      <c r="B160" s="2"/>
      <c r="C160" s="2"/>
      <c r="D160" s="3"/>
      <c r="E160" s="3"/>
      <c r="F160" s="3"/>
      <c r="G160" s="3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2"/>
      <c r="Y160" s="2"/>
      <c r="Z160" s="2"/>
      <c r="AA160" s="2"/>
      <c r="AB160" s="2"/>
    </row>
    <row r="161" ht="12.75" customHeight="1">
      <c r="A161" s="2"/>
      <c r="B161" s="2"/>
      <c r="C161" s="2"/>
      <c r="D161" s="3"/>
      <c r="E161" s="3"/>
      <c r="F161" s="3"/>
      <c r="G161" s="3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2"/>
      <c r="Y161" s="2"/>
      <c r="Z161" s="2"/>
      <c r="AA161" s="2"/>
      <c r="AB161" s="2"/>
    </row>
    <row r="162" ht="12.75" customHeight="1">
      <c r="A162" s="2"/>
      <c r="B162" s="2"/>
      <c r="C162" s="2"/>
      <c r="D162" s="3"/>
      <c r="E162" s="3"/>
      <c r="F162" s="3"/>
      <c r="G162" s="3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2"/>
      <c r="Y162" s="2"/>
      <c r="Z162" s="2"/>
      <c r="AA162" s="2"/>
      <c r="AB162" s="2"/>
    </row>
    <row r="163" ht="12.75" customHeight="1">
      <c r="A163" s="2"/>
      <c r="B163" s="2"/>
      <c r="C163" s="2"/>
      <c r="D163" s="3"/>
      <c r="E163" s="3"/>
      <c r="F163" s="3"/>
      <c r="G163" s="3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2"/>
      <c r="Y163" s="2"/>
      <c r="Z163" s="2"/>
      <c r="AA163" s="2"/>
      <c r="AB163" s="2"/>
    </row>
    <row r="164" ht="12.75" customHeight="1">
      <c r="A164" s="2"/>
      <c r="B164" s="2"/>
      <c r="C164" s="2"/>
      <c r="D164" s="3"/>
      <c r="E164" s="3"/>
      <c r="F164" s="3"/>
      <c r="G164" s="3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2"/>
      <c r="Y164" s="2"/>
      <c r="Z164" s="2"/>
      <c r="AA164" s="2"/>
      <c r="AB164" s="2"/>
    </row>
    <row r="165" ht="12.75" customHeight="1">
      <c r="A165" s="2"/>
      <c r="B165" s="2"/>
      <c r="C165" s="2"/>
      <c r="D165" s="3"/>
      <c r="E165" s="3"/>
      <c r="F165" s="3"/>
      <c r="G165" s="3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2"/>
      <c r="Y165" s="2"/>
      <c r="Z165" s="2"/>
      <c r="AA165" s="2"/>
      <c r="AB165" s="2"/>
    </row>
    <row r="166" ht="12.75" customHeight="1">
      <c r="A166" s="2"/>
      <c r="B166" s="2"/>
      <c r="C166" s="2"/>
      <c r="D166" s="3"/>
      <c r="E166" s="3"/>
      <c r="F166" s="3"/>
      <c r="G166" s="3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2"/>
      <c r="Y166" s="2"/>
      <c r="Z166" s="2"/>
      <c r="AA166" s="2"/>
      <c r="AB166" s="2"/>
    </row>
    <row r="167" ht="12.75" customHeight="1">
      <c r="A167" s="2"/>
      <c r="B167" s="2"/>
      <c r="C167" s="2"/>
      <c r="D167" s="3"/>
      <c r="E167" s="3"/>
      <c r="F167" s="3"/>
      <c r="G167" s="3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2"/>
      <c r="Y167" s="2"/>
      <c r="Z167" s="2"/>
      <c r="AA167" s="2"/>
      <c r="AB167" s="2"/>
    </row>
    <row r="168" ht="12.75" customHeight="1">
      <c r="A168" s="2"/>
      <c r="B168" s="2"/>
      <c r="C168" s="2"/>
      <c r="D168" s="3"/>
      <c r="E168" s="3"/>
      <c r="F168" s="3"/>
      <c r="G168" s="3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2"/>
      <c r="Y168" s="2"/>
      <c r="Z168" s="2"/>
      <c r="AA168" s="2"/>
      <c r="AB168" s="2"/>
    </row>
    <row r="169" ht="12.75" customHeight="1">
      <c r="A169" s="2"/>
      <c r="B169" s="2"/>
      <c r="C169" s="2"/>
      <c r="D169" s="3"/>
      <c r="E169" s="3"/>
      <c r="F169" s="3"/>
      <c r="G169" s="3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2"/>
      <c r="Y169" s="2"/>
      <c r="Z169" s="2"/>
      <c r="AA169" s="2"/>
      <c r="AB169" s="2"/>
    </row>
    <row r="170" ht="12.75" customHeight="1">
      <c r="A170" s="2"/>
      <c r="B170" s="2"/>
      <c r="C170" s="2"/>
      <c r="D170" s="3"/>
      <c r="E170" s="3"/>
      <c r="F170" s="3"/>
      <c r="G170" s="3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2"/>
      <c r="Y170" s="2"/>
      <c r="Z170" s="2"/>
      <c r="AA170" s="2"/>
      <c r="AB170" s="2"/>
    </row>
    <row r="171" ht="12.75" customHeight="1">
      <c r="A171" s="2"/>
      <c r="B171" s="2"/>
      <c r="C171" s="2"/>
      <c r="D171" s="3"/>
      <c r="E171" s="3"/>
      <c r="F171" s="3"/>
      <c r="G171" s="3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2"/>
      <c r="Y171" s="2"/>
      <c r="Z171" s="2"/>
      <c r="AA171" s="2"/>
      <c r="AB171" s="2"/>
    </row>
    <row r="172" ht="12.75" customHeight="1">
      <c r="A172" s="2"/>
      <c r="B172" s="2"/>
      <c r="C172" s="2"/>
      <c r="D172" s="3"/>
      <c r="E172" s="3"/>
      <c r="F172" s="3"/>
      <c r="G172" s="3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"/>
      <c r="Y172" s="2"/>
      <c r="Z172" s="2"/>
      <c r="AA172" s="2"/>
      <c r="AB172" s="2"/>
    </row>
    <row r="173" ht="12.75" customHeight="1">
      <c r="A173" s="2"/>
      <c r="B173" s="2"/>
      <c r="C173" s="2"/>
      <c r="D173" s="3"/>
      <c r="E173" s="3"/>
      <c r="F173" s="3"/>
      <c r="G173" s="3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"/>
      <c r="Y173" s="2"/>
      <c r="Z173" s="2"/>
      <c r="AA173" s="2"/>
      <c r="AB173" s="2"/>
    </row>
    <row r="174" ht="12.75" customHeight="1">
      <c r="A174" s="2"/>
      <c r="B174" s="2"/>
      <c r="C174" s="2"/>
      <c r="D174" s="3"/>
      <c r="E174" s="3"/>
      <c r="F174" s="3"/>
      <c r="G174" s="3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"/>
      <c r="Y174" s="2"/>
      <c r="Z174" s="2"/>
      <c r="AA174" s="2"/>
      <c r="AB174" s="2"/>
    </row>
    <row r="175" ht="12.75" customHeight="1">
      <c r="A175" s="2"/>
      <c r="B175" s="2"/>
      <c r="C175" s="2"/>
      <c r="D175" s="3"/>
      <c r="E175" s="3"/>
      <c r="F175" s="3"/>
      <c r="G175" s="3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"/>
      <c r="Y175" s="2"/>
      <c r="Z175" s="2"/>
      <c r="AA175" s="2"/>
      <c r="AB175" s="2"/>
    </row>
    <row r="176" ht="12.75" customHeight="1">
      <c r="A176" s="2"/>
      <c r="B176" s="2"/>
      <c r="C176" s="2"/>
      <c r="D176" s="3"/>
      <c r="E176" s="3"/>
      <c r="F176" s="3"/>
      <c r="G176" s="3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"/>
      <c r="Y176" s="2"/>
      <c r="Z176" s="2"/>
      <c r="AA176" s="2"/>
      <c r="AB176" s="2"/>
    </row>
    <row r="177" ht="12.75" customHeight="1">
      <c r="A177" s="2"/>
      <c r="B177" s="2"/>
      <c r="C177" s="2"/>
      <c r="D177" s="3"/>
      <c r="E177" s="3"/>
      <c r="F177" s="3"/>
      <c r="G177" s="3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"/>
      <c r="Y177" s="2"/>
      <c r="Z177" s="2"/>
      <c r="AA177" s="2"/>
      <c r="AB177" s="2"/>
    </row>
    <row r="178" ht="12.75" customHeight="1">
      <c r="A178" s="2"/>
      <c r="B178" s="2"/>
      <c r="C178" s="2"/>
      <c r="D178" s="3"/>
      <c r="E178" s="3"/>
      <c r="F178" s="3"/>
      <c r="G178" s="3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2"/>
      <c r="Y178" s="2"/>
      <c r="Z178" s="2"/>
      <c r="AA178" s="2"/>
      <c r="AB178" s="2"/>
    </row>
    <row r="179" ht="12.75" customHeight="1">
      <c r="A179" s="2"/>
      <c r="B179" s="2"/>
      <c r="C179" s="2"/>
      <c r="D179" s="3"/>
      <c r="E179" s="3"/>
      <c r="F179" s="3"/>
      <c r="G179" s="3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2"/>
      <c r="Y179" s="2"/>
      <c r="Z179" s="2"/>
      <c r="AA179" s="2"/>
      <c r="AB179" s="2"/>
    </row>
    <row r="180" ht="12.75" customHeight="1">
      <c r="A180" s="2"/>
      <c r="B180" s="2"/>
      <c r="C180" s="2"/>
      <c r="D180" s="3"/>
      <c r="E180" s="3"/>
      <c r="F180" s="3"/>
      <c r="G180" s="3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2"/>
      <c r="Y180" s="2"/>
      <c r="Z180" s="2"/>
      <c r="AA180" s="2"/>
      <c r="AB180" s="2"/>
    </row>
    <row r="181" ht="12.75" customHeight="1">
      <c r="A181" s="2"/>
      <c r="B181" s="2"/>
      <c r="C181" s="2"/>
      <c r="D181" s="3"/>
      <c r="E181" s="3"/>
      <c r="F181" s="3"/>
      <c r="G181" s="3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2"/>
      <c r="Y181" s="2"/>
      <c r="Z181" s="2"/>
      <c r="AA181" s="2"/>
      <c r="AB181" s="2"/>
    </row>
    <row r="182" ht="12.75" customHeight="1">
      <c r="A182" s="2"/>
      <c r="B182" s="2"/>
      <c r="C182" s="2"/>
      <c r="D182" s="3"/>
      <c r="E182" s="3"/>
      <c r="F182" s="3"/>
      <c r="G182" s="3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2"/>
      <c r="Y182" s="2"/>
      <c r="Z182" s="2"/>
      <c r="AA182" s="2"/>
      <c r="AB182" s="2"/>
    </row>
    <row r="183" ht="12.75" customHeight="1">
      <c r="A183" s="2"/>
      <c r="B183" s="2"/>
      <c r="C183" s="2"/>
      <c r="D183" s="3"/>
      <c r="E183" s="3"/>
      <c r="F183" s="3"/>
      <c r="G183" s="3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2"/>
      <c r="Y183" s="2"/>
      <c r="Z183" s="2"/>
      <c r="AA183" s="2"/>
      <c r="AB183" s="2"/>
    </row>
    <row r="184" ht="12.75" customHeight="1">
      <c r="A184" s="2"/>
      <c r="B184" s="2"/>
      <c r="C184" s="2"/>
      <c r="D184" s="3"/>
      <c r="E184" s="3"/>
      <c r="F184" s="3"/>
      <c r="G184" s="3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2"/>
      <c r="Y184" s="2"/>
      <c r="Z184" s="2"/>
      <c r="AA184" s="2"/>
      <c r="AB184" s="2"/>
    </row>
    <row r="185" ht="12.75" customHeight="1">
      <c r="A185" s="2"/>
      <c r="B185" s="2"/>
      <c r="C185" s="2"/>
      <c r="D185" s="3"/>
      <c r="E185" s="3"/>
      <c r="F185" s="3"/>
      <c r="G185" s="3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2"/>
      <c r="Y185" s="2"/>
      <c r="Z185" s="2"/>
      <c r="AA185" s="2"/>
      <c r="AB185" s="2"/>
    </row>
    <row r="186" ht="12.75" customHeight="1">
      <c r="A186" s="2"/>
      <c r="B186" s="2"/>
      <c r="C186" s="2"/>
      <c r="D186" s="3"/>
      <c r="E186" s="3"/>
      <c r="F186" s="3"/>
      <c r="G186" s="3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2"/>
      <c r="Y186" s="2"/>
      <c r="Z186" s="2"/>
      <c r="AA186" s="2"/>
      <c r="AB186" s="2"/>
    </row>
    <row r="187" ht="12.75" customHeight="1">
      <c r="A187" s="2"/>
      <c r="B187" s="2"/>
      <c r="C187" s="2"/>
      <c r="D187" s="3"/>
      <c r="E187" s="3"/>
      <c r="F187" s="3"/>
      <c r="G187" s="3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2"/>
      <c r="Y187" s="2"/>
      <c r="Z187" s="2"/>
      <c r="AA187" s="2"/>
      <c r="AB187" s="2"/>
    </row>
    <row r="188" ht="12.75" customHeight="1">
      <c r="A188" s="2"/>
      <c r="B188" s="2"/>
      <c r="C188" s="2"/>
      <c r="D188" s="3"/>
      <c r="E188" s="3"/>
      <c r="F188" s="3"/>
      <c r="G188" s="3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2"/>
      <c r="Y188" s="2"/>
      <c r="Z188" s="2"/>
      <c r="AA188" s="2"/>
      <c r="AB188" s="2"/>
    </row>
    <row r="189" ht="12.75" customHeight="1">
      <c r="A189" s="2"/>
      <c r="B189" s="2"/>
      <c r="C189" s="2"/>
      <c r="D189" s="3"/>
      <c r="E189" s="3"/>
      <c r="F189" s="3"/>
      <c r="G189" s="3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2"/>
      <c r="Y189" s="2"/>
      <c r="Z189" s="2"/>
      <c r="AA189" s="2"/>
      <c r="AB189" s="2"/>
    </row>
    <row r="190" ht="12.75" customHeight="1">
      <c r="A190" s="2"/>
      <c r="B190" s="2"/>
      <c r="C190" s="2"/>
      <c r="D190" s="3"/>
      <c r="E190" s="3"/>
      <c r="F190" s="3"/>
      <c r="G190" s="3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2"/>
      <c r="Y190" s="2"/>
      <c r="Z190" s="2"/>
      <c r="AA190" s="2"/>
      <c r="AB190" s="2"/>
    </row>
    <row r="191" ht="12.75" customHeight="1">
      <c r="A191" s="2"/>
      <c r="B191" s="2"/>
      <c r="C191" s="2"/>
      <c r="D191" s="3"/>
      <c r="E191" s="3"/>
      <c r="F191" s="3"/>
      <c r="G191" s="3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2"/>
      <c r="Y191" s="2"/>
      <c r="Z191" s="2"/>
      <c r="AA191" s="2"/>
      <c r="AB191" s="2"/>
    </row>
    <row r="192" ht="12.75" customHeight="1">
      <c r="A192" s="2"/>
      <c r="B192" s="2"/>
      <c r="C192" s="2"/>
      <c r="D192" s="3"/>
      <c r="E192" s="3"/>
      <c r="F192" s="3"/>
      <c r="G192" s="3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2"/>
      <c r="Y192" s="2"/>
      <c r="Z192" s="2"/>
      <c r="AA192" s="2"/>
      <c r="AB192" s="2"/>
    </row>
    <row r="193" ht="12.75" customHeight="1">
      <c r="A193" s="2"/>
      <c r="B193" s="2"/>
      <c r="C193" s="2"/>
      <c r="D193" s="3"/>
      <c r="E193" s="3"/>
      <c r="F193" s="3"/>
      <c r="G193" s="3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2"/>
      <c r="Y193" s="2"/>
      <c r="Z193" s="2"/>
      <c r="AA193" s="2"/>
      <c r="AB193" s="2"/>
    </row>
    <row r="194" ht="12.75" customHeight="1">
      <c r="A194" s="2"/>
      <c r="B194" s="2"/>
      <c r="C194" s="2"/>
      <c r="D194" s="3"/>
      <c r="E194" s="3"/>
      <c r="F194" s="3"/>
      <c r="G194" s="3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2"/>
      <c r="Y194" s="2"/>
      <c r="Z194" s="2"/>
      <c r="AA194" s="2"/>
      <c r="AB194" s="2"/>
    </row>
    <row r="195" ht="12.75" customHeight="1">
      <c r="A195" s="2"/>
      <c r="B195" s="2"/>
      <c r="C195" s="2"/>
      <c r="D195" s="3"/>
      <c r="E195" s="3"/>
      <c r="F195" s="3"/>
      <c r="G195" s="3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2"/>
      <c r="Y195" s="2"/>
      <c r="Z195" s="2"/>
      <c r="AA195" s="2"/>
      <c r="AB195" s="2"/>
    </row>
    <row r="196" ht="12.75" customHeight="1">
      <c r="A196" s="2"/>
      <c r="B196" s="2"/>
      <c r="C196" s="2"/>
      <c r="D196" s="3"/>
      <c r="E196" s="3"/>
      <c r="F196" s="3"/>
      <c r="G196" s="3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2"/>
      <c r="Y196" s="2"/>
      <c r="Z196" s="2"/>
      <c r="AA196" s="2"/>
      <c r="AB196" s="2"/>
    </row>
    <row r="197" ht="12.75" customHeight="1">
      <c r="A197" s="2"/>
      <c r="B197" s="2"/>
      <c r="C197" s="2"/>
      <c r="D197" s="3"/>
      <c r="E197" s="3"/>
      <c r="F197" s="3"/>
      <c r="G197" s="3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2"/>
      <c r="Y197" s="2"/>
      <c r="Z197" s="2"/>
      <c r="AA197" s="2"/>
      <c r="AB197" s="2"/>
    </row>
    <row r="198" ht="12.75" customHeight="1">
      <c r="A198" s="2"/>
      <c r="B198" s="2"/>
      <c r="C198" s="2"/>
      <c r="D198" s="3"/>
      <c r="E198" s="3"/>
      <c r="F198" s="3"/>
      <c r="G198" s="3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2"/>
      <c r="Y198" s="2"/>
      <c r="Z198" s="2"/>
      <c r="AA198" s="2"/>
      <c r="AB198" s="2"/>
    </row>
    <row r="199" ht="12.75" customHeight="1">
      <c r="A199" s="2"/>
      <c r="B199" s="2"/>
      <c r="C199" s="2"/>
      <c r="D199" s="3"/>
      <c r="E199" s="3"/>
      <c r="F199" s="3"/>
      <c r="G199" s="3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2"/>
      <c r="Y199" s="2"/>
      <c r="Z199" s="2"/>
      <c r="AA199" s="2"/>
      <c r="AB199" s="2"/>
    </row>
    <row r="200" ht="12.75" customHeight="1">
      <c r="A200" s="2"/>
      <c r="B200" s="2"/>
      <c r="C200" s="2"/>
      <c r="D200" s="3"/>
      <c r="E200" s="3"/>
      <c r="F200" s="3"/>
      <c r="G200" s="3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2"/>
      <c r="Y200" s="2"/>
      <c r="Z200" s="2"/>
      <c r="AA200" s="2"/>
      <c r="AB200" s="2"/>
    </row>
    <row r="201" ht="12.75" customHeight="1">
      <c r="A201" s="2"/>
      <c r="B201" s="2"/>
      <c r="C201" s="2"/>
      <c r="D201" s="3"/>
      <c r="E201" s="3"/>
      <c r="F201" s="3"/>
      <c r="G201" s="3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2"/>
      <c r="Y201" s="2"/>
      <c r="Z201" s="2"/>
      <c r="AA201" s="2"/>
      <c r="AB201" s="2"/>
    </row>
    <row r="202" ht="12.75" customHeight="1">
      <c r="A202" s="2"/>
      <c r="B202" s="2"/>
      <c r="C202" s="2"/>
      <c r="D202" s="3"/>
      <c r="E202" s="3"/>
      <c r="F202" s="3"/>
      <c r="G202" s="3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2"/>
      <c r="Y202" s="2"/>
      <c r="Z202" s="2"/>
      <c r="AA202" s="2"/>
      <c r="AB202" s="2"/>
    </row>
    <row r="203" ht="12.75" customHeight="1">
      <c r="A203" s="2"/>
      <c r="B203" s="2"/>
      <c r="C203" s="2"/>
      <c r="D203" s="3"/>
      <c r="E203" s="3"/>
      <c r="F203" s="3"/>
      <c r="G203" s="3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2"/>
      <c r="Y203" s="2"/>
      <c r="Z203" s="2"/>
      <c r="AA203" s="2"/>
      <c r="AB203" s="2"/>
    </row>
    <row r="204" ht="12.75" customHeight="1">
      <c r="A204" s="2"/>
      <c r="B204" s="2"/>
      <c r="C204" s="2"/>
      <c r="D204" s="3"/>
      <c r="E204" s="3"/>
      <c r="F204" s="3"/>
      <c r="G204" s="3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2"/>
      <c r="Y204" s="2"/>
      <c r="Z204" s="2"/>
      <c r="AA204" s="2"/>
      <c r="AB204" s="2"/>
    </row>
    <row r="205" ht="12.75" customHeight="1">
      <c r="A205" s="2"/>
      <c r="B205" s="2"/>
      <c r="C205" s="2"/>
      <c r="D205" s="3"/>
      <c r="E205" s="3"/>
      <c r="F205" s="3"/>
      <c r="G205" s="3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2"/>
      <c r="Y205" s="2"/>
      <c r="Z205" s="2"/>
      <c r="AA205" s="2"/>
      <c r="AB205" s="2"/>
    </row>
    <row r="206" ht="12.75" customHeight="1">
      <c r="A206" s="2"/>
      <c r="B206" s="2"/>
      <c r="C206" s="2"/>
      <c r="D206" s="3"/>
      <c r="E206" s="3"/>
      <c r="F206" s="3"/>
      <c r="G206" s="3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2"/>
      <c r="Y206" s="2"/>
      <c r="Z206" s="2"/>
      <c r="AA206" s="2"/>
      <c r="AB206" s="2"/>
    </row>
    <row r="207" ht="12.75" customHeight="1">
      <c r="A207" s="2"/>
      <c r="B207" s="2"/>
      <c r="C207" s="2"/>
      <c r="D207" s="3"/>
      <c r="E207" s="3"/>
      <c r="F207" s="3"/>
      <c r="G207" s="3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2"/>
      <c r="Y207" s="2"/>
      <c r="Z207" s="2"/>
      <c r="AA207" s="2"/>
      <c r="AB207" s="2"/>
    </row>
    <row r="208" ht="12.75" customHeight="1">
      <c r="A208" s="2"/>
      <c r="B208" s="2"/>
      <c r="C208" s="2"/>
      <c r="D208" s="3"/>
      <c r="E208" s="3"/>
      <c r="F208" s="3"/>
      <c r="G208" s="3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2"/>
      <c r="Y208" s="2"/>
      <c r="Z208" s="2"/>
      <c r="AA208" s="2"/>
      <c r="AB208" s="2"/>
    </row>
    <row r="209" ht="12.75" customHeight="1">
      <c r="A209" s="2"/>
      <c r="B209" s="2"/>
      <c r="C209" s="2"/>
      <c r="D209" s="3"/>
      <c r="E209" s="3"/>
      <c r="F209" s="3"/>
      <c r="G209" s="3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2"/>
      <c r="Y209" s="2"/>
      <c r="Z209" s="2"/>
      <c r="AA209" s="2"/>
      <c r="AB209" s="2"/>
    </row>
    <row r="210" ht="12.75" customHeight="1">
      <c r="A210" s="2"/>
      <c r="B210" s="2"/>
      <c r="C210" s="2"/>
      <c r="D210" s="3"/>
      <c r="E210" s="3"/>
      <c r="F210" s="3"/>
      <c r="G210" s="3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2"/>
      <c r="Y210" s="2"/>
      <c r="Z210" s="2"/>
      <c r="AA210" s="2"/>
      <c r="AB210" s="2"/>
    </row>
    <row r="211" ht="12.75" customHeight="1">
      <c r="A211" s="2"/>
      <c r="B211" s="2"/>
      <c r="C211" s="2"/>
      <c r="D211" s="3"/>
      <c r="E211" s="3"/>
      <c r="F211" s="3"/>
      <c r="G211" s="3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2"/>
      <c r="Y211" s="2"/>
      <c r="Z211" s="2"/>
      <c r="AA211" s="2"/>
      <c r="AB211" s="2"/>
    </row>
    <row r="212" ht="12.75" customHeight="1">
      <c r="A212" s="2"/>
      <c r="B212" s="2"/>
      <c r="C212" s="2"/>
      <c r="D212" s="3"/>
      <c r="E212" s="3"/>
      <c r="F212" s="3"/>
      <c r="G212" s="3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2"/>
      <c r="Y212" s="2"/>
      <c r="Z212" s="2"/>
      <c r="AA212" s="2"/>
      <c r="AB212" s="2"/>
    </row>
    <row r="213" ht="12.75" customHeight="1">
      <c r="A213" s="2"/>
      <c r="B213" s="2"/>
      <c r="C213" s="2"/>
      <c r="D213" s="3"/>
      <c r="E213" s="3"/>
      <c r="F213" s="3"/>
      <c r="G213" s="3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2"/>
      <c r="Y213" s="2"/>
      <c r="Z213" s="2"/>
      <c r="AA213" s="2"/>
      <c r="AB213" s="2"/>
    </row>
    <row r="214" ht="12.75" customHeight="1">
      <c r="A214" s="2"/>
      <c r="B214" s="2"/>
      <c r="C214" s="2"/>
      <c r="D214" s="3"/>
      <c r="E214" s="3"/>
      <c r="F214" s="3"/>
      <c r="G214" s="3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2"/>
      <c r="Y214" s="2"/>
      <c r="Z214" s="2"/>
      <c r="AA214" s="2"/>
      <c r="AB214" s="2"/>
    </row>
    <row r="215" ht="12.75" customHeight="1">
      <c r="A215" s="2"/>
      <c r="B215" s="2"/>
      <c r="C215" s="2"/>
      <c r="D215" s="3"/>
      <c r="E215" s="3"/>
      <c r="F215" s="3"/>
      <c r="G215" s="3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2"/>
      <c r="Y215" s="2"/>
      <c r="Z215" s="2"/>
      <c r="AA215" s="2"/>
      <c r="AB215" s="2"/>
    </row>
    <row r="216" ht="12.75" customHeight="1">
      <c r="A216" s="2"/>
      <c r="B216" s="2"/>
      <c r="C216" s="2"/>
      <c r="D216" s="3"/>
      <c r="E216" s="3"/>
      <c r="F216" s="3"/>
      <c r="G216" s="3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2"/>
      <c r="Y216" s="2"/>
      <c r="Z216" s="2"/>
      <c r="AA216" s="2"/>
      <c r="AB216" s="2"/>
    </row>
    <row r="217" ht="12.75" customHeight="1">
      <c r="A217" s="2"/>
      <c r="B217" s="2"/>
      <c r="C217" s="2"/>
      <c r="D217" s="3"/>
      <c r="E217" s="3"/>
      <c r="F217" s="3"/>
      <c r="G217" s="3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"/>
      <c r="Y217" s="2"/>
      <c r="Z217" s="2"/>
      <c r="AA217" s="2"/>
      <c r="AB217" s="2"/>
    </row>
    <row r="218" ht="12.75" customHeight="1">
      <c r="A218" s="2"/>
      <c r="B218" s="2"/>
      <c r="C218" s="2"/>
      <c r="D218" s="3"/>
      <c r="E218" s="3"/>
      <c r="F218" s="3"/>
      <c r="G218" s="3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2"/>
      <c r="Y218" s="2"/>
      <c r="Z218" s="2"/>
      <c r="AA218" s="2"/>
      <c r="AB218" s="2"/>
    </row>
    <row r="219" ht="12.75" customHeight="1">
      <c r="A219" s="2"/>
      <c r="B219" s="2"/>
      <c r="C219" s="2"/>
      <c r="D219" s="3"/>
      <c r="E219" s="3"/>
      <c r="F219" s="3"/>
      <c r="G219" s="3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2"/>
      <c r="Y219" s="2"/>
      <c r="Z219" s="2"/>
      <c r="AA219" s="2"/>
      <c r="AB219" s="2"/>
    </row>
    <row r="220" ht="12.75" customHeight="1">
      <c r="A220" s="2"/>
      <c r="B220" s="2"/>
      <c r="C220" s="2"/>
      <c r="D220" s="3"/>
      <c r="E220" s="3"/>
      <c r="F220" s="3"/>
      <c r="G220" s="3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2"/>
      <c r="Y220" s="2"/>
      <c r="Z220" s="2"/>
      <c r="AA220" s="2"/>
      <c r="AB220" s="2"/>
    </row>
    <row r="221" ht="12.75" customHeight="1">
      <c r="A221" s="2"/>
      <c r="B221" s="2"/>
      <c r="C221" s="2"/>
      <c r="D221" s="3"/>
      <c r="E221" s="3"/>
      <c r="F221" s="3"/>
      <c r="G221" s="3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2"/>
      <c r="Y221" s="2"/>
      <c r="Z221" s="2"/>
      <c r="AA221" s="2"/>
      <c r="AB221" s="2"/>
    </row>
    <row r="222" ht="12.75" customHeight="1">
      <c r="A222" s="2"/>
      <c r="B222" s="2"/>
      <c r="C222" s="2"/>
      <c r="D222" s="3"/>
      <c r="E222" s="3"/>
      <c r="F222" s="3"/>
      <c r="G222" s="3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2"/>
      <c r="Y222" s="2"/>
      <c r="Z222" s="2"/>
      <c r="AA222" s="2"/>
      <c r="AB222" s="2"/>
    </row>
    <row r="223" ht="12.75" customHeight="1">
      <c r="A223" s="2"/>
      <c r="B223" s="2"/>
      <c r="C223" s="2"/>
      <c r="D223" s="3"/>
      <c r="E223" s="3"/>
      <c r="F223" s="3"/>
      <c r="G223" s="3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2"/>
      <c r="Y223" s="2"/>
      <c r="Z223" s="2"/>
      <c r="AA223" s="2"/>
      <c r="AB223" s="2"/>
    </row>
    <row r="224" ht="12.75" customHeight="1">
      <c r="A224" s="2"/>
      <c r="B224" s="2"/>
      <c r="C224" s="2"/>
      <c r="D224" s="3"/>
      <c r="E224" s="3"/>
      <c r="F224" s="3"/>
      <c r="G224" s="3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2"/>
      <c r="Y224" s="2"/>
      <c r="Z224" s="2"/>
      <c r="AA224" s="2"/>
      <c r="AB224" s="2"/>
    </row>
    <row r="225" ht="12.75" customHeight="1">
      <c r="A225" s="2"/>
      <c r="B225" s="2"/>
      <c r="C225" s="2"/>
      <c r="D225" s="3"/>
      <c r="E225" s="3"/>
      <c r="F225" s="3"/>
      <c r="G225" s="3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2"/>
      <c r="Y225" s="2"/>
      <c r="Z225" s="2"/>
      <c r="AA225" s="2"/>
      <c r="AB225" s="2"/>
    </row>
    <row r="226" ht="12.75" customHeight="1">
      <c r="A226" s="2"/>
      <c r="B226" s="2"/>
      <c r="C226" s="2"/>
      <c r="D226" s="3"/>
      <c r="E226" s="3"/>
      <c r="F226" s="3"/>
      <c r="G226" s="3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2"/>
      <c r="Y226" s="2"/>
      <c r="Z226" s="2"/>
      <c r="AA226" s="2"/>
      <c r="AB226" s="2"/>
    </row>
    <row r="227" ht="12.75" customHeight="1">
      <c r="A227" s="2"/>
      <c r="B227" s="2"/>
      <c r="C227" s="2"/>
      <c r="D227" s="3"/>
      <c r="E227" s="3"/>
      <c r="F227" s="3"/>
      <c r="G227" s="3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2"/>
      <c r="Y227" s="2"/>
      <c r="Z227" s="2"/>
      <c r="AA227" s="2"/>
      <c r="AB227" s="2"/>
    </row>
    <row r="228" ht="12.75" customHeight="1">
      <c r="A228" s="2"/>
      <c r="B228" s="2"/>
      <c r="C228" s="2"/>
      <c r="D228" s="3"/>
      <c r="E228" s="3"/>
      <c r="F228" s="3"/>
      <c r="G228" s="3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2"/>
      <c r="Y228" s="2"/>
      <c r="Z228" s="2"/>
      <c r="AA228" s="2"/>
      <c r="AB228" s="2"/>
    </row>
    <row r="229" ht="12.75" customHeight="1">
      <c r="A229" s="2"/>
      <c r="B229" s="2"/>
      <c r="C229" s="2"/>
      <c r="D229" s="3"/>
      <c r="E229" s="3"/>
      <c r="F229" s="3"/>
      <c r="G229" s="3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2"/>
      <c r="Y229" s="2"/>
      <c r="Z229" s="2"/>
      <c r="AA229" s="2"/>
      <c r="AB229" s="2"/>
    </row>
    <row r="230" ht="12.75" customHeight="1">
      <c r="A230" s="2"/>
      <c r="B230" s="2"/>
      <c r="C230" s="2"/>
      <c r="D230" s="3"/>
      <c r="E230" s="3"/>
      <c r="F230" s="3"/>
      <c r="G230" s="3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2"/>
      <c r="Y230" s="2"/>
      <c r="Z230" s="2"/>
      <c r="AA230" s="2"/>
      <c r="AB230" s="2"/>
    </row>
    <row r="231" ht="12.75" customHeight="1">
      <c r="A231" s="2"/>
      <c r="B231" s="2"/>
      <c r="C231" s="2"/>
      <c r="D231" s="3"/>
      <c r="E231" s="3"/>
      <c r="F231" s="3"/>
      <c r="G231" s="3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2"/>
      <c r="Y231" s="2"/>
      <c r="Z231" s="2"/>
      <c r="AA231" s="2"/>
      <c r="AB231" s="2"/>
    </row>
    <row r="232" ht="12.75" customHeight="1">
      <c r="A232" s="2"/>
      <c r="B232" s="2"/>
      <c r="C232" s="2"/>
      <c r="D232" s="3"/>
      <c r="E232" s="3"/>
      <c r="F232" s="3"/>
      <c r="G232" s="3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2"/>
      <c r="Y232" s="2"/>
      <c r="Z232" s="2"/>
      <c r="AA232" s="2"/>
      <c r="AB232" s="2"/>
    </row>
    <row r="233" ht="12.75" customHeight="1">
      <c r="A233" s="2"/>
      <c r="B233" s="2"/>
      <c r="C233" s="2"/>
      <c r="D233" s="3"/>
      <c r="E233" s="3"/>
      <c r="F233" s="3"/>
      <c r="G233" s="3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2"/>
      <c r="Y233" s="2"/>
      <c r="Z233" s="2"/>
      <c r="AA233" s="2"/>
      <c r="AB233" s="2"/>
    </row>
    <row r="234" ht="12.75" customHeight="1">
      <c r="A234" s="2"/>
      <c r="B234" s="2"/>
      <c r="C234" s="2"/>
      <c r="D234" s="3"/>
      <c r="E234" s="3"/>
      <c r="F234" s="3"/>
      <c r="G234" s="3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2"/>
      <c r="Y234" s="2"/>
      <c r="Z234" s="2"/>
      <c r="AA234" s="2"/>
      <c r="AB234" s="2"/>
    </row>
    <row r="235" ht="12.75" customHeight="1">
      <c r="A235" s="2"/>
      <c r="B235" s="2"/>
      <c r="C235" s="2"/>
      <c r="D235" s="3"/>
      <c r="E235" s="3"/>
      <c r="F235" s="3"/>
      <c r="G235" s="3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2"/>
      <c r="Y235" s="2"/>
      <c r="Z235" s="2"/>
      <c r="AA235" s="2"/>
      <c r="AB235" s="2"/>
    </row>
    <row r="236" ht="12.75" customHeight="1">
      <c r="A236" s="2"/>
      <c r="B236" s="2"/>
      <c r="C236" s="2"/>
      <c r="D236" s="3"/>
      <c r="E236" s="3"/>
      <c r="F236" s="3"/>
      <c r="G236" s="3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2"/>
      <c r="Y236" s="2"/>
      <c r="Z236" s="2"/>
      <c r="AA236" s="2"/>
      <c r="AB236" s="2"/>
    </row>
    <row r="237" ht="12.75" customHeight="1">
      <c r="A237" s="2"/>
      <c r="B237" s="2"/>
      <c r="C237" s="2"/>
      <c r="D237" s="3"/>
      <c r="E237" s="3"/>
      <c r="F237" s="3"/>
      <c r="G237" s="3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2"/>
      <c r="Y237" s="2"/>
      <c r="Z237" s="2"/>
      <c r="AA237" s="2"/>
      <c r="AB237" s="2"/>
    </row>
    <row r="238" ht="12.75" customHeight="1">
      <c r="A238" s="2"/>
      <c r="B238" s="2"/>
      <c r="C238" s="2"/>
      <c r="D238" s="3"/>
      <c r="E238" s="3"/>
      <c r="F238" s="3"/>
      <c r="G238" s="3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2"/>
      <c r="Y238" s="2"/>
      <c r="Z238" s="2"/>
      <c r="AA238" s="2"/>
      <c r="AB238" s="2"/>
    </row>
    <row r="239" ht="12.75" customHeight="1">
      <c r="A239" s="2"/>
      <c r="B239" s="2"/>
      <c r="C239" s="2"/>
      <c r="D239" s="3"/>
      <c r="E239" s="3"/>
      <c r="F239" s="3"/>
      <c r="G239" s="3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2"/>
      <c r="Y239" s="2"/>
      <c r="Z239" s="2"/>
      <c r="AA239" s="2"/>
      <c r="AB239" s="2"/>
    </row>
    <row r="240" ht="12.75" customHeight="1">
      <c r="A240" s="2"/>
      <c r="B240" s="2"/>
      <c r="C240" s="2"/>
      <c r="D240" s="3"/>
      <c r="E240" s="3"/>
      <c r="F240" s="3"/>
      <c r="G240" s="3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2"/>
      <c r="Y240" s="2"/>
      <c r="Z240" s="2"/>
      <c r="AA240" s="2"/>
      <c r="AB240" s="2"/>
    </row>
    <row r="241" ht="12.75" customHeight="1">
      <c r="A241" s="2"/>
      <c r="B241" s="2"/>
      <c r="C241" s="2"/>
      <c r="D241" s="3"/>
      <c r="E241" s="3"/>
      <c r="F241" s="3"/>
      <c r="G241" s="3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2"/>
      <c r="Y241" s="2"/>
      <c r="Z241" s="2"/>
      <c r="AA241" s="2"/>
      <c r="AB241" s="2"/>
    </row>
    <row r="242" ht="12.75" customHeight="1">
      <c r="A242" s="2"/>
      <c r="B242" s="2"/>
      <c r="C242" s="2"/>
      <c r="D242" s="3"/>
      <c r="E242" s="3"/>
      <c r="F242" s="3"/>
      <c r="G242" s="3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2"/>
      <c r="Y242" s="2"/>
      <c r="Z242" s="2"/>
      <c r="AA242" s="2"/>
      <c r="AB242" s="2"/>
    </row>
    <row r="243" ht="12.75" customHeight="1">
      <c r="A243" s="2"/>
      <c r="B243" s="2"/>
      <c r="C243" s="2"/>
      <c r="D243" s="3"/>
      <c r="E243" s="3"/>
      <c r="F243" s="3"/>
      <c r="G243" s="3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2"/>
      <c r="Y243" s="2"/>
      <c r="Z243" s="2"/>
      <c r="AA243" s="2"/>
      <c r="AB243" s="2"/>
    </row>
    <row r="244" ht="12.75" customHeight="1">
      <c r="A244" s="2"/>
      <c r="B244" s="2"/>
      <c r="C244" s="2"/>
      <c r="D244" s="3"/>
      <c r="E244" s="3"/>
      <c r="F244" s="3"/>
      <c r="G244" s="3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2"/>
      <c r="Y244" s="2"/>
      <c r="Z244" s="2"/>
      <c r="AA244" s="2"/>
      <c r="AB244" s="2"/>
    </row>
    <row r="245" ht="12.75" customHeight="1">
      <c r="A245" s="2"/>
      <c r="B245" s="2"/>
      <c r="C245" s="2"/>
      <c r="D245" s="3"/>
      <c r="E245" s="3"/>
      <c r="F245" s="3"/>
      <c r="G245" s="3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2"/>
      <c r="Y245" s="2"/>
      <c r="Z245" s="2"/>
      <c r="AA245" s="2"/>
      <c r="AB245" s="2"/>
    </row>
    <row r="246" ht="12.75" customHeight="1">
      <c r="A246" s="2"/>
      <c r="B246" s="2"/>
      <c r="C246" s="2"/>
      <c r="D246" s="3"/>
      <c r="E246" s="3"/>
      <c r="F246" s="3"/>
      <c r="G246" s="3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2"/>
      <c r="Y246" s="2"/>
      <c r="Z246" s="2"/>
      <c r="AA246" s="2"/>
      <c r="AB246" s="2"/>
    </row>
    <row r="247" ht="12.75" customHeight="1">
      <c r="A247" s="2"/>
      <c r="B247" s="2"/>
      <c r="C247" s="2"/>
      <c r="D247" s="3"/>
      <c r="E247" s="3"/>
      <c r="F247" s="3"/>
      <c r="G247" s="3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2"/>
      <c r="Y247" s="2"/>
      <c r="Z247" s="2"/>
      <c r="AA247" s="2"/>
      <c r="AB247" s="2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</row>
  </sheetData>
  <printOptions/>
  <pageMargins bottom="0.75" footer="0.0" header="0.0" left="0.7" right="0.7" top="0.75"/>
  <pageSetup paperSize="9"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6.0"/>
    <col customWidth="1" min="3" max="3" width="32.71"/>
    <col customWidth="1" min="4" max="4" width="10.86"/>
    <col customWidth="1" min="5" max="5" width="8.29"/>
    <col customWidth="1" min="6" max="6" width="4.43"/>
    <col customWidth="1" min="7" max="7" width="8.71"/>
    <col customWidth="1" min="8" max="8" width="3.43"/>
    <col customWidth="1" min="9" max="9" width="8.0"/>
    <col customWidth="1" min="10" max="20" width="7.86"/>
    <col customWidth="1" min="21" max="21" width="8.71"/>
    <col customWidth="1" min="22" max="22" width="9.57"/>
    <col customWidth="1" min="23" max="23" width="10.0"/>
    <col customWidth="1" min="24" max="28" width="9.0"/>
  </cols>
  <sheetData>
    <row r="1" ht="12.75" customHeight="1">
      <c r="A1" s="1" t="s">
        <v>0</v>
      </c>
      <c r="B1" s="2"/>
      <c r="C1" s="2"/>
      <c r="D1" s="3"/>
      <c r="E1" s="3"/>
      <c r="F1" s="3"/>
      <c r="G1" s="3"/>
      <c r="H1" s="4"/>
      <c r="I1" s="1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2"/>
      <c r="Y1" s="2"/>
      <c r="Z1" s="6"/>
      <c r="AA1" s="2"/>
      <c r="AB1" s="6"/>
    </row>
    <row r="2" ht="12.75" customHeight="1">
      <c r="A2" s="1"/>
      <c r="B2" s="2"/>
      <c r="C2" s="2"/>
      <c r="D2" s="3"/>
      <c r="E2" s="3"/>
      <c r="F2" s="3"/>
      <c r="G2" s="3"/>
      <c r="H2" s="4"/>
      <c r="I2" s="1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2"/>
      <c r="Y2" s="2"/>
      <c r="Z2" s="6"/>
      <c r="AA2" s="2"/>
      <c r="AB2" s="6"/>
    </row>
    <row r="3" ht="12.75" customHeight="1">
      <c r="A3" s="7" t="s">
        <v>53</v>
      </c>
      <c r="B3" s="2"/>
      <c r="C3" s="2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2"/>
      <c r="Y3" s="2"/>
      <c r="Z3" s="6"/>
      <c r="AA3" s="2"/>
      <c r="AB3" s="6"/>
    </row>
    <row r="4" ht="12.75" customHeight="1">
      <c r="A4" s="29" t="s">
        <v>2</v>
      </c>
      <c r="B4" s="29" t="s">
        <v>3</v>
      </c>
      <c r="C4" s="29" t="s">
        <v>4</v>
      </c>
      <c r="D4" s="30" t="s">
        <v>5</v>
      </c>
      <c r="E4" s="30" t="s">
        <v>6</v>
      </c>
      <c r="F4" s="30" t="s">
        <v>20</v>
      </c>
      <c r="G4" s="30" t="s">
        <v>8</v>
      </c>
      <c r="H4" s="31" t="s">
        <v>9</v>
      </c>
      <c r="I4" s="11">
        <v>45382.0</v>
      </c>
      <c r="J4" s="11">
        <v>45412.0</v>
      </c>
      <c r="K4" s="11">
        <v>45443.0</v>
      </c>
      <c r="L4" s="11">
        <v>45473.0</v>
      </c>
      <c r="M4" s="11">
        <v>45504.0</v>
      </c>
      <c r="N4" s="11">
        <v>45535.0</v>
      </c>
      <c r="O4" s="11">
        <v>45565.0</v>
      </c>
      <c r="P4" s="11">
        <v>45596.0</v>
      </c>
      <c r="Q4" s="11">
        <v>45626.0</v>
      </c>
      <c r="R4" s="11">
        <v>45657.0</v>
      </c>
      <c r="S4" s="11">
        <v>45688.0</v>
      </c>
      <c r="T4" s="11">
        <v>45716.0</v>
      </c>
      <c r="U4" s="26" t="s">
        <v>10</v>
      </c>
      <c r="V4" s="11" t="s">
        <v>11</v>
      </c>
      <c r="W4" s="11" t="s">
        <v>61</v>
      </c>
      <c r="X4" s="2"/>
      <c r="Y4" s="2"/>
      <c r="Z4" s="6"/>
      <c r="AA4" s="2"/>
      <c r="AB4" s="6"/>
    </row>
    <row r="5" ht="12.75" customHeight="1">
      <c r="A5" s="12"/>
      <c r="B5" s="12"/>
      <c r="C5" s="2"/>
      <c r="D5" s="3"/>
      <c r="E5" s="3"/>
      <c r="F5" s="3"/>
      <c r="G5" s="3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2"/>
      <c r="Y5" s="2"/>
      <c r="Z5" s="6"/>
      <c r="AA5" s="2"/>
      <c r="AB5" s="6"/>
    </row>
    <row r="6" ht="12.75" customHeight="1">
      <c r="A6" s="13" t="s">
        <v>13</v>
      </c>
      <c r="B6" s="2"/>
      <c r="C6" s="2"/>
      <c r="D6" s="3"/>
      <c r="E6" s="14"/>
      <c r="F6" s="3"/>
      <c r="G6" s="3"/>
      <c r="H6" s="4"/>
      <c r="I6" s="13" t="str">
        <f>+A6</f>
        <v>6100&gt;020 (Computer Equipment&gt;Cost)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"/>
      <c r="Y6" s="2"/>
      <c r="Z6" s="6"/>
      <c r="AA6" s="2"/>
      <c r="AB6" s="6"/>
    </row>
    <row r="7" ht="12.75" customHeight="1">
      <c r="A7" s="8"/>
      <c r="B7" s="2"/>
      <c r="C7" s="2"/>
      <c r="D7" s="3"/>
      <c r="E7" s="14"/>
      <c r="F7" s="3"/>
      <c r="G7" s="3"/>
      <c r="H7" s="4">
        <v>3.0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2"/>
      <c r="Y7" s="2"/>
      <c r="Z7" s="6"/>
      <c r="AA7" s="2"/>
      <c r="AB7" s="6"/>
    </row>
    <row r="8" ht="12.75" customHeight="1">
      <c r="A8" s="15">
        <v>42825.0</v>
      </c>
      <c r="B8" s="16">
        <v>18431.0</v>
      </c>
      <c r="C8" s="7" t="s">
        <v>14</v>
      </c>
      <c r="D8" s="17">
        <f>'FAR21'!G8</f>
        <v>16077.6</v>
      </c>
      <c r="E8" s="17"/>
      <c r="F8" s="3"/>
      <c r="G8" s="3">
        <f t="shared" ref="G8:G12" si="1">+D8+E8-F8</f>
        <v>16077.6</v>
      </c>
      <c r="H8" s="4"/>
      <c r="I8" s="28">
        <v>0.0</v>
      </c>
      <c r="J8" s="28">
        <v>0.0</v>
      </c>
      <c r="K8" s="28">
        <v>0.0</v>
      </c>
      <c r="L8" s="28">
        <v>0.0</v>
      </c>
      <c r="M8" s="28">
        <v>0.0</v>
      </c>
      <c r="N8" s="28">
        <v>0.0</v>
      </c>
      <c r="O8" s="28">
        <v>0.0</v>
      </c>
      <c r="P8" s="28">
        <v>0.0</v>
      </c>
      <c r="Q8" s="28">
        <v>0.0</v>
      </c>
      <c r="R8" s="28">
        <v>0.0</v>
      </c>
      <c r="S8" s="28">
        <v>0.0</v>
      </c>
      <c r="T8" s="28">
        <v>0.0</v>
      </c>
      <c r="U8" s="28">
        <f t="shared" ref="U8:U14" si="2">SUM(I8:T8)</f>
        <v>0</v>
      </c>
      <c r="V8" s="3">
        <f>'FAR21'!V8+U8</f>
        <v>16077.6</v>
      </c>
      <c r="W8" s="3">
        <f t="shared" ref="W8:W14" si="3">+G8-V8</f>
        <v>0</v>
      </c>
      <c r="X8" s="2"/>
      <c r="Y8" s="2"/>
      <c r="Z8" s="6"/>
      <c r="AA8" s="2"/>
      <c r="AB8" s="6"/>
    </row>
    <row r="9" ht="12.75" customHeight="1">
      <c r="A9" s="15">
        <v>42825.0</v>
      </c>
      <c r="B9" s="16">
        <v>18431.0</v>
      </c>
      <c r="C9" s="7" t="s">
        <v>15</v>
      </c>
      <c r="D9" s="17">
        <f>'FAR21'!G9</f>
        <v>10078.8</v>
      </c>
      <c r="E9" s="17"/>
      <c r="F9" s="3"/>
      <c r="G9" s="3">
        <f t="shared" si="1"/>
        <v>10078.8</v>
      </c>
      <c r="H9" s="4"/>
      <c r="I9" s="28">
        <v>0.0</v>
      </c>
      <c r="J9" s="28">
        <v>0.0</v>
      </c>
      <c r="K9" s="28">
        <v>0.0</v>
      </c>
      <c r="L9" s="28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  <c r="S9" s="28">
        <v>0.0</v>
      </c>
      <c r="T9" s="28">
        <v>0.0</v>
      </c>
      <c r="U9" s="28">
        <f t="shared" si="2"/>
        <v>0</v>
      </c>
      <c r="V9" s="3">
        <f>'FAR21'!V9+U9</f>
        <v>10078.8</v>
      </c>
      <c r="W9" s="3">
        <f t="shared" si="3"/>
        <v>0</v>
      </c>
      <c r="X9" s="2"/>
      <c r="Y9" s="2"/>
      <c r="Z9" s="6"/>
      <c r="AA9" s="2"/>
      <c r="AB9" s="6"/>
    </row>
    <row r="10" ht="12.75" customHeight="1">
      <c r="A10" s="15">
        <v>43046.0</v>
      </c>
      <c r="B10" s="16" t="s">
        <v>16</v>
      </c>
      <c r="C10" s="7" t="s">
        <v>17</v>
      </c>
      <c r="D10" s="17">
        <f>'FAR21'!G10</f>
        <v>52651</v>
      </c>
      <c r="E10" s="17"/>
      <c r="F10" s="3"/>
      <c r="G10" s="3">
        <f t="shared" si="1"/>
        <v>52651</v>
      </c>
      <c r="H10" s="4"/>
      <c r="I10" s="28">
        <v>0.0</v>
      </c>
      <c r="J10" s="28">
        <v>0.0</v>
      </c>
      <c r="K10" s="28">
        <v>0.0</v>
      </c>
      <c r="L10" s="28">
        <v>0.0</v>
      </c>
      <c r="M10" s="28">
        <v>0.0</v>
      </c>
      <c r="N10" s="28">
        <v>0.0</v>
      </c>
      <c r="O10" s="28">
        <v>0.0</v>
      </c>
      <c r="P10" s="28">
        <v>0.0</v>
      </c>
      <c r="Q10" s="28">
        <v>0.0</v>
      </c>
      <c r="R10" s="28">
        <v>0.0</v>
      </c>
      <c r="S10" s="28">
        <v>0.0</v>
      </c>
      <c r="T10" s="28">
        <v>0.0</v>
      </c>
      <c r="U10" s="28">
        <f t="shared" si="2"/>
        <v>0</v>
      </c>
      <c r="V10" s="3">
        <f>'FAR21'!V10+U10</f>
        <v>52651.00364</v>
      </c>
      <c r="W10" s="3">
        <f t="shared" si="3"/>
        <v>-0.003637747337</v>
      </c>
      <c r="X10" s="2"/>
      <c r="Y10" s="2"/>
      <c r="Z10" s="6"/>
      <c r="AA10" s="2"/>
      <c r="AB10" s="6"/>
    </row>
    <row r="11" ht="12.75" customHeight="1">
      <c r="A11" s="15">
        <v>43160.0</v>
      </c>
      <c r="B11" s="16">
        <v>21643.0</v>
      </c>
      <c r="C11" s="7" t="s">
        <v>30</v>
      </c>
      <c r="D11" s="17">
        <f>'FAR21'!G11</f>
        <v>92322.7</v>
      </c>
      <c r="E11" s="17"/>
      <c r="F11" s="3"/>
      <c r="G11" s="3">
        <f t="shared" si="1"/>
        <v>92322.7</v>
      </c>
      <c r="H11" s="4"/>
      <c r="I11" s="28">
        <v>0.0</v>
      </c>
      <c r="J11" s="28">
        <v>0.0</v>
      </c>
      <c r="K11" s="28">
        <v>0.0</v>
      </c>
      <c r="L11" s="28">
        <v>0.0</v>
      </c>
      <c r="M11" s="28">
        <v>0.0</v>
      </c>
      <c r="N11" s="28">
        <v>0.0</v>
      </c>
      <c r="O11" s="28">
        <v>0.0</v>
      </c>
      <c r="P11" s="28">
        <v>0.0</v>
      </c>
      <c r="Q11" s="28">
        <v>0.0</v>
      </c>
      <c r="R11" s="28">
        <v>0.0</v>
      </c>
      <c r="S11" s="28">
        <v>0.0</v>
      </c>
      <c r="T11" s="28">
        <v>0.0</v>
      </c>
      <c r="U11" s="28">
        <f t="shared" si="2"/>
        <v>0</v>
      </c>
      <c r="V11" s="3">
        <f>'FAR21'!V11+U11</f>
        <v>92322.7</v>
      </c>
      <c r="W11" s="3">
        <f t="shared" si="3"/>
        <v>0</v>
      </c>
      <c r="X11" s="2"/>
      <c r="Y11" s="2"/>
      <c r="Z11" s="6"/>
      <c r="AA11" s="2"/>
      <c r="AB11" s="6"/>
    </row>
    <row r="12" ht="12.75" customHeight="1">
      <c r="A12" s="15">
        <v>44144.0</v>
      </c>
      <c r="B12" s="16" t="s">
        <v>45</v>
      </c>
      <c r="C12" s="7" t="s">
        <v>46</v>
      </c>
      <c r="D12" s="17">
        <f>'FAR21'!G12</f>
        <v>92565.27</v>
      </c>
      <c r="E12" s="17"/>
      <c r="F12" s="3"/>
      <c r="G12" s="3">
        <f t="shared" si="1"/>
        <v>92565.27</v>
      </c>
      <c r="H12" s="4"/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28">
        <f t="shared" si="2"/>
        <v>0</v>
      </c>
      <c r="V12" s="3">
        <f>'FAR24'!V12+U12</f>
        <v>92565.27</v>
      </c>
      <c r="W12" s="3">
        <f t="shared" si="3"/>
        <v>0</v>
      </c>
      <c r="X12" s="2"/>
      <c r="Y12" s="2"/>
      <c r="Z12" s="6"/>
      <c r="AA12" s="2"/>
      <c r="AB12" s="6"/>
    </row>
    <row r="13" ht="12.75" customHeight="1">
      <c r="A13" s="15">
        <v>45020.0</v>
      </c>
      <c r="B13" s="16" t="s">
        <v>54</v>
      </c>
      <c r="C13" s="33" t="s">
        <v>55</v>
      </c>
      <c r="D13" s="34">
        <v>12460.87</v>
      </c>
      <c r="E13" s="3"/>
      <c r="F13" s="3"/>
      <c r="G13" s="3">
        <f t="shared" ref="G13:G14" si="5">D13</f>
        <v>12460.87</v>
      </c>
      <c r="H13" s="4"/>
      <c r="I13" s="3">
        <f t="shared" ref="I13:T13" si="4">+$G13/$H$7/12</f>
        <v>346.1352778</v>
      </c>
      <c r="J13" s="3">
        <f t="shared" si="4"/>
        <v>346.1352778</v>
      </c>
      <c r="K13" s="3">
        <f t="shared" si="4"/>
        <v>346.1352778</v>
      </c>
      <c r="L13" s="3">
        <f t="shared" si="4"/>
        <v>346.1352778</v>
      </c>
      <c r="M13" s="3">
        <f t="shared" si="4"/>
        <v>346.1352778</v>
      </c>
      <c r="N13" s="3">
        <f t="shared" si="4"/>
        <v>346.1352778</v>
      </c>
      <c r="O13" s="3">
        <f t="shared" si="4"/>
        <v>346.1352778</v>
      </c>
      <c r="P13" s="3">
        <f t="shared" si="4"/>
        <v>346.1352778</v>
      </c>
      <c r="Q13" s="3">
        <f t="shared" si="4"/>
        <v>346.1352778</v>
      </c>
      <c r="R13" s="3">
        <f t="shared" si="4"/>
        <v>346.1352778</v>
      </c>
      <c r="S13" s="3">
        <f t="shared" si="4"/>
        <v>346.1352778</v>
      </c>
      <c r="T13" s="3">
        <f t="shared" si="4"/>
        <v>346.1352778</v>
      </c>
      <c r="U13" s="28">
        <f t="shared" si="2"/>
        <v>4153.623333</v>
      </c>
      <c r="V13" s="3">
        <f>'FAR24'!V13+U13</f>
        <v>7910.85065</v>
      </c>
      <c r="W13" s="3">
        <f t="shared" si="3"/>
        <v>4550.01935</v>
      </c>
      <c r="X13" s="2"/>
      <c r="Y13" s="2"/>
      <c r="Z13" s="6"/>
      <c r="AA13" s="2"/>
      <c r="AB13" s="6"/>
    </row>
    <row r="14" ht="12.75" customHeight="1">
      <c r="A14" s="15">
        <v>45188.0</v>
      </c>
      <c r="B14" s="16" t="s">
        <v>56</v>
      </c>
      <c r="C14" s="33" t="s">
        <v>57</v>
      </c>
      <c r="D14" s="34">
        <v>7307.41</v>
      </c>
      <c r="E14" s="3"/>
      <c r="F14" s="3"/>
      <c r="G14" s="3">
        <f t="shared" si="5"/>
        <v>7307.41</v>
      </c>
      <c r="H14" s="4"/>
      <c r="I14" s="3">
        <f t="shared" ref="I14:T14" si="6">+$G14/$H$7/12</f>
        <v>202.9836111</v>
      </c>
      <c r="J14" s="3">
        <f t="shared" si="6"/>
        <v>202.9836111</v>
      </c>
      <c r="K14" s="3">
        <f t="shared" si="6"/>
        <v>202.9836111</v>
      </c>
      <c r="L14" s="3">
        <f t="shared" si="6"/>
        <v>202.9836111</v>
      </c>
      <c r="M14" s="3">
        <f t="shared" si="6"/>
        <v>202.9836111</v>
      </c>
      <c r="N14" s="3">
        <f t="shared" si="6"/>
        <v>202.9836111</v>
      </c>
      <c r="O14" s="3">
        <f t="shared" si="6"/>
        <v>202.9836111</v>
      </c>
      <c r="P14" s="3">
        <f t="shared" si="6"/>
        <v>202.9836111</v>
      </c>
      <c r="Q14" s="3">
        <f t="shared" si="6"/>
        <v>202.9836111</v>
      </c>
      <c r="R14" s="3">
        <f t="shared" si="6"/>
        <v>202.9836111</v>
      </c>
      <c r="S14" s="3">
        <f t="shared" si="6"/>
        <v>202.9836111</v>
      </c>
      <c r="T14" s="3">
        <f t="shared" si="6"/>
        <v>202.9836111</v>
      </c>
      <c r="U14" s="28">
        <f t="shared" si="2"/>
        <v>2435.803333</v>
      </c>
      <c r="V14" s="3">
        <f>'FAR24'!V14+U14</f>
        <v>3524.129161</v>
      </c>
      <c r="W14" s="3">
        <f t="shared" si="3"/>
        <v>3783.280839</v>
      </c>
      <c r="X14" s="2"/>
      <c r="Y14" s="2"/>
      <c r="Z14" s="6"/>
      <c r="AA14" s="2"/>
      <c r="AB14" s="6"/>
    </row>
    <row r="15" ht="12.75" customHeight="1">
      <c r="A15" s="19"/>
      <c r="B15" s="32"/>
      <c r="C15" s="13"/>
      <c r="D15" s="17"/>
      <c r="E15" s="17"/>
      <c r="F15" s="3"/>
      <c r="G15" s="3"/>
      <c r="H15" s="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28"/>
      <c r="V15" s="3"/>
      <c r="W15" s="3"/>
      <c r="X15" s="2"/>
      <c r="Y15" s="2"/>
      <c r="Z15" s="6"/>
      <c r="AA15" s="2"/>
      <c r="AB15" s="6"/>
    </row>
    <row r="16" ht="12.75" customHeight="1">
      <c r="A16" s="19" t="s">
        <v>50</v>
      </c>
      <c r="B16" s="18"/>
      <c r="C16" s="7"/>
      <c r="D16" s="3"/>
      <c r="E16" s="17"/>
      <c r="F16" s="3"/>
      <c r="G16" s="3"/>
      <c r="H16" s="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2"/>
      <c r="Y16" s="2"/>
      <c r="Z16" s="6"/>
      <c r="AA16" s="2"/>
      <c r="AB16" s="2"/>
    </row>
    <row r="17" ht="12.75" customHeight="1">
      <c r="A17" s="19"/>
      <c r="B17" s="20"/>
      <c r="C17" s="13"/>
      <c r="D17" s="21">
        <f t="shared" ref="D17:E17" si="7">SUM(D6:D16)</f>
        <v>283463.65</v>
      </c>
      <c r="E17" s="21">
        <f t="shared" si="7"/>
        <v>0</v>
      </c>
      <c r="F17" s="22"/>
      <c r="G17" s="22">
        <f>SUM(G8:G16)</f>
        <v>283463.65</v>
      </c>
      <c r="H17" s="4"/>
      <c r="I17" s="22">
        <f t="shared" ref="I17:W17" si="8">SUM(I8:I16)</f>
        <v>549.1188889</v>
      </c>
      <c r="J17" s="22">
        <f t="shared" si="8"/>
        <v>549.1188889</v>
      </c>
      <c r="K17" s="22">
        <f t="shared" si="8"/>
        <v>549.1188889</v>
      </c>
      <c r="L17" s="22">
        <f t="shared" si="8"/>
        <v>549.1188889</v>
      </c>
      <c r="M17" s="22">
        <f t="shared" si="8"/>
        <v>549.1188889</v>
      </c>
      <c r="N17" s="22">
        <f t="shared" si="8"/>
        <v>549.1188889</v>
      </c>
      <c r="O17" s="22">
        <f t="shared" si="8"/>
        <v>549.1188889</v>
      </c>
      <c r="P17" s="22">
        <f t="shared" si="8"/>
        <v>549.1188889</v>
      </c>
      <c r="Q17" s="22">
        <f t="shared" si="8"/>
        <v>549.1188889</v>
      </c>
      <c r="R17" s="22">
        <f t="shared" si="8"/>
        <v>549.1188889</v>
      </c>
      <c r="S17" s="22">
        <f t="shared" si="8"/>
        <v>549.1188889</v>
      </c>
      <c r="T17" s="22">
        <f t="shared" si="8"/>
        <v>549.1188889</v>
      </c>
      <c r="U17" s="22">
        <f t="shared" si="8"/>
        <v>6589.426667</v>
      </c>
      <c r="V17" s="22">
        <f t="shared" si="8"/>
        <v>275130.3534</v>
      </c>
      <c r="W17" s="22">
        <f t="shared" si="8"/>
        <v>8333.296552</v>
      </c>
      <c r="X17" s="2"/>
      <c r="Y17" s="2"/>
      <c r="Z17" s="6"/>
      <c r="AA17" s="23"/>
      <c r="AB17" s="23"/>
    </row>
    <row r="18" ht="12.75" customHeight="1">
      <c r="A18" s="15"/>
      <c r="B18" s="18"/>
      <c r="C18" s="7"/>
      <c r="D18" s="3"/>
      <c r="E18" s="17"/>
      <c r="F18" s="3"/>
      <c r="G18" s="3"/>
      <c r="H18" s="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2"/>
      <c r="Y18" s="2"/>
      <c r="Z18" s="6"/>
      <c r="AA18" s="2"/>
      <c r="AB18" s="2"/>
    </row>
    <row r="19" ht="12.75" customHeight="1">
      <c r="A19" s="8" t="s">
        <v>2</v>
      </c>
      <c r="B19" s="8" t="s">
        <v>3</v>
      </c>
      <c r="C19" s="8" t="s">
        <v>4</v>
      </c>
      <c r="D19" s="9" t="s">
        <v>18</v>
      </c>
      <c r="E19" s="9" t="s">
        <v>6</v>
      </c>
      <c r="F19" s="9" t="s">
        <v>20</v>
      </c>
      <c r="G19" s="9" t="s">
        <v>8</v>
      </c>
      <c r="H19" s="10" t="s">
        <v>9</v>
      </c>
      <c r="I19" s="11">
        <v>45382.0</v>
      </c>
      <c r="J19" s="11">
        <v>45412.0</v>
      </c>
      <c r="K19" s="11">
        <v>45443.0</v>
      </c>
      <c r="L19" s="11">
        <v>45473.0</v>
      </c>
      <c r="M19" s="11">
        <v>45504.0</v>
      </c>
      <c r="N19" s="11">
        <v>45535.0</v>
      </c>
      <c r="O19" s="11">
        <v>45565.0</v>
      </c>
      <c r="P19" s="11">
        <v>45596.0</v>
      </c>
      <c r="Q19" s="11">
        <v>45626.0</v>
      </c>
      <c r="R19" s="11">
        <v>45657.0</v>
      </c>
      <c r="S19" s="11">
        <v>45688.0</v>
      </c>
      <c r="T19" s="11">
        <v>45716.0</v>
      </c>
      <c r="U19" s="11" t="s">
        <v>10</v>
      </c>
      <c r="V19" s="11" t="s">
        <v>11</v>
      </c>
      <c r="W19" s="11" t="s">
        <v>61</v>
      </c>
      <c r="X19" s="2"/>
      <c r="Y19" s="2"/>
      <c r="Z19" s="6"/>
      <c r="AA19" s="2"/>
      <c r="AB19" s="6"/>
    </row>
    <row r="20" ht="12.75" customHeight="1">
      <c r="A20" s="13" t="s">
        <v>21</v>
      </c>
      <c r="B20" s="2"/>
      <c r="C20" s="2"/>
      <c r="D20" s="14"/>
      <c r="E20" s="3"/>
      <c r="F20" s="3"/>
      <c r="G20" s="3"/>
      <c r="H20" s="4" t="s">
        <v>22</v>
      </c>
      <c r="I20" s="13" t="str">
        <f>+A20</f>
        <v>6200&gt;020 (Furniture &amp; Fittings&gt;Cost)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2"/>
      <c r="Y20" s="2"/>
      <c r="Z20" s="2"/>
      <c r="AA20" s="2"/>
      <c r="AB20" s="2"/>
    </row>
    <row r="21" ht="12.75" customHeight="1">
      <c r="A21" s="8"/>
      <c r="B21" s="2"/>
      <c r="C21" s="2"/>
      <c r="D21" s="14"/>
      <c r="E21" s="3"/>
      <c r="F21" s="3"/>
      <c r="G21" s="3"/>
      <c r="H21" s="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/>
      <c r="Y21" s="2"/>
      <c r="Z21" s="2"/>
      <c r="AA21" s="2"/>
      <c r="AB21" s="2"/>
    </row>
    <row r="22" ht="12.75" customHeight="1">
      <c r="A22" s="15">
        <v>42836.0</v>
      </c>
      <c r="B22" s="16">
        <v>30110.0</v>
      </c>
      <c r="C22" s="7" t="s">
        <v>23</v>
      </c>
      <c r="D22" s="17">
        <f>'FAR21'!G19</f>
        <v>52250</v>
      </c>
      <c r="E22" s="3"/>
      <c r="F22" s="3"/>
      <c r="G22" s="3">
        <f t="shared" ref="G22:G27" si="9">+D22+E22-F22</f>
        <v>52250</v>
      </c>
      <c r="H22" s="4"/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f t="shared" ref="U22:U28" si="10">SUM(I22:T22)</f>
        <v>0</v>
      </c>
      <c r="V22" s="3">
        <f>'FAR24'!V22+U22</f>
        <v>52249.99606</v>
      </c>
      <c r="W22" s="3">
        <f t="shared" ref="W22:W27" si="11">+G22-V22</f>
        <v>0.003942161333</v>
      </c>
      <c r="X22" s="2"/>
      <c r="Y22" s="2"/>
      <c r="Z22" s="2"/>
      <c r="AA22" s="2"/>
      <c r="AB22" s="2"/>
    </row>
    <row r="23" ht="12.75" customHeight="1">
      <c r="A23" s="15">
        <v>43165.0</v>
      </c>
      <c r="B23" s="16" t="s">
        <v>31</v>
      </c>
      <c r="C23" s="7" t="s">
        <v>32</v>
      </c>
      <c r="D23" s="17">
        <f>'FAR21'!G20</f>
        <v>44144</v>
      </c>
      <c r="E23" s="3"/>
      <c r="F23" s="3"/>
      <c r="G23" s="3">
        <f t="shared" si="9"/>
        <v>44144</v>
      </c>
      <c r="H23" s="4"/>
      <c r="I23" s="3">
        <v>109.18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f t="shared" si="10"/>
        <v>109.18</v>
      </c>
      <c r="V23" s="3">
        <f>'FAR24'!V23+U23</f>
        <v>44143.99583</v>
      </c>
      <c r="W23" s="3">
        <f t="shared" si="11"/>
        <v>0.004170471831</v>
      </c>
      <c r="X23" s="2"/>
      <c r="Y23" s="2"/>
      <c r="Z23" s="2"/>
      <c r="AA23" s="2"/>
      <c r="AB23" s="2"/>
    </row>
    <row r="24" ht="12.75" customHeight="1">
      <c r="A24" s="15">
        <v>43179.0</v>
      </c>
      <c r="B24" s="16">
        <v>32006.0</v>
      </c>
      <c r="C24" s="7" t="s">
        <v>33</v>
      </c>
      <c r="D24" s="17">
        <f>'FAR21'!G21</f>
        <v>19430</v>
      </c>
      <c r="E24" s="3"/>
      <c r="F24" s="3"/>
      <c r="G24" s="3">
        <f t="shared" si="9"/>
        <v>19430</v>
      </c>
      <c r="H24" s="4"/>
      <c r="I24" s="3">
        <v>172.27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f t="shared" si="10"/>
        <v>172.27</v>
      </c>
      <c r="V24" s="3">
        <f>'FAR24'!V24+U24</f>
        <v>19430.0025</v>
      </c>
      <c r="W24" s="3">
        <f t="shared" si="11"/>
        <v>-0.002496194829</v>
      </c>
      <c r="X24" s="2"/>
      <c r="Y24" s="2"/>
      <c r="Z24" s="2"/>
      <c r="AA24" s="2"/>
      <c r="AB24" s="2"/>
    </row>
    <row r="25" ht="12.75" customHeight="1">
      <c r="A25" s="15">
        <v>43578.0</v>
      </c>
      <c r="B25" s="16" t="s">
        <v>36</v>
      </c>
      <c r="C25" s="7" t="s">
        <v>37</v>
      </c>
      <c r="D25" s="17">
        <f>'FAR21'!G22</f>
        <v>26544</v>
      </c>
      <c r="E25" s="3"/>
      <c r="F25" s="3"/>
      <c r="G25" s="3">
        <f t="shared" si="9"/>
        <v>26544</v>
      </c>
      <c r="H25" s="4"/>
      <c r="I25" s="3">
        <f t="shared" ref="I25:T25" si="12">+$G25/$H$20/12</f>
        <v>368.6666667</v>
      </c>
      <c r="J25" s="3">
        <f t="shared" si="12"/>
        <v>368.6666667</v>
      </c>
      <c r="K25" s="3">
        <f t="shared" si="12"/>
        <v>368.6666667</v>
      </c>
      <c r="L25" s="3">
        <f t="shared" si="12"/>
        <v>368.6666667</v>
      </c>
      <c r="M25" s="3">
        <f t="shared" si="12"/>
        <v>368.6666667</v>
      </c>
      <c r="N25" s="3">
        <f t="shared" si="12"/>
        <v>368.6666667</v>
      </c>
      <c r="O25" s="3">
        <f t="shared" si="12"/>
        <v>368.6666667</v>
      </c>
      <c r="P25" s="3">
        <f t="shared" si="12"/>
        <v>368.6666667</v>
      </c>
      <c r="Q25" s="3">
        <f t="shared" si="12"/>
        <v>368.6666667</v>
      </c>
      <c r="R25" s="3">
        <f t="shared" si="12"/>
        <v>368.6666667</v>
      </c>
      <c r="S25" s="3">
        <f t="shared" si="12"/>
        <v>368.6666667</v>
      </c>
      <c r="T25" s="3">
        <f t="shared" si="12"/>
        <v>368.6666667</v>
      </c>
      <c r="U25" s="3">
        <f t="shared" si="10"/>
        <v>4424</v>
      </c>
      <c r="V25" s="3">
        <f>'FAR24'!V25+U25</f>
        <v>25891.5105</v>
      </c>
      <c r="W25" s="3">
        <f t="shared" si="11"/>
        <v>652.4894977</v>
      </c>
      <c r="X25" s="2"/>
      <c r="Y25" s="2"/>
      <c r="Z25" s="2"/>
      <c r="AA25" s="2"/>
      <c r="AB25" s="2"/>
    </row>
    <row r="26" ht="12.75" customHeight="1">
      <c r="A26" s="15">
        <v>43710.0</v>
      </c>
      <c r="B26" s="16">
        <v>34825.0</v>
      </c>
      <c r="C26" s="7" t="s">
        <v>38</v>
      </c>
      <c r="D26" s="17">
        <f>'FAR21'!G23</f>
        <v>15767</v>
      </c>
      <c r="E26" s="3"/>
      <c r="F26" s="3"/>
      <c r="G26" s="3">
        <f t="shared" si="9"/>
        <v>15767</v>
      </c>
      <c r="H26" s="4"/>
      <c r="I26" s="3">
        <f t="shared" ref="I26:T26" si="13">+$G26/$H$20/12</f>
        <v>218.9861111</v>
      </c>
      <c r="J26" s="3">
        <f t="shared" si="13"/>
        <v>218.9861111</v>
      </c>
      <c r="K26" s="3">
        <f t="shared" si="13"/>
        <v>218.9861111</v>
      </c>
      <c r="L26" s="3">
        <f t="shared" si="13"/>
        <v>218.9861111</v>
      </c>
      <c r="M26" s="3">
        <f t="shared" si="13"/>
        <v>218.9861111</v>
      </c>
      <c r="N26" s="3">
        <f t="shared" si="13"/>
        <v>218.9861111</v>
      </c>
      <c r="O26" s="3">
        <f t="shared" si="13"/>
        <v>218.9861111</v>
      </c>
      <c r="P26" s="3">
        <f t="shared" si="13"/>
        <v>218.9861111</v>
      </c>
      <c r="Q26" s="3">
        <f t="shared" si="13"/>
        <v>218.9861111</v>
      </c>
      <c r="R26" s="3">
        <f t="shared" si="13"/>
        <v>218.9861111</v>
      </c>
      <c r="S26" s="3">
        <f t="shared" si="13"/>
        <v>218.9861111</v>
      </c>
      <c r="T26" s="3">
        <f t="shared" si="13"/>
        <v>218.9861111</v>
      </c>
      <c r="U26" s="3">
        <f t="shared" si="10"/>
        <v>2627.833333</v>
      </c>
      <c r="V26" s="3">
        <f>'FAR24'!V26+U26</f>
        <v>14453.08333</v>
      </c>
      <c r="W26" s="3">
        <f t="shared" si="11"/>
        <v>1313.916667</v>
      </c>
      <c r="X26" s="2"/>
      <c r="Y26" s="2"/>
      <c r="Z26" s="2"/>
      <c r="AA26" s="2"/>
      <c r="AB26" s="2"/>
    </row>
    <row r="27" ht="12.75" customHeight="1">
      <c r="A27" s="15">
        <v>43710.0</v>
      </c>
      <c r="B27" s="16">
        <v>34825.0</v>
      </c>
      <c r="C27" s="7" t="s">
        <v>39</v>
      </c>
      <c r="D27" s="17">
        <f>'FAR21'!G24</f>
        <v>25647</v>
      </c>
      <c r="E27" s="17"/>
      <c r="F27" s="3"/>
      <c r="G27" s="3">
        <f t="shared" si="9"/>
        <v>25647</v>
      </c>
      <c r="H27" s="4"/>
      <c r="I27" s="3">
        <f t="shared" ref="I27:T27" si="14">+$G27/$H$20/12</f>
        <v>356.2083333</v>
      </c>
      <c r="J27" s="3">
        <f t="shared" si="14"/>
        <v>356.2083333</v>
      </c>
      <c r="K27" s="3">
        <f t="shared" si="14"/>
        <v>356.2083333</v>
      </c>
      <c r="L27" s="3">
        <f t="shared" si="14"/>
        <v>356.2083333</v>
      </c>
      <c r="M27" s="3">
        <f t="shared" si="14"/>
        <v>356.2083333</v>
      </c>
      <c r="N27" s="3">
        <f t="shared" si="14"/>
        <v>356.2083333</v>
      </c>
      <c r="O27" s="3">
        <f t="shared" si="14"/>
        <v>356.2083333</v>
      </c>
      <c r="P27" s="3">
        <f t="shared" si="14"/>
        <v>356.2083333</v>
      </c>
      <c r="Q27" s="3">
        <f t="shared" si="14"/>
        <v>356.2083333</v>
      </c>
      <c r="R27" s="3">
        <f t="shared" si="14"/>
        <v>356.2083333</v>
      </c>
      <c r="S27" s="3">
        <f t="shared" si="14"/>
        <v>356.2083333</v>
      </c>
      <c r="T27" s="3">
        <f t="shared" si="14"/>
        <v>356.2083333</v>
      </c>
      <c r="U27" s="3">
        <f t="shared" si="10"/>
        <v>4274.5</v>
      </c>
      <c r="V27" s="3">
        <f>'FAR24'!V27+U27</f>
        <v>23509.75</v>
      </c>
      <c r="W27" s="3">
        <f t="shared" si="11"/>
        <v>2137.25</v>
      </c>
      <c r="X27" s="2"/>
      <c r="Y27" s="2"/>
      <c r="Z27" s="2"/>
      <c r="AA27" s="2"/>
      <c r="AB27" s="2"/>
    </row>
    <row r="28" ht="12.75" customHeight="1">
      <c r="A28" s="15">
        <v>44791.0</v>
      </c>
      <c r="B28" s="16" t="s">
        <v>31</v>
      </c>
      <c r="C28" s="7" t="s">
        <v>52</v>
      </c>
      <c r="D28" s="17">
        <v>13715.0</v>
      </c>
      <c r="E28" s="17"/>
      <c r="F28" s="3"/>
      <c r="G28" s="3">
        <v>13715.0</v>
      </c>
      <c r="H28" s="4"/>
      <c r="I28" s="3">
        <f t="shared" ref="I28:T28" si="15">+$G28/$H$20/12</f>
        <v>190.4861111</v>
      </c>
      <c r="J28" s="3">
        <f t="shared" si="15"/>
        <v>190.4861111</v>
      </c>
      <c r="K28" s="3">
        <f t="shared" si="15"/>
        <v>190.4861111</v>
      </c>
      <c r="L28" s="3">
        <f t="shared" si="15"/>
        <v>190.4861111</v>
      </c>
      <c r="M28" s="3">
        <f t="shared" si="15"/>
        <v>190.4861111</v>
      </c>
      <c r="N28" s="3">
        <f t="shared" si="15"/>
        <v>190.4861111</v>
      </c>
      <c r="O28" s="3">
        <f t="shared" si="15"/>
        <v>190.4861111</v>
      </c>
      <c r="P28" s="3">
        <f t="shared" si="15"/>
        <v>190.4861111</v>
      </c>
      <c r="Q28" s="3">
        <f t="shared" si="15"/>
        <v>190.4861111</v>
      </c>
      <c r="R28" s="3">
        <f t="shared" si="15"/>
        <v>190.4861111</v>
      </c>
      <c r="S28" s="3">
        <f t="shared" si="15"/>
        <v>190.4861111</v>
      </c>
      <c r="T28" s="3">
        <f t="shared" si="15"/>
        <v>190.4861111</v>
      </c>
      <c r="U28" s="3">
        <f t="shared" si="10"/>
        <v>2285.833333</v>
      </c>
      <c r="V28" s="3">
        <f>'FAR24'!V28+U28</f>
        <v>5795.996575</v>
      </c>
      <c r="W28" s="3">
        <f>G28-V28</f>
        <v>7919.003425</v>
      </c>
      <c r="X28" s="2"/>
      <c r="Y28" s="2"/>
      <c r="Z28" s="2"/>
      <c r="AA28" s="2"/>
      <c r="AB28" s="2"/>
    </row>
    <row r="29" ht="12.75" customHeight="1">
      <c r="A29" s="15"/>
      <c r="B29" s="16"/>
      <c r="C29" s="7"/>
      <c r="D29" s="3"/>
      <c r="E29" s="17"/>
      <c r="F29" s="3"/>
      <c r="G29" s="3"/>
      <c r="H29" s="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/>
      <c r="Y29" s="2"/>
      <c r="Z29" s="2"/>
      <c r="AA29" s="2"/>
      <c r="AB29" s="2"/>
    </row>
    <row r="30" ht="12.75" customHeight="1">
      <c r="A30" s="23"/>
      <c r="B30" s="23"/>
      <c r="C30" s="23"/>
      <c r="D30" s="22">
        <f t="shared" ref="D30:E30" si="16">SUM(D20:D29)</f>
        <v>197497</v>
      </c>
      <c r="E30" s="22">
        <f t="shared" si="16"/>
        <v>0</v>
      </c>
      <c r="F30" s="22">
        <f>SUM(F20:F27)</f>
        <v>0</v>
      </c>
      <c r="G30" s="22">
        <f>SUM(D30:F30)</f>
        <v>197497</v>
      </c>
      <c r="H30" s="4"/>
      <c r="I30" s="22">
        <f t="shared" ref="I30:W30" si="17">SUM(I22:I29)</f>
        <v>1415.797222</v>
      </c>
      <c r="J30" s="22">
        <f t="shared" si="17"/>
        <v>1134.347222</v>
      </c>
      <c r="K30" s="22">
        <f t="shared" si="17"/>
        <v>1134.347222</v>
      </c>
      <c r="L30" s="22">
        <f t="shared" si="17"/>
        <v>1134.347222</v>
      </c>
      <c r="M30" s="22">
        <f t="shared" si="17"/>
        <v>1134.347222</v>
      </c>
      <c r="N30" s="22">
        <f t="shared" si="17"/>
        <v>1134.347222</v>
      </c>
      <c r="O30" s="22">
        <f t="shared" si="17"/>
        <v>1134.347222</v>
      </c>
      <c r="P30" s="22">
        <f t="shared" si="17"/>
        <v>1134.347222</v>
      </c>
      <c r="Q30" s="22">
        <f t="shared" si="17"/>
        <v>1134.347222</v>
      </c>
      <c r="R30" s="22">
        <f t="shared" si="17"/>
        <v>1134.347222</v>
      </c>
      <c r="S30" s="22">
        <f t="shared" si="17"/>
        <v>1134.347222</v>
      </c>
      <c r="T30" s="22">
        <f t="shared" si="17"/>
        <v>1134.347222</v>
      </c>
      <c r="U30" s="22">
        <f t="shared" si="17"/>
        <v>13893.61667</v>
      </c>
      <c r="V30" s="22">
        <f t="shared" si="17"/>
        <v>185474.3348</v>
      </c>
      <c r="W30" s="22">
        <f t="shared" si="17"/>
        <v>12022.66521</v>
      </c>
      <c r="X30" s="2"/>
      <c r="Y30" s="23"/>
      <c r="Z30" s="23"/>
      <c r="AA30" s="23"/>
      <c r="AB30" s="23"/>
    </row>
    <row r="31" ht="12.75" customHeight="1">
      <c r="A31" s="23"/>
      <c r="B31" s="23"/>
      <c r="C31" s="23"/>
      <c r="D31" s="24"/>
      <c r="E31" s="24"/>
      <c r="F31" s="24"/>
      <c r="G31" s="24"/>
      <c r="H31" s="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"/>
      <c r="Y31" s="23"/>
      <c r="Z31" s="23"/>
      <c r="AA31" s="23"/>
      <c r="AB31" s="23"/>
    </row>
    <row r="32" ht="12.75" customHeight="1">
      <c r="A32" s="8" t="s">
        <v>2</v>
      </c>
      <c r="B32" s="8" t="s">
        <v>3</v>
      </c>
      <c r="C32" s="8" t="s">
        <v>4</v>
      </c>
      <c r="D32" s="9" t="s">
        <v>18</v>
      </c>
      <c r="E32" s="9" t="s">
        <v>6</v>
      </c>
      <c r="F32" s="9" t="s">
        <v>20</v>
      </c>
      <c r="G32" s="9" t="s">
        <v>8</v>
      </c>
      <c r="H32" s="10" t="s">
        <v>9</v>
      </c>
      <c r="I32" s="11">
        <v>45382.0</v>
      </c>
      <c r="J32" s="11">
        <v>45412.0</v>
      </c>
      <c r="K32" s="11">
        <v>45443.0</v>
      </c>
      <c r="L32" s="11">
        <v>45473.0</v>
      </c>
      <c r="M32" s="11">
        <v>45504.0</v>
      </c>
      <c r="N32" s="11">
        <v>45535.0</v>
      </c>
      <c r="O32" s="11">
        <v>45565.0</v>
      </c>
      <c r="P32" s="11">
        <v>45596.0</v>
      </c>
      <c r="Q32" s="11">
        <v>45626.0</v>
      </c>
      <c r="R32" s="11">
        <v>45657.0</v>
      </c>
      <c r="S32" s="11">
        <v>45688.0</v>
      </c>
      <c r="T32" s="11">
        <v>45716.0</v>
      </c>
      <c r="U32" s="11" t="s">
        <v>10</v>
      </c>
      <c r="V32" s="11" t="s">
        <v>11</v>
      </c>
      <c r="W32" s="11" t="s">
        <v>61</v>
      </c>
      <c r="X32" s="2"/>
      <c r="Y32" s="2"/>
      <c r="Z32" s="6"/>
      <c r="AA32" s="2"/>
      <c r="AB32" s="6"/>
    </row>
    <row r="33" ht="12.75" customHeight="1">
      <c r="A33" s="13" t="s">
        <v>24</v>
      </c>
      <c r="B33" s="2"/>
      <c r="C33" s="2"/>
      <c r="D33" s="3"/>
      <c r="E33" s="14"/>
      <c r="F33" s="3"/>
      <c r="G33" s="3"/>
      <c r="H33" s="4" t="s">
        <v>25</v>
      </c>
      <c r="I33" s="13" t="str">
        <f>+A33</f>
        <v>6300&gt;020 (Motor Vehicles&gt;Cost)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2"/>
      <c r="Z33" s="2"/>
      <c r="AA33" s="2"/>
      <c r="AB33" s="2"/>
    </row>
    <row r="34" ht="12.75" customHeight="1">
      <c r="A34" s="8"/>
      <c r="B34" s="2"/>
      <c r="C34" s="2"/>
      <c r="D34" s="3"/>
      <c r="E34" s="14"/>
      <c r="F34" s="3"/>
      <c r="G34" s="3"/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2"/>
      <c r="Y34" s="2"/>
      <c r="Z34" s="2"/>
      <c r="AA34" s="2"/>
      <c r="AB34" s="2"/>
    </row>
    <row r="35" ht="12.75" customHeight="1">
      <c r="A35" s="15">
        <v>42860.0</v>
      </c>
      <c r="B35" s="16">
        <v>8.900964E7</v>
      </c>
      <c r="C35" s="7" t="s">
        <v>26</v>
      </c>
      <c r="D35" s="3">
        <f>'FAR21'!G31</f>
        <v>255969.92</v>
      </c>
      <c r="E35" s="17"/>
      <c r="F35" s="3"/>
      <c r="G35" s="3">
        <f>+D35+E35-F35</f>
        <v>255969.92</v>
      </c>
      <c r="H35" s="4"/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f>SUM(I35:T35)</f>
        <v>0</v>
      </c>
      <c r="V35" s="3">
        <f>'FAR23'!V32</f>
        <v>255969.9194</v>
      </c>
      <c r="W35" s="3">
        <f>+G35-V35</f>
        <v>0.0005826484412</v>
      </c>
      <c r="X35" s="2"/>
      <c r="Y35" s="2"/>
      <c r="Z35" s="2"/>
      <c r="AA35" s="2"/>
      <c r="AB35" s="2"/>
    </row>
    <row r="36" ht="12.75" customHeight="1">
      <c r="A36" s="7"/>
      <c r="B36" s="7"/>
      <c r="C36" s="7"/>
      <c r="D36" s="3"/>
      <c r="E36" s="17"/>
      <c r="F36" s="3"/>
      <c r="G36" s="3"/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2"/>
      <c r="Y36" s="2"/>
      <c r="Z36" s="2"/>
      <c r="AA36" s="2"/>
      <c r="AB36" s="2"/>
    </row>
    <row r="37" ht="12.75" customHeight="1">
      <c r="A37" s="23"/>
      <c r="B37" s="23"/>
      <c r="C37" s="23"/>
      <c r="D37" s="22">
        <f t="shared" ref="D37:F37" si="18">SUM(D35)</f>
        <v>255969.92</v>
      </c>
      <c r="E37" s="21">
        <f t="shared" si="18"/>
        <v>0</v>
      </c>
      <c r="F37" s="22">
        <f t="shared" si="18"/>
        <v>0</v>
      </c>
      <c r="G37" s="22">
        <f>SUM(D37:F37)</f>
        <v>255969.92</v>
      </c>
      <c r="H37" s="4"/>
      <c r="I37" s="22">
        <f t="shared" ref="I37:W37" si="19">SUM(I35)</f>
        <v>0</v>
      </c>
      <c r="J37" s="22">
        <f t="shared" si="19"/>
        <v>0</v>
      </c>
      <c r="K37" s="22">
        <f t="shared" si="19"/>
        <v>0</v>
      </c>
      <c r="L37" s="22">
        <f t="shared" si="19"/>
        <v>0</v>
      </c>
      <c r="M37" s="22">
        <f t="shared" si="19"/>
        <v>0</v>
      </c>
      <c r="N37" s="22">
        <f t="shared" si="19"/>
        <v>0</v>
      </c>
      <c r="O37" s="22">
        <f t="shared" si="19"/>
        <v>0</v>
      </c>
      <c r="P37" s="22">
        <f t="shared" si="19"/>
        <v>0</v>
      </c>
      <c r="Q37" s="22">
        <f t="shared" si="19"/>
        <v>0</v>
      </c>
      <c r="R37" s="22">
        <f t="shared" si="19"/>
        <v>0</v>
      </c>
      <c r="S37" s="22">
        <f t="shared" si="19"/>
        <v>0</v>
      </c>
      <c r="T37" s="22">
        <f t="shared" si="19"/>
        <v>0</v>
      </c>
      <c r="U37" s="22">
        <f t="shared" si="19"/>
        <v>0</v>
      </c>
      <c r="V37" s="22">
        <f t="shared" si="19"/>
        <v>255969.9194</v>
      </c>
      <c r="W37" s="22">
        <f t="shared" si="19"/>
        <v>0.0005826484412</v>
      </c>
      <c r="X37" s="23"/>
      <c r="Y37" s="23"/>
      <c r="Z37" s="23"/>
      <c r="AA37" s="23"/>
      <c r="AB37" s="23"/>
    </row>
    <row r="38" ht="12.75" customHeight="1">
      <c r="A38" s="23"/>
      <c r="B38" s="23"/>
      <c r="C38" s="23"/>
      <c r="D38" s="24"/>
      <c r="E38" s="14"/>
      <c r="F38" s="24"/>
      <c r="G38" s="24"/>
      <c r="H38" s="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3"/>
      <c r="Y38" s="23"/>
      <c r="Z38" s="23"/>
      <c r="AA38" s="23"/>
      <c r="AB38" s="23"/>
    </row>
    <row r="39" ht="12.75" customHeight="1">
      <c r="A39" s="23"/>
      <c r="B39" s="23"/>
      <c r="C39" s="23"/>
      <c r="D39" s="24"/>
      <c r="E39" s="14"/>
      <c r="F39" s="24"/>
      <c r="G39" s="24"/>
      <c r="H39" s="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3"/>
      <c r="Y39" s="23"/>
      <c r="Z39" s="23"/>
      <c r="AA39" s="23"/>
      <c r="AB39" s="23"/>
    </row>
    <row r="40" ht="12.75" customHeight="1">
      <c r="A40" s="8" t="s">
        <v>2</v>
      </c>
      <c r="B40" s="8" t="s">
        <v>3</v>
      </c>
      <c r="C40" s="8" t="s">
        <v>4</v>
      </c>
      <c r="D40" s="9" t="s">
        <v>18</v>
      </c>
      <c r="E40" s="9" t="s">
        <v>6</v>
      </c>
      <c r="F40" s="9" t="s">
        <v>20</v>
      </c>
      <c r="G40" s="9" t="s">
        <v>8</v>
      </c>
      <c r="H40" s="10" t="s">
        <v>9</v>
      </c>
      <c r="I40" s="11">
        <v>45382.0</v>
      </c>
      <c r="J40" s="11">
        <v>45412.0</v>
      </c>
      <c r="K40" s="11">
        <v>45443.0</v>
      </c>
      <c r="L40" s="11">
        <v>45473.0</v>
      </c>
      <c r="M40" s="11">
        <v>45504.0</v>
      </c>
      <c r="N40" s="11">
        <v>45535.0</v>
      </c>
      <c r="O40" s="11">
        <v>45565.0</v>
      </c>
      <c r="P40" s="11">
        <v>45596.0</v>
      </c>
      <c r="Q40" s="11">
        <v>45626.0</v>
      </c>
      <c r="R40" s="11">
        <v>45657.0</v>
      </c>
      <c r="S40" s="11">
        <v>45688.0</v>
      </c>
      <c r="T40" s="11">
        <v>45716.0</v>
      </c>
      <c r="U40" s="11" t="s">
        <v>10</v>
      </c>
      <c r="V40" s="11" t="s">
        <v>11</v>
      </c>
      <c r="W40" s="11" t="s">
        <v>61</v>
      </c>
      <c r="X40" s="2"/>
      <c r="Y40" s="2"/>
      <c r="Z40" s="2"/>
      <c r="AA40" s="2"/>
      <c r="AB40" s="2"/>
    </row>
    <row r="41" ht="12.75" customHeight="1">
      <c r="A41" s="13" t="s">
        <v>58</v>
      </c>
      <c r="B41" s="8"/>
      <c r="C41" s="8"/>
      <c r="D41" s="9"/>
      <c r="E41" s="9"/>
      <c r="F41" s="9"/>
      <c r="G41" s="9"/>
      <c r="H41" s="10"/>
      <c r="I41" s="35" t="str">
        <f>+A41</f>
        <v>6400&gt;020 (Office Equipment&gt;Cost)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2"/>
      <c r="Y41" s="2"/>
      <c r="Z41" s="2"/>
      <c r="AA41" s="2"/>
      <c r="AB41" s="2"/>
    </row>
    <row r="42" ht="12.75" customHeight="1">
      <c r="A42" s="2"/>
      <c r="B42" s="2"/>
      <c r="C42" s="2"/>
      <c r="D42" s="14"/>
      <c r="E42" s="3"/>
      <c r="F42" s="3"/>
      <c r="G42" s="3"/>
      <c r="H42" s="4" t="s">
        <v>22</v>
      </c>
      <c r="I42" s="1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2"/>
      <c r="Y42" s="2"/>
      <c r="Z42" s="2"/>
      <c r="AA42" s="2"/>
      <c r="AB42" s="2"/>
    </row>
    <row r="43" ht="12.75" customHeight="1">
      <c r="A43" s="6">
        <v>45139.0</v>
      </c>
      <c r="B43" s="2" t="s">
        <v>59</v>
      </c>
      <c r="C43" s="2" t="s">
        <v>60</v>
      </c>
      <c r="D43" s="14"/>
      <c r="E43" s="3">
        <v>44100.0</v>
      </c>
      <c r="F43" s="3"/>
      <c r="G43" s="3">
        <v>44100.0</v>
      </c>
      <c r="H43" s="4"/>
      <c r="I43" s="3">
        <f t="shared" ref="I43:T43" si="20">+$G43/$H$42/12</f>
        <v>612.5</v>
      </c>
      <c r="J43" s="3">
        <f t="shared" si="20"/>
        <v>612.5</v>
      </c>
      <c r="K43" s="3">
        <f t="shared" si="20"/>
        <v>612.5</v>
      </c>
      <c r="L43" s="3">
        <f t="shared" si="20"/>
        <v>612.5</v>
      </c>
      <c r="M43" s="3">
        <f t="shared" si="20"/>
        <v>612.5</v>
      </c>
      <c r="N43" s="3">
        <f t="shared" si="20"/>
        <v>612.5</v>
      </c>
      <c r="O43" s="3">
        <f t="shared" si="20"/>
        <v>612.5</v>
      </c>
      <c r="P43" s="3">
        <f t="shared" si="20"/>
        <v>612.5</v>
      </c>
      <c r="Q43" s="3">
        <f t="shared" si="20"/>
        <v>612.5</v>
      </c>
      <c r="R43" s="3">
        <f t="shared" si="20"/>
        <v>612.5</v>
      </c>
      <c r="S43" s="3">
        <f t="shared" si="20"/>
        <v>612.5</v>
      </c>
      <c r="T43" s="3">
        <f t="shared" si="20"/>
        <v>612.5</v>
      </c>
      <c r="U43" s="3">
        <f>SUM(I43:T43)</f>
        <v>7350</v>
      </c>
      <c r="V43" s="3">
        <f>'FAR24'!V43+U43</f>
        <v>11637.5</v>
      </c>
      <c r="W43" s="3">
        <f>G43-V43</f>
        <v>32462.5</v>
      </c>
      <c r="X43" s="2"/>
      <c r="Y43" s="2"/>
      <c r="Z43" s="2"/>
      <c r="AA43" s="2"/>
      <c r="AB43" s="2"/>
    </row>
    <row r="44" ht="12.75" customHeight="1">
      <c r="A44" s="2"/>
      <c r="B44" s="2"/>
      <c r="C44" s="2"/>
      <c r="D44" s="14"/>
      <c r="E44" s="3"/>
      <c r="F44" s="3"/>
      <c r="G44" s="3"/>
      <c r="H44" s="4"/>
      <c r="I44" s="1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2"/>
      <c r="Y44" s="2"/>
      <c r="Z44" s="2"/>
      <c r="AA44" s="2"/>
      <c r="AB44" s="2"/>
    </row>
    <row r="45" ht="12.75" customHeight="1">
      <c r="A45" s="2"/>
      <c r="B45" s="2"/>
      <c r="C45" s="2"/>
      <c r="D45" s="36">
        <f t="shared" ref="D45:E45" si="21">SUM(D43:D44)</f>
        <v>0</v>
      </c>
      <c r="E45" s="36">
        <f t="shared" si="21"/>
        <v>44100</v>
      </c>
      <c r="F45" s="36"/>
      <c r="G45" s="36">
        <f>SUM(G43:G44)</f>
        <v>44100</v>
      </c>
      <c r="H45" s="4"/>
      <c r="I45" s="37">
        <f t="shared" ref="I45:W45" si="22">SUM(I43:I44)</f>
        <v>612.5</v>
      </c>
      <c r="J45" s="37">
        <f t="shared" si="22"/>
        <v>612.5</v>
      </c>
      <c r="K45" s="37">
        <f t="shared" si="22"/>
        <v>612.5</v>
      </c>
      <c r="L45" s="37">
        <f t="shared" si="22"/>
        <v>612.5</v>
      </c>
      <c r="M45" s="37">
        <f t="shared" si="22"/>
        <v>612.5</v>
      </c>
      <c r="N45" s="37">
        <f t="shared" si="22"/>
        <v>612.5</v>
      </c>
      <c r="O45" s="37">
        <f t="shared" si="22"/>
        <v>612.5</v>
      </c>
      <c r="P45" s="37">
        <f t="shared" si="22"/>
        <v>612.5</v>
      </c>
      <c r="Q45" s="37">
        <f t="shared" si="22"/>
        <v>612.5</v>
      </c>
      <c r="R45" s="37">
        <f t="shared" si="22"/>
        <v>612.5</v>
      </c>
      <c r="S45" s="37">
        <f t="shared" si="22"/>
        <v>612.5</v>
      </c>
      <c r="T45" s="37">
        <f t="shared" si="22"/>
        <v>612.5</v>
      </c>
      <c r="U45" s="37">
        <f t="shared" si="22"/>
        <v>7350</v>
      </c>
      <c r="V45" s="37">
        <f t="shared" si="22"/>
        <v>11637.5</v>
      </c>
      <c r="W45" s="37">
        <f t="shared" si="22"/>
        <v>32462.5</v>
      </c>
      <c r="X45" s="2"/>
      <c r="Y45" s="2"/>
      <c r="Z45" s="2"/>
      <c r="AA45" s="2"/>
      <c r="AB45" s="2"/>
    </row>
    <row r="46" ht="12.75" customHeight="1">
      <c r="A46" s="2"/>
      <c r="B46" s="2"/>
      <c r="C46" s="2"/>
      <c r="D46" s="14"/>
      <c r="E46" s="3"/>
      <c r="F46" s="3"/>
      <c r="G46" s="3"/>
      <c r="H46" s="4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"/>
      <c r="V46" s="3"/>
      <c r="W46" s="3"/>
      <c r="X46" s="2"/>
      <c r="Y46" s="2"/>
      <c r="Z46" s="2"/>
      <c r="AA46" s="2"/>
      <c r="AB46" s="2"/>
    </row>
    <row r="47" ht="12.75" customHeight="1">
      <c r="A47" s="8" t="s">
        <v>2</v>
      </c>
      <c r="B47" s="8" t="s">
        <v>3</v>
      </c>
      <c r="C47" s="8" t="s">
        <v>4</v>
      </c>
      <c r="D47" s="9" t="s">
        <v>18</v>
      </c>
      <c r="E47" s="9" t="s">
        <v>6</v>
      </c>
      <c r="F47" s="9" t="s">
        <v>20</v>
      </c>
      <c r="G47" s="9" t="s">
        <v>8</v>
      </c>
      <c r="H47" s="10" t="s">
        <v>9</v>
      </c>
      <c r="I47" s="11">
        <v>45382.0</v>
      </c>
      <c r="J47" s="11">
        <v>45412.0</v>
      </c>
      <c r="K47" s="11">
        <v>45443.0</v>
      </c>
      <c r="L47" s="11">
        <v>45473.0</v>
      </c>
      <c r="M47" s="11">
        <v>45504.0</v>
      </c>
      <c r="N47" s="11">
        <v>45535.0</v>
      </c>
      <c r="O47" s="11">
        <v>45565.0</v>
      </c>
      <c r="P47" s="11">
        <v>45596.0</v>
      </c>
      <c r="Q47" s="11">
        <v>45626.0</v>
      </c>
      <c r="R47" s="11">
        <v>45657.0</v>
      </c>
      <c r="S47" s="11">
        <v>45688.0</v>
      </c>
      <c r="T47" s="11">
        <v>45716.0</v>
      </c>
      <c r="U47" s="11" t="s">
        <v>10</v>
      </c>
      <c r="V47" s="11" t="s">
        <v>11</v>
      </c>
      <c r="W47" s="11" t="s">
        <v>61</v>
      </c>
      <c r="X47" s="2"/>
      <c r="Y47" s="2"/>
      <c r="Z47" s="2"/>
      <c r="AA47" s="2"/>
      <c r="AB47" s="2"/>
    </row>
    <row r="48" ht="12.75" customHeight="1">
      <c r="A48" s="13" t="s">
        <v>62</v>
      </c>
      <c r="B48" s="8"/>
      <c r="C48" s="8"/>
      <c r="D48" s="9"/>
      <c r="E48" s="9"/>
      <c r="F48" s="9"/>
      <c r="G48" s="9"/>
      <c r="H48" s="10"/>
      <c r="I48" s="35" t="str">
        <f>+A48</f>
        <v>6150&gt;020 (Computer Software&gt;Cost)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2"/>
      <c r="Y48" s="2"/>
      <c r="Z48" s="2"/>
      <c r="AA48" s="2"/>
      <c r="AB48" s="2"/>
    </row>
    <row r="49" ht="12.75" customHeight="1">
      <c r="A49" s="2"/>
      <c r="B49" s="2"/>
      <c r="C49" s="2"/>
      <c r="D49" s="14"/>
      <c r="E49" s="3"/>
      <c r="F49" s="3"/>
      <c r="G49" s="3"/>
      <c r="H49" s="4" t="s">
        <v>63</v>
      </c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"/>
      <c r="V49" s="3"/>
      <c r="W49" s="3"/>
      <c r="X49" s="2"/>
      <c r="Y49" s="2"/>
      <c r="Z49" s="2"/>
      <c r="AA49" s="2"/>
      <c r="AB49" s="2"/>
    </row>
    <row r="50" ht="12.75" customHeight="1">
      <c r="A50" s="6">
        <v>45371.0</v>
      </c>
      <c r="B50" s="2" t="s">
        <v>64</v>
      </c>
      <c r="C50" s="2" t="s">
        <v>65</v>
      </c>
      <c r="D50" s="17">
        <v>27173.91</v>
      </c>
      <c r="E50" s="3"/>
      <c r="F50" s="3"/>
      <c r="G50" s="3">
        <v>27173.91</v>
      </c>
      <c r="H50" s="4"/>
      <c r="I50" s="39">
        <f>+$G50/$H$49/365*(30-20)</f>
        <v>248.1635616</v>
      </c>
      <c r="J50" s="39">
        <f t="shared" ref="J50:T50" si="23">+$G50/$H$49/12</f>
        <v>754.8308333</v>
      </c>
      <c r="K50" s="39">
        <f t="shared" si="23"/>
        <v>754.8308333</v>
      </c>
      <c r="L50" s="17">
        <f t="shared" si="23"/>
        <v>754.8308333</v>
      </c>
      <c r="M50" s="17">
        <f t="shared" si="23"/>
        <v>754.8308333</v>
      </c>
      <c r="N50" s="17">
        <f t="shared" si="23"/>
        <v>754.8308333</v>
      </c>
      <c r="O50" s="17">
        <f t="shared" si="23"/>
        <v>754.8308333</v>
      </c>
      <c r="P50" s="17">
        <f t="shared" si="23"/>
        <v>754.8308333</v>
      </c>
      <c r="Q50" s="17">
        <f t="shared" si="23"/>
        <v>754.8308333</v>
      </c>
      <c r="R50" s="17">
        <f t="shared" si="23"/>
        <v>754.8308333</v>
      </c>
      <c r="S50" s="17">
        <f t="shared" si="23"/>
        <v>754.8308333</v>
      </c>
      <c r="T50" s="17">
        <f t="shared" si="23"/>
        <v>754.8308333</v>
      </c>
      <c r="U50" s="39">
        <f>SUM(I50:T50)</f>
        <v>8551.302728</v>
      </c>
      <c r="V50" s="39">
        <f>U50</f>
        <v>8551.302728</v>
      </c>
      <c r="W50" s="39">
        <f>G50-V50</f>
        <v>18622.60727</v>
      </c>
      <c r="X50" s="2"/>
      <c r="Y50" s="2"/>
      <c r="Z50" s="2"/>
      <c r="AA50" s="2"/>
      <c r="AB50" s="2"/>
    </row>
    <row r="51" ht="12.75" customHeight="1">
      <c r="A51" s="6"/>
      <c r="B51" s="2"/>
      <c r="C51" s="2"/>
      <c r="D51" s="17"/>
      <c r="E51" s="3"/>
      <c r="F51" s="3"/>
      <c r="G51" s="3"/>
      <c r="H51" s="4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"/>
      <c r="V51" s="3"/>
      <c r="W51" s="3"/>
      <c r="X51" s="2"/>
      <c r="Y51" s="2"/>
      <c r="Z51" s="2"/>
      <c r="AA51" s="2"/>
      <c r="AB51" s="2"/>
    </row>
    <row r="52" ht="12.75" customHeight="1">
      <c r="A52" s="6"/>
      <c r="B52" s="2"/>
      <c r="C52" s="2"/>
      <c r="D52" s="40">
        <f t="shared" ref="D52:G52" si="24">D50</f>
        <v>27173.91</v>
      </c>
      <c r="E52" s="40" t="str">
        <f t="shared" si="24"/>
        <v/>
      </c>
      <c r="F52" s="40" t="str">
        <f t="shared" si="24"/>
        <v/>
      </c>
      <c r="G52" s="40">
        <f t="shared" si="24"/>
        <v>27173.91</v>
      </c>
      <c r="H52" s="4"/>
      <c r="I52" s="36">
        <f t="shared" ref="I52:W52" si="25">I50</f>
        <v>248.1635616</v>
      </c>
      <c r="J52" s="36">
        <f t="shared" si="25"/>
        <v>754.8308333</v>
      </c>
      <c r="K52" s="36">
        <f t="shared" si="25"/>
        <v>754.8308333</v>
      </c>
      <c r="L52" s="36">
        <f t="shared" si="25"/>
        <v>754.8308333</v>
      </c>
      <c r="M52" s="36">
        <f t="shared" si="25"/>
        <v>754.8308333</v>
      </c>
      <c r="N52" s="36">
        <f t="shared" si="25"/>
        <v>754.8308333</v>
      </c>
      <c r="O52" s="36">
        <f t="shared" si="25"/>
        <v>754.8308333</v>
      </c>
      <c r="P52" s="36">
        <f t="shared" si="25"/>
        <v>754.8308333</v>
      </c>
      <c r="Q52" s="36">
        <f t="shared" si="25"/>
        <v>754.8308333</v>
      </c>
      <c r="R52" s="36">
        <f t="shared" si="25"/>
        <v>754.8308333</v>
      </c>
      <c r="S52" s="36">
        <f t="shared" si="25"/>
        <v>754.8308333</v>
      </c>
      <c r="T52" s="36">
        <f t="shared" si="25"/>
        <v>754.8308333</v>
      </c>
      <c r="U52" s="36">
        <f t="shared" si="25"/>
        <v>8551.302728</v>
      </c>
      <c r="V52" s="36">
        <f t="shared" si="25"/>
        <v>8551.302728</v>
      </c>
      <c r="W52" s="36">
        <f t="shared" si="25"/>
        <v>18622.60727</v>
      </c>
      <c r="X52" s="2"/>
      <c r="Y52" s="2"/>
      <c r="Z52" s="2"/>
      <c r="AA52" s="2"/>
      <c r="AB52" s="2"/>
    </row>
    <row r="53" ht="12.75" customHeight="1">
      <c r="A53" s="2"/>
      <c r="B53" s="2"/>
      <c r="C53" s="2"/>
      <c r="D53" s="3"/>
      <c r="E53" s="9"/>
      <c r="F53" s="3"/>
      <c r="G53" s="3"/>
      <c r="H53" s="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2"/>
      <c r="Y53" s="2"/>
      <c r="Z53" s="2"/>
      <c r="AA53" s="2"/>
      <c r="AB53" s="2"/>
    </row>
    <row r="54" ht="12.75" customHeight="1">
      <c r="A54" s="23" t="s">
        <v>27</v>
      </c>
      <c r="B54" s="2"/>
      <c r="C54" s="2"/>
      <c r="D54" s="22">
        <f>D17+D30+D37+D52</f>
        <v>764104.48</v>
      </c>
      <c r="E54" s="22">
        <f>E17+E30+E37+E45</f>
        <v>44100</v>
      </c>
      <c r="F54" s="22">
        <f>F17+F30+F37</f>
        <v>0</v>
      </c>
      <c r="G54" s="22">
        <f>G17+G30+G37+G45+G52</f>
        <v>808204.48</v>
      </c>
      <c r="H54" s="4"/>
      <c r="I54" s="22">
        <f t="shared" ref="I54:T54" si="26">I17+I30+I37+I45+I52</f>
        <v>2825.579673</v>
      </c>
      <c r="J54" s="22">
        <f t="shared" si="26"/>
        <v>3050.796944</v>
      </c>
      <c r="K54" s="22">
        <f t="shared" si="26"/>
        <v>3050.796944</v>
      </c>
      <c r="L54" s="22">
        <f t="shared" si="26"/>
        <v>3050.796944</v>
      </c>
      <c r="M54" s="22">
        <f t="shared" si="26"/>
        <v>3050.796944</v>
      </c>
      <c r="N54" s="22">
        <f t="shared" si="26"/>
        <v>3050.796944</v>
      </c>
      <c r="O54" s="22">
        <f t="shared" si="26"/>
        <v>3050.796944</v>
      </c>
      <c r="P54" s="22">
        <f t="shared" si="26"/>
        <v>3050.796944</v>
      </c>
      <c r="Q54" s="22">
        <f t="shared" si="26"/>
        <v>3050.796944</v>
      </c>
      <c r="R54" s="22">
        <f t="shared" si="26"/>
        <v>3050.796944</v>
      </c>
      <c r="S54" s="22">
        <f t="shared" si="26"/>
        <v>3050.796944</v>
      </c>
      <c r="T54" s="22">
        <f t="shared" si="26"/>
        <v>3050.796944</v>
      </c>
      <c r="U54" s="22">
        <f t="shared" ref="U54:W54" si="27">U17+U30+U37</f>
        <v>20483.04333</v>
      </c>
      <c r="V54" s="22">
        <f t="shared" si="27"/>
        <v>716574.6077</v>
      </c>
      <c r="W54" s="22">
        <f t="shared" si="27"/>
        <v>20355.96234</v>
      </c>
      <c r="X54" s="2"/>
      <c r="Y54" s="2"/>
      <c r="Z54" s="2"/>
      <c r="AA54" s="2"/>
      <c r="AB54" s="2"/>
    </row>
    <row r="55" ht="12.75" customHeight="1">
      <c r="A55" s="2"/>
      <c r="B55" s="2"/>
      <c r="C55" s="2"/>
      <c r="D55" s="3"/>
      <c r="E55" s="3"/>
      <c r="F55" s="3"/>
      <c r="G55" s="3"/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2"/>
      <c r="Y55" s="2"/>
      <c r="Z55" s="2"/>
      <c r="AA55" s="2"/>
      <c r="AB55" s="2"/>
    </row>
    <row r="56" ht="12.75" customHeight="1">
      <c r="A56" s="2"/>
      <c r="B56" s="2"/>
      <c r="C56" s="2"/>
      <c r="D56" s="3"/>
      <c r="E56" s="3"/>
      <c r="F56" s="3"/>
      <c r="G56" s="3"/>
      <c r="H56" s="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2"/>
      <c r="Y56" s="2"/>
      <c r="Z56" s="2"/>
      <c r="AA56" s="2"/>
      <c r="AB56" s="2"/>
    </row>
    <row r="57" ht="12.75" customHeight="1">
      <c r="A57" s="2"/>
      <c r="B57" s="2"/>
      <c r="C57" s="2"/>
      <c r="D57" s="3"/>
      <c r="E57" s="3"/>
      <c r="F57" s="3"/>
      <c r="G57" s="3"/>
      <c r="H57" s="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2"/>
      <c r="Y57" s="2"/>
      <c r="Z57" s="2"/>
      <c r="AA57" s="2"/>
      <c r="AB57" s="2"/>
    </row>
    <row r="58" ht="12.75" customHeight="1">
      <c r="A58" s="2"/>
      <c r="B58" s="2"/>
      <c r="C58" s="2"/>
      <c r="D58" s="3"/>
      <c r="E58" s="3"/>
      <c r="F58" s="3"/>
      <c r="G58" s="3"/>
      <c r="H58" s="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2"/>
      <c r="Y58" s="2"/>
      <c r="Z58" s="2"/>
      <c r="AA58" s="2"/>
      <c r="AB58" s="2"/>
    </row>
    <row r="59" ht="12.75" customHeight="1">
      <c r="A59" s="2"/>
      <c r="B59" s="2"/>
      <c r="C59" s="2"/>
      <c r="D59" s="3"/>
      <c r="E59" s="3"/>
      <c r="F59" s="3"/>
      <c r="G59" s="3"/>
      <c r="H59" s="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2"/>
      <c r="Y59" s="2"/>
      <c r="Z59" s="2"/>
      <c r="AA59" s="2"/>
      <c r="AB59" s="2"/>
    </row>
    <row r="60" ht="12.75" customHeight="1">
      <c r="A60" s="2"/>
      <c r="B60" s="2"/>
      <c r="C60" s="2"/>
      <c r="D60" s="3"/>
      <c r="E60" s="3"/>
      <c r="F60" s="3"/>
      <c r="G60" s="3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2"/>
      <c r="Y60" s="2"/>
      <c r="Z60" s="2"/>
      <c r="AA60" s="2"/>
      <c r="AB60" s="2"/>
    </row>
    <row r="61" ht="12.75" customHeight="1">
      <c r="A61" s="2"/>
      <c r="B61" s="2"/>
      <c r="C61" s="2"/>
      <c r="D61" s="3"/>
      <c r="E61" s="3"/>
      <c r="F61" s="3"/>
      <c r="G61" s="3"/>
      <c r="H61" s="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2"/>
      <c r="Y61" s="2"/>
      <c r="Z61" s="2"/>
      <c r="AA61" s="2"/>
      <c r="AB61" s="2"/>
    </row>
    <row r="62" ht="12.75" customHeight="1">
      <c r="A62" s="2"/>
      <c r="B62" s="2"/>
      <c r="C62" s="2"/>
      <c r="D62" s="3"/>
      <c r="E62" s="3"/>
      <c r="F62" s="3"/>
      <c r="G62" s="3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2"/>
      <c r="Y62" s="2"/>
      <c r="Z62" s="2"/>
      <c r="AA62" s="2"/>
      <c r="AB62" s="2"/>
    </row>
    <row r="63" ht="12.75" customHeight="1">
      <c r="A63" s="2"/>
      <c r="B63" s="2"/>
      <c r="C63" s="2"/>
      <c r="D63" s="3"/>
      <c r="E63" s="3"/>
      <c r="F63" s="3"/>
      <c r="G63" s="3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"/>
      <c r="Y63" s="2"/>
      <c r="Z63" s="2"/>
      <c r="AA63" s="2"/>
      <c r="AB63" s="2"/>
    </row>
    <row r="64" ht="12.75" customHeight="1">
      <c r="A64" s="2"/>
      <c r="B64" s="2"/>
      <c r="C64" s="2"/>
      <c r="D64" s="3"/>
      <c r="E64" s="3"/>
      <c r="F64" s="3"/>
      <c r="G64" s="3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2"/>
      <c r="Y64" s="2"/>
      <c r="Z64" s="2"/>
      <c r="AA64" s="2"/>
      <c r="AB64" s="2"/>
    </row>
    <row r="65" ht="12.75" customHeight="1">
      <c r="A65" s="2"/>
      <c r="B65" s="2"/>
      <c r="C65" s="2"/>
      <c r="D65" s="3"/>
      <c r="E65" s="3"/>
      <c r="F65" s="3"/>
      <c r="G65" s="3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2"/>
      <c r="Y65" s="2"/>
      <c r="Z65" s="2"/>
      <c r="AA65" s="2"/>
      <c r="AB65" s="2"/>
    </row>
    <row r="66" ht="12.75" customHeight="1">
      <c r="A66" s="2"/>
      <c r="B66" s="2"/>
      <c r="C66" s="2"/>
      <c r="D66" s="3"/>
      <c r="E66" s="3"/>
      <c r="F66" s="3"/>
      <c r="G66" s="3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2"/>
      <c r="Y66" s="2"/>
      <c r="Z66" s="2"/>
      <c r="AA66" s="2"/>
      <c r="AB66" s="2"/>
    </row>
    <row r="67" ht="12.75" customHeight="1">
      <c r="A67" s="2"/>
      <c r="B67" s="2"/>
      <c r="C67" s="2"/>
      <c r="D67" s="3"/>
      <c r="E67" s="3"/>
      <c r="F67" s="3"/>
      <c r="G67" s="3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2"/>
      <c r="Y67" s="2"/>
      <c r="Z67" s="2"/>
      <c r="AA67" s="2"/>
      <c r="AB67" s="2"/>
    </row>
    <row r="68" ht="12.75" customHeight="1">
      <c r="A68" s="2"/>
      <c r="B68" s="2"/>
      <c r="C68" s="2"/>
      <c r="D68" s="3"/>
      <c r="E68" s="3"/>
      <c r="F68" s="3"/>
      <c r="G68" s="3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2"/>
      <c r="Y68" s="2"/>
      <c r="Z68" s="2"/>
      <c r="AA68" s="2"/>
      <c r="AB68" s="2"/>
    </row>
    <row r="69" ht="12.75" customHeight="1">
      <c r="A69" s="2"/>
      <c r="B69" s="2"/>
      <c r="C69" s="2"/>
      <c r="D69" s="3"/>
      <c r="E69" s="3"/>
      <c r="F69" s="3"/>
      <c r="G69" s="3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2"/>
      <c r="Y69" s="2"/>
      <c r="Z69" s="2"/>
      <c r="AA69" s="2"/>
      <c r="AB69" s="2"/>
    </row>
    <row r="70" ht="12.75" customHeight="1">
      <c r="A70" s="2"/>
      <c r="B70" s="2"/>
      <c r="C70" s="2"/>
      <c r="D70" s="3"/>
      <c r="E70" s="3"/>
      <c r="F70" s="3"/>
      <c r="G70" s="3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2"/>
      <c r="Y70" s="2"/>
      <c r="Z70" s="2"/>
      <c r="AA70" s="2"/>
      <c r="AB70" s="2"/>
    </row>
    <row r="71" ht="12.75" customHeight="1">
      <c r="A71" s="2"/>
      <c r="B71" s="2"/>
      <c r="C71" s="2"/>
      <c r="D71" s="3"/>
      <c r="E71" s="3"/>
      <c r="F71" s="3"/>
      <c r="G71" s="3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2"/>
      <c r="Y71" s="2"/>
      <c r="Z71" s="2"/>
      <c r="AA71" s="2"/>
      <c r="AB71" s="2"/>
    </row>
    <row r="72" ht="12.75" customHeight="1">
      <c r="A72" s="2"/>
      <c r="B72" s="2"/>
      <c r="C72" s="2"/>
      <c r="D72" s="3"/>
      <c r="E72" s="3"/>
      <c r="F72" s="3"/>
      <c r="G72" s="3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2"/>
      <c r="Y72" s="2"/>
      <c r="Z72" s="2"/>
      <c r="AA72" s="2"/>
      <c r="AB72" s="2"/>
    </row>
    <row r="73" ht="12.75" customHeight="1">
      <c r="A73" s="2"/>
      <c r="B73" s="2"/>
      <c r="C73" s="2"/>
      <c r="D73" s="3"/>
      <c r="E73" s="3"/>
      <c r="F73" s="3"/>
      <c r="G73" s="3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2"/>
      <c r="Y73" s="2"/>
      <c r="Z73" s="2"/>
      <c r="AA73" s="2"/>
      <c r="AB73" s="2"/>
    </row>
    <row r="74" ht="12.75" customHeight="1">
      <c r="A74" s="2"/>
      <c r="B74" s="2"/>
      <c r="C74" s="2"/>
      <c r="D74" s="3"/>
      <c r="E74" s="3"/>
      <c r="F74" s="3"/>
      <c r="G74" s="3"/>
      <c r="H74" s="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2"/>
      <c r="Y74" s="2"/>
      <c r="Z74" s="2"/>
      <c r="AA74" s="2"/>
      <c r="AB74" s="2"/>
    </row>
    <row r="75" ht="12.75" customHeight="1">
      <c r="A75" s="2"/>
      <c r="B75" s="2"/>
      <c r="C75" s="2"/>
      <c r="D75" s="3"/>
      <c r="E75" s="3"/>
      <c r="F75" s="3"/>
      <c r="G75" s="3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2"/>
      <c r="Y75" s="2"/>
      <c r="Z75" s="2"/>
      <c r="AA75" s="2"/>
      <c r="AB75" s="2"/>
    </row>
    <row r="76" ht="12.75" customHeight="1">
      <c r="A76" s="2"/>
      <c r="B76" s="2"/>
      <c r="C76" s="2"/>
      <c r="D76" s="3"/>
      <c r="E76" s="3"/>
      <c r="F76" s="3"/>
      <c r="G76" s="3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2"/>
      <c r="Y76" s="2"/>
      <c r="Z76" s="2"/>
      <c r="AA76" s="2"/>
      <c r="AB76" s="2"/>
    </row>
    <row r="77" ht="12.75" customHeight="1">
      <c r="A77" s="2"/>
      <c r="B77" s="2"/>
      <c r="C77" s="2"/>
      <c r="D77" s="3"/>
      <c r="E77" s="3"/>
      <c r="F77" s="3"/>
      <c r="G77" s="3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2"/>
      <c r="Y77" s="2"/>
      <c r="Z77" s="2"/>
      <c r="AA77" s="2"/>
      <c r="AB77" s="2"/>
    </row>
    <row r="78" ht="12.75" customHeight="1">
      <c r="A78" s="2"/>
      <c r="B78" s="2"/>
      <c r="C78" s="2"/>
      <c r="D78" s="3"/>
      <c r="E78" s="3"/>
      <c r="F78" s="3"/>
      <c r="G78" s="3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2"/>
      <c r="Y78" s="2"/>
      <c r="Z78" s="2"/>
      <c r="AA78" s="2"/>
      <c r="AB78" s="2"/>
    </row>
    <row r="79" ht="12.75" customHeight="1">
      <c r="A79" s="2"/>
      <c r="B79" s="2"/>
      <c r="C79" s="2"/>
      <c r="D79" s="3"/>
      <c r="E79" s="3"/>
      <c r="F79" s="3"/>
      <c r="G79" s="3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2"/>
      <c r="Y79" s="2"/>
      <c r="Z79" s="2"/>
      <c r="AA79" s="2"/>
      <c r="AB79" s="2"/>
    </row>
    <row r="80" ht="12.75" customHeight="1">
      <c r="A80" s="2"/>
      <c r="B80" s="2"/>
      <c r="C80" s="2"/>
      <c r="D80" s="3"/>
      <c r="E80" s="3"/>
      <c r="F80" s="3"/>
      <c r="G80" s="3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2"/>
      <c r="Y80" s="2"/>
      <c r="Z80" s="2"/>
      <c r="AA80" s="2"/>
      <c r="AB80" s="2"/>
    </row>
    <row r="81" ht="12.75" customHeight="1">
      <c r="A81" s="2"/>
      <c r="B81" s="2"/>
      <c r="C81" s="2"/>
      <c r="D81" s="3"/>
      <c r="E81" s="3"/>
      <c r="F81" s="3"/>
      <c r="G81" s="3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2"/>
      <c r="Y81" s="2"/>
      <c r="Z81" s="2"/>
      <c r="AA81" s="2"/>
      <c r="AB81" s="2"/>
    </row>
    <row r="82" ht="12.75" customHeight="1">
      <c r="A82" s="2"/>
      <c r="B82" s="2"/>
      <c r="C82" s="2"/>
      <c r="D82" s="3"/>
      <c r="E82" s="3"/>
      <c r="F82" s="3"/>
      <c r="G82" s="3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2"/>
      <c r="Y82" s="2"/>
      <c r="Z82" s="2"/>
      <c r="AA82" s="2"/>
      <c r="AB82" s="2"/>
    </row>
    <row r="83" ht="12.75" customHeight="1">
      <c r="A83" s="2"/>
      <c r="B83" s="2"/>
      <c r="C83" s="2"/>
      <c r="D83" s="3"/>
      <c r="E83" s="3"/>
      <c r="F83" s="3"/>
      <c r="G83" s="3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2"/>
      <c r="Y83" s="2"/>
      <c r="Z83" s="2"/>
      <c r="AA83" s="2"/>
      <c r="AB83" s="2"/>
    </row>
    <row r="84" ht="12.75" customHeight="1">
      <c r="A84" s="2"/>
      <c r="B84" s="2"/>
      <c r="C84" s="2"/>
      <c r="D84" s="3"/>
      <c r="E84" s="3"/>
      <c r="F84" s="3"/>
      <c r="G84" s="3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2"/>
      <c r="Y84" s="2"/>
      <c r="Z84" s="2"/>
      <c r="AA84" s="2"/>
      <c r="AB84" s="2"/>
    </row>
    <row r="85" ht="12.75" customHeight="1">
      <c r="A85" s="2"/>
      <c r="B85" s="2"/>
      <c r="C85" s="2"/>
      <c r="D85" s="3"/>
      <c r="E85" s="3"/>
      <c r="F85" s="3"/>
      <c r="G85" s="3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2"/>
      <c r="Y85" s="2"/>
      <c r="Z85" s="2"/>
      <c r="AA85" s="2"/>
      <c r="AB85" s="2"/>
    </row>
    <row r="86" ht="12.75" customHeight="1">
      <c r="A86" s="2"/>
      <c r="B86" s="2"/>
      <c r="C86" s="2"/>
      <c r="D86" s="3"/>
      <c r="E86" s="3"/>
      <c r="F86" s="3"/>
      <c r="G86" s="3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2"/>
      <c r="Y86" s="2"/>
      <c r="Z86" s="2"/>
      <c r="AA86" s="2"/>
      <c r="AB86" s="2"/>
    </row>
    <row r="87" ht="12.75" customHeight="1">
      <c r="A87" s="2"/>
      <c r="B87" s="2"/>
      <c r="C87" s="2"/>
      <c r="D87" s="3"/>
      <c r="E87" s="3"/>
      <c r="F87" s="3"/>
      <c r="G87" s="3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2"/>
      <c r="Y87" s="2"/>
      <c r="Z87" s="2"/>
      <c r="AA87" s="2"/>
      <c r="AB87" s="2"/>
    </row>
    <row r="88" ht="12.75" customHeight="1">
      <c r="A88" s="2"/>
      <c r="B88" s="2"/>
      <c r="C88" s="2"/>
      <c r="D88" s="3"/>
      <c r="E88" s="3"/>
      <c r="F88" s="3"/>
      <c r="G88" s="3"/>
      <c r="H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2"/>
      <c r="Y88" s="2"/>
      <c r="Z88" s="2"/>
      <c r="AA88" s="2"/>
      <c r="AB88" s="2"/>
    </row>
    <row r="89" ht="12.75" customHeight="1">
      <c r="A89" s="2"/>
      <c r="B89" s="2"/>
      <c r="C89" s="2"/>
      <c r="D89" s="3"/>
      <c r="E89" s="3"/>
      <c r="F89" s="3"/>
      <c r="G89" s="3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2"/>
      <c r="Y89" s="2"/>
      <c r="Z89" s="2"/>
      <c r="AA89" s="2"/>
      <c r="AB89" s="2"/>
    </row>
    <row r="90" ht="12.75" customHeight="1">
      <c r="A90" s="2"/>
      <c r="B90" s="2"/>
      <c r="C90" s="2"/>
      <c r="D90" s="3"/>
      <c r="E90" s="3"/>
      <c r="F90" s="3"/>
      <c r="G90" s="3"/>
      <c r="H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2"/>
      <c r="Y90" s="2"/>
      <c r="Z90" s="2"/>
      <c r="AA90" s="2"/>
      <c r="AB90" s="2"/>
    </row>
    <row r="91" ht="12.75" customHeight="1">
      <c r="A91" s="2"/>
      <c r="B91" s="2"/>
      <c r="C91" s="2"/>
      <c r="D91" s="3"/>
      <c r="E91" s="3"/>
      <c r="F91" s="3"/>
      <c r="G91" s="3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2"/>
      <c r="Y91" s="2"/>
      <c r="Z91" s="2"/>
      <c r="AA91" s="2"/>
      <c r="AB91" s="2"/>
    </row>
    <row r="92" ht="12.75" customHeight="1">
      <c r="A92" s="2"/>
      <c r="B92" s="2"/>
      <c r="C92" s="2"/>
      <c r="D92" s="3"/>
      <c r="E92" s="3"/>
      <c r="F92" s="3"/>
      <c r="G92" s="3"/>
      <c r="H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2"/>
      <c r="Y92" s="2"/>
      <c r="Z92" s="2"/>
      <c r="AA92" s="2"/>
      <c r="AB92" s="2"/>
    </row>
    <row r="93" ht="12.75" customHeight="1">
      <c r="A93" s="2"/>
      <c r="B93" s="2"/>
      <c r="C93" s="2"/>
      <c r="D93" s="3"/>
      <c r="E93" s="3"/>
      <c r="F93" s="3"/>
      <c r="G93" s="3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2"/>
      <c r="Y93" s="2"/>
      <c r="Z93" s="2"/>
      <c r="AA93" s="2"/>
      <c r="AB93" s="2"/>
    </row>
    <row r="94" ht="12.75" customHeight="1">
      <c r="A94" s="2"/>
      <c r="B94" s="2"/>
      <c r="C94" s="2"/>
      <c r="D94" s="3"/>
      <c r="E94" s="3"/>
      <c r="F94" s="3"/>
      <c r="G94" s="3"/>
      <c r="H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2"/>
      <c r="Y94" s="2"/>
      <c r="Z94" s="2"/>
      <c r="AA94" s="2"/>
      <c r="AB94" s="2"/>
    </row>
    <row r="95" ht="12.75" customHeight="1">
      <c r="A95" s="2"/>
      <c r="B95" s="2"/>
      <c r="C95" s="2"/>
      <c r="D95" s="3"/>
      <c r="E95" s="3"/>
      <c r="F95" s="3"/>
      <c r="G95" s="3"/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2"/>
      <c r="Y95" s="2"/>
      <c r="Z95" s="2"/>
      <c r="AA95" s="2"/>
      <c r="AB95" s="2"/>
    </row>
    <row r="96" ht="12.75" customHeight="1">
      <c r="A96" s="2"/>
      <c r="B96" s="2"/>
      <c r="C96" s="2"/>
      <c r="D96" s="3"/>
      <c r="E96" s="3"/>
      <c r="F96" s="3"/>
      <c r="G96" s="3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2"/>
      <c r="Y96" s="2"/>
      <c r="Z96" s="2"/>
      <c r="AA96" s="2"/>
      <c r="AB96" s="2"/>
    </row>
    <row r="97" ht="12.75" customHeight="1">
      <c r="A97" s="2"/>
      <c r="B97" s="2"/>
      <c r="C97" s="2"/>
      <c r="D97" s="3"/>
      <c r="E97" s="3"/>
      <c r="F97" s="3"/>
      <c r="G97" s="3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2"/>
      <c r="Y97" s="2"/>
      <c r="Z97" s="2"/>
      <c r="AA97" s="2"/>
      <c r="AB97" s="2"/>
    </row>
    <row r="98" ht="12.75" customHeight="1">
      <c r="A98" s="2"/>
      <c r="B98" s="2"/>
      <c r="C98" s="2"/>
      <c r="D98" s="3"/>
      <c r="E98" s="3"/>
      <c r="F98" s="3"/>
      <c r="G98" s="3"/>
      <c r="H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2"/>
      <c r="Y98" s="2"/>
      <c r="Z98" s="2"/>
      <c r="AA98" s="2"/>
      <c r="AB98" s="2"/>
    </row>
    <row r="99" ht="12.75" customHeight="1">
      <c r="A99" s="2"/>
      <c r="B99" s="2"/>
      <c r="C99" s="2"/>
      <c r="D99" s="3"/>
      <c r="E99" s="3"/>
      <c r="F99" s="3"/>
      <c r="G99" s="3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2"/>
      <c r="Y99" s="2"/>
      <c r="Z99" s="2"/>
      <c r="AA99" s="2"/>
      <c r="AB99" s="2"/>
    </row>
    <row r="100" ht="12.75" customHeight="1">
      <c r="A100" s="2"/>
      <c r="B100" s="2"/>
      <c r="C100" s="2"/>
      <c r="D100" s="3"/>
      <c r="E100" s="3"/>
      <c r="F100" s="3"/>
      <c r="G100" s="3"/>
      <c r="H100" s="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2"/>
      <c r="Y100" s="2"/>
      <c r="Z100" s="2"/>
      <c r="AA100" s="2"/>
      <c r="AB100" s="2"/>
    </row>
    <row r="101" ht="12.75" customHeight="1">
      <c r="A101" s="2"/>
      <c r="B101" s="2"/>
      <c r="C101" s="2"/>
      <c r="D101" s="3"/>
      <c r="E101" s="3"/>
      <c r="F101" s="3"/>
      <c r="G101" s="3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2"/>
      <c r="Y101" s="2"/>
      <c r="Z101" s="2"/>
      <c r="AA101" s="2"/>
      <c r="AB101" s="2"/>
    </row>
    <row r="102" ht="12.75" customHeight="1">
      <c r="A102" s="2"/>
      <c r="B102" s="2"/>
      <c r="C102" s="2"/>
      <c r="D102" s="3"/>
      <c r="E102" s="3"/>
      <c r="F102" s="3"/>
      <c r="G102" s="3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2"/>
      <c r="Y102" s="2"/>
      <c r="Z102" s="2"/>
      <c r="AA102" s="2"/>
      <c r="AB102" s="2"/>
    </row>
    <row r="103" ht="12.75" customHeight="1">
      <c r="A103" s="2"/>
      <c r="B103" s="2"/>
      <c r="C103" s="2"/>
      <c r="D103" s="3"/>
      <c r="E103" s="3"/>
      <c r="F103" s="3"/>
      <c r="G103" s="3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2"/>
      <c r="Y103" s="2"/>
      <c r="Z103" s="2"/>
      <c r="AA103" s="2"/>
      <c r="AB103" s="2"/>
    </row>
    <row r="104" ht="12.75" customHeight="1">
      <c r="A104" s="2"/>
      <c r="B104" s="2"/>
      <c r="C104" s="2"/>
      <c r="D104" s="3"/>
      <c r="E104" s="3"/>
      <c r="F104" s="3"/>
      <c r="G104" s="3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2"/>
      <c r="Y104" s="2"/>
      <c r="Z104" s="2"/>
      <c r="AA104" s="2"/>
      <c r="AB104" s="2"/>
    </row>
    <row r="105" ht="12.75" customHeight="1">
      <c r="A105" s="2"/>
      <c r="B105" s="2"/>
      <c r="C105" s="2"/>
      <c r="D105" s="3"/>
      <c r="E105" s="3"/>
      <c r="F105" s="3"/>
      <c r="G105" s="3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2"/>
      <c r="Y105" s="2"/>
      <c r="Z105" s="2"/>
      <c r="AA105" s="2"/>
      <c r="AB105" s="2"/>
    </row>
    <row r="106" ht="12.75" customHeight="1">
      <c r="A106" s="2"/>
      <c r="B106" s="2"/>
      <c r="C106" s="2"/>
      <c r="D106" s="3"/>
      <c r="E106" s="3"/>
      <c r="F106" s="3"/>
      <c r="G106" s="3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2"/>
      <c r="Y106" s="2"/>
      <c r="Z106" s="2"/>
      <c r="AA106" s="2"/>
      <c r="AB106" s="2"/>
    </row>
    <row r="107" ht="12.75" customHeight="1">
      <c r="A107" s="2"/>
      <c r="B107" s="2"/>
      <c r="C107" s="2"/>
      <c r="D107" s="3"/>
      <c r="E107" s="3"/>
      <c r="F107" s="3"/>
      <c r="G107" s="3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2"/>
      <c r="Y107" s="2"/>
      <c r="Z107" s="2"/>
      <c r="AA107" s="2"/>
      <c r="AB107" s="2"/>
    </row>
    <row r="108" ht="12.75" customHeight="1">
      <c r="A108" s="2"/>
      <c r="B108" s="2"/>
      <c r="C108" s="2"/>
      <c r="D108" s="3"/>
      <c r="E108" s="3"/>
      <c r="F108" s="3"/>
      <c r="G108" s="3"/>
      <c r="H108" s="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2"/>
      <c r="Y108" s="2"/>
      <c r="Z108" s="2"/>
      <c r="AA108" s="2"/>
      <c r="AB108" s="2"/>
    </row>
    <row r="109" ht="12.75" customHeight="1">
      <c r="A109" s="2"/>
      <c r="B109" s="2"/>
      <c r="C109" s="2"/>
      <c r="D109" s="3"/>
      <c r="E109" s="3"/>
      <c r="F109" s="3"/>
      <c r="G109" s="3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2"/>
      <c r="Y109" s="2"/>
      <c r="Z109" s="2"/>
      <c r="AA109" s="2"/>
      <c r="AB109" s="2"/>
    </row>
    <row r="110" ht="12.75" customHeight="1">
      <c r="A110" s="2"/>
      <c r="B110" s="2"/>
      <c r="C110" s="2"/>
      <c r="D110" s="3"/>
      <c r="E110" s="3"/>
      <c r="F110" s="3"/>
      <c r="G110" s="3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2"/>
      <c r="Y110" s="2"/>
      <c r="Z110" s="2"/>
      <c r="AA110" s="2"/>
      <c r="AB110" s="2"/>
    </row>
    <row r="111" ht="12.75" customHeight="1">
      <c r="A111" s="2"/>
      <c r="B111" s="2"/>
      <c r="C111" s="2"/>
      <c r="D111" s="3"/>
      <c r="E111" s="3"/>
      <c r="F111" s="3"/>
      <c r="G111" s="3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2"/>
      <c r="Y111" s="2"/>
      <c r="Z111" s="2"/>
      <c r="AA111" s="2"/>
      <c r="AB111" s="2"/>
    </row>
    <row r="112" ht="12.75" customHeight="1">
      <c r="A112" s="2"/>
      <c r="B112" s="2"/>
      <c r="C112" s="2"/>
      <c r="D112" s="3"/>
      <c r="E112" s="3"/>
      <c r="F112" s="3"/>
      <c r="G112" s="3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2"/>
      <c r="Y112" s="2"/>
      <c r="Z112" s="2"/>
      <c r="AA112" s="2"/>
      <c r="AB112" s="2"/>
    </row>
    <row r="113" ht="12.75" customHeight="1">
      <c r="A113" s="2"/>
      <c r="B113" s="2"/>
      <c r="C113" s="2"/>
      <c r="D113" s="3"/>
      <c r="E113" s="3"/>
      <c r="F113" s="3"/>
      <c r="G113" s="3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2"/>
      <c r="Y113" s="2"/>
      <c r="Z113" s="2"/>
      <c r="AA113" s="2"/>
      <c r="AB113" s="2"/>
    </row>
    <row r="114" ht="12.75" customHeight="1">
      <c r="A114" s="2"/>
      <c r="B114" s="2"/>
      <c r="C114" s="2"/>
      <c r="D114" s="3"/>
      <c r="E114" s="3"/>
      <c r="F114" s="3"/>
      <c r="G114" s="3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2"/>
      <c r="Y114" s="2"/>
      <c r="Z114" s="2"/>
      <c r="AA114" s="2"/>
      <c r="AB114" s="2"/>
    </row>
    <row r="115" ht="12.75" customHeight="1">
      <c r="A115" s="2"/>
      <c r="B115" s="2"/>
      <c r="C115" s="2"/>
      <c r="D115" s="3"/>
      <c r="E115" s="3"/>
      <c r="F115" s="3"/>
      <c r="G115" s="3"/>
      <c r="H115" s="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2"/>
      <c r="Y115" s="2"/>
      <c r="Z115" s="2"/>
      <c r="AA115" s="2"/>
      <c r="AB115" s="2"/>
    </row>
    <row r="116" ht="12.75" customHeight="1">
      <c r="A116" s="2"/>
      <c r="B116" s="2"/>
      <c r="C116" s="2"/>
      <c r="D116" s="3"/>
      <c r="E116" s="3"/>
      <c r="F116" s="3"/>
      <c r="G116" s="3"/>
      <c r="H116" s="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2"/>
      <c r="Y116" s="2"/>
      <c r="Z116" s="2"/>
      <c r="AA116" s="2"/>
      <c r="AB116" s="2"/>
    </row>
    <row r="117" ht="12.75" customHeight="1">
      <c r="A117" s="2"/>
      <c r="B117" s="2"/>
      <c r="C117" s="2"/>
      <c r="D117" s="3"/>
      <c r="E117" s="3"/>
      <c r="F117" s="3"/>
      <c r="G117" s="3"/>
      <c r="H117" s="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2"/>
      <c r="Y117" s="2"/>
      <c r="Z117" s="2"/>
      <c r="AA117" s="2"/>
      <c r="AB117" s="2"/>
    </row>
    <row r="118" ht="12.75" customHeight="1">
      <c r="A118" s="2"/>
      <c r="B118" s="2"/>
      <c r="C118" s="2"/>
      <c r="D118" s="3"/>
      <c r="E118" s="3"/>
      <c r="F118" s="3"/>
      <c r="G118" s="3"/>
      <c r="H118" s="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2"/>
      <c r="Y118" s="2"/>
      <c r="Z118" s="2"/>
      <c r="AA118" s="2"/>
      <c r="AB118" s="2"/>
    </row>
    <row r="119" ht="12.75" customHeight="1">
      <c r="A119" s="2"/>
      <c r="B119" s="2"/>
      <c r="C119" s="2"/>
      <c r="D119" s="3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2"/>
      <c r="Y119" s="2"/>
      <c r="Z119" s="2"/>
      <c r="AA119" s="2"/>
      <c r="AB119" s="2"/>
    </row>
    <row r="120" ht="12.75" customHeight="1">
      <c r="A120" s="2"/>
      <c r="B120" s="2"/>
      <c r="C120" s="2"/>
      <c r="D120" s="3"/>
      <c r="E120" s="3"/>
      <c r="F120" s="3"/>
      <c r="G120" s="3"/>
      <c r="H120" s="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2"/>
      <c r="Y120" s="2"/>
      <c r="Z120" s="2"/>
      <c r="AA120" s="2"/>
      <c r="AB120" s="2"/>
    </row>
    <row r="121" ht="12.75" customHeight="1">
      <c r="A121" s="2"/>
      <c r="B121" s="2"/>
      <c r="C121" s="2"/>
      <c r="D121" s="3"/>
      <c r="E121" s="3"/>
      <c r="F121" s="3"/>
      <c r="G121" s="3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2"/>
      <c r="Y121" s="2"/>
      <c r="Z121" s="2"/>
      <c r="AA121" s="2"/>
      <c r="AB121" s="2"/>
    </row>
    <row r="122" ht="12.75" customHeight="1">
      <c r="A122" s="2"/>
      <c r="B122" s="2"/>
      <c r="C122" s="2"/>
      <c r="D122" s="3"/>
      <c r="E122" s="3"/>
      <c r="F122" s="3"/>
      <c r="G122" s="3"/>
      <c r="H122" s="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2"/>
      <c r="Y122" s="2"/>
      <c r="Z122" s="2"/>
      <c r="AA122" s="2"/>
      <c r="AB122" s="2"/>
    </row>
    <row r="123" ht="12.75" customHeight="1">
      <c r="A123" s="2"/>
      <c r="B123" s="2"/>
      <c r="C123" s="2"/>
      <c r="D123" s="3"/>
      <c r="E123" s="3"/>
      <c r="F123" s="3"/>
      <c r="G123" s="3"/>
      <c r="H123" s="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2"/>
      <c r="Y123" s="2"/>
      <c r="Z123" s="2"/>
      <c r="AA123" s="2"/>
      <c r="AB123" s="2"/>
    </row>
    <row r="124" ht="12.75" customHeight="1">
      <c r="A124" s="2"/>
      <c r="B124" s="2"/>
      <c r="C124" s="2"/>
      <c r="D124" s="3"/>
      <c r="E124" s="3"/>
      <c r="F124" s="3"/>
      <c r="G124" s="3"/>
      <c r="H124" s="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2"/>
      <c r="Y124" s="2"/>
      <c r="Z124" s="2"/>
      <c r="AA124" s="2"/>
      <c r="AB124" s="2"/>
    </row>
    <row r="125" ht="12.75" customHeight="1">
      <c r="A125" s="2"/>
      <c r="B125" s="2"/>
      <c r="C125" s="2"/>
      <c r="D125" s="3"/>
      <c r="E125" s="3"/>
      <c r="F125" s="3"/>
      <c r="G125" s="3"/>
      <c r="H125" s="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2"/>
      <c r="Y125" s="2"/>
      <c r="Z125" s="2"/>
      <c r="AA125" s="2"/>
      <c r="AB125" s="2"/>
    </row>
    <row r="126" ht="12.75" customHeight="1">
      <c r="A126" s="2"/>
      <c r="B126" s="2"/>
      <c r="C126" s="2"/>
      <c r="D126" s="3"/>
      <c r="E126" s="3"/>
      <c r="F126" s="3"/>
      <c r="G126" s="3"/>
      <c r="H126" s="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2"/>
      <c r="Y126" s="2"/>
      <c r="Z126" s="2"/>
      <c r="AA126" s="2"/>
      <c r="AB126" s="2"/>
    </row>
    <row r="127" ht="12.75" customHeight="1">
      <c r="A127" s="2"/>
      <c r="B127" s="2"/>
      <c r="C127" s="2"/>
      <c r="D127" s="3"/>
      <c r="E127" s="3"/>
      <c r="F127" s="3"/>
      <c r="G127" s="3"/>
      <c r="H127" s="4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2"/>
      <c r="Y127" s="2"/>
      <c r="Z127" s="2"/>
      <c r="AA127" s="2"/>
      <c r="AB127" s="2"/>
    </row>
    <row r="128" ht="12.75" customHeight="1">
      <c r="A128" s="2"/>
      <c r="B128" s="2"/>
      <c r="C128" s="2"/>
      <c r="D128" s="3"/>
      <c r="E128" s="3"/>
      <c r="F128" s="3"/>
      <c r="G128" s="3"/>
      <c r="H128" s="4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2"/>
      <c r="Y128" s="2"/>
      <c r="Z128" s="2"/>
      <c r="AA128" s="2"/>
      <c r="AB128" s="2"/>
    </row>
    <row r="129" ht="12.75" customHeight="1">
      <c r="A129" s="2"/>
      <c r="B129" s="2"/>
      <c r="C129" s="2"/>
      <c r="D129" s="3"/>
      <c r="E129" s="3"/>
      <c r="F129" s="3"/>
      <c r="G129" s="3"/>
      <c r="H129" s="4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2"/>
      <c r="Y129" s="2"/>
      <c r="Z129" s="2"/>
      <c r="AA129" s="2"/>
      <c r="AB129" s="2"/>
    </row>
    <row r="130" ht="12.75" customHeight="1">
      <c r="A130" s="2"/>
      <c r="B130" s="2"/>
      <c r="C130" s="2"/>
      <c r="D130" s="3"/>
      <c r="E130" s="3"/>
      <c r="F130" s="3"/>
      <c r="G130" s="3"/>
      <c r="H130" s="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2"/>
      <c r="Y130" s="2"/>
      <c r="Z130" s="2"/>
      <c r="AA130" s="2"/>
      <c r="AB130" s="2"/>
    </row>
    <row r="131" ht="12.75" customHeight="1">
      <c r="A131" s="2"/>
      <c r="B131" s="2"/>
      <c r="C131" s="2"/>
      <c r="D131" s="3"/>
      <c r="E131" s="3"/>
      <c r="F131" s="3"/>
      <c r="G131" s="3"/>
      <c r="H131" s="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2"/>
      <c r="Y131" s="2"/>
      <c r="Z131" s="2"/>
      <c r="AA131" s="2"/>
      <c r="AB131" s="2"/>
    </row>
    <row r="132" ht="12.75" customHeight="1">
      <c r="A132" s="2"/>
      <c r="B132" s="2"/>
      <c r="C132" s="2"/>
      <c r="D132" s="3"/>
      <c r="E132" s="3"/>
      <c r="F132" s="3"/>
      <c r="G132" s="3"/>
      <c r="H132" s="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2"/>
      <c r="Y132" s="2"/>
      <c r="Z132" s="2"/>
      <c r="AA132" s="2"/>
      <c r="AB132" s="2"/>
    </row>
    <row r="133" ht="12.75" customHeight="1">
      <c r="A133" s="2"/>
      <c r="B133" s="2"/>
      <c r="C133" s="2"/>
      <c r="D133" s="3"/>
      <c r="E133" s="3"/>
      <c r="F133" s="3"/>
      <c r="G133" s="3"/>
      <c r="H133" s="4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2"/>
      <c r="Y133" s="2"/>
      <c r="Z133" s="2"/>
      <c r="AA133" s="2"/>
      <c r="AB133" s="2"/>
    </row>
    <row r="134" ht="12.75" customHeight="1">
      <c r="A134" s="2"/>
      <c r="B134" s="2"/>
      <c r="C134" s="2"/>
      <c r="D134" s="3"/>
      <c r="E134" s="3"/>
      <c r="F134" s="3"/>
      <c r="G134" s="3"/>
      <c r="H134" s="4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2"/>
      <c r="Y134" s="2"/>
      <c r="Z134" s="2"/>
      <c r="AA134" s="2"/>
      <c r="AB134" s="2"/>
    </row>
    <row r="135" ht="12.75" customHeight="1">
      <c r="A135" s="2"/>
      <c r="B135" s="2"/>
      <c r="C135" s="2"/>
      <c r="D135" s="3"/>
      <c r="E135" s="3"/>
      <c r="F135" s="3"/>
      <c r="G135" s="3"/>
      <c r="H135" s="4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2"/>
      <c r="Y135" s="2"/>
      <c r="Z135" s="2"/>
      <c r="AA135" s="2"/>
      <c r="AB135" s="2"/>
    </row>
    <row r="136" ht="12.75" customHeight="1">
      <c r="A136" s="2"/>
      <c r="B136" s="2"/>
      <c r="C136" s="2"/>
      <c r="D136" s="3"/>
      <c r="E136" s="3"/>
      <c r="F136" s="3"/>
      <c r="G136" s="3"/>
      <c r="H136" s="4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2"/>
      <c r="Y136" s="2"/>
      <c r="Z136" s="2"/>
      <c r="AA136" s="2"/>
      <c r="AB136" s="2"/>
    </row>
    <row r="137" ht="12.75" customHeight="1">
      <c r="A137" s="2"/>
      <c r="B137" s="2"/>
      <c r="C137" s="2"/>
      <c r="D137" s="3"/>
      <c r="E137" s="3"/>
      <c r="F137" s="3"/>
      <c r="G137" s="3"/>
      <c r="H137" s="4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2"/>
      <c r="Y137" s="2"/>
      <c r="Z137" s="2"/>
      <c r="AA137" s="2"/>
      <c r="AB137" s="2"/>
    </row>
    <row r="138" ht="12.75" customHeight="1">
      <c r="A138" s="2"/>
      <c r="B138" s="2"/>
      <c r="C138" s="2"/>
      <c r="D138" s="3"/>
      <c r="E138" s="3"/>
      <c r="F138" s="3"/>
      <c r="G138" s="3"/>
      <c r="H138" s="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2"/>
      <c r="Y138" s="2"/>
      <c r="Z138" s="2"/>
      <c r="AA138" s="2"/>
      <c r="AB138" s="2"/>
    </row>
    <row r="139" ht="12.75" customHeight="1">
      <c r="A139" s="2"/>
      <c r="B139" s="2"/>
      <c r="C139" s="2"/>
      <c r="D139" s="3"/>
      <c r="E139" s="3"/>
      <c r="F139" s="3"/>
      <c r="G139" s="3"/>
      <c r="H139" s="4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2"/>
      <c r="Y139" s="2"/>
      <c r="Z139" s="2"/>
      <c r="AA139" s="2"/>
      <c r="AB139" s="2"/>
    </row>
    <row r="140" ht="12.75" customHeight="1">
      <c r="A140" s="2"/>
      <c r="B140" s="2"/>
      <c r="C140" s="2"/>
      <c r="D140" s="3"/>
      <c r="E140" s="3"/>
      <c r="F140" s="3"/>
      <c r="G140" s="3"/>
      <c r="H140" s="4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2"/>
      <c r="Y140" s="2"/>
      <c r="Z140" s="2"/>
      <c r="AA140" s="2"/>
      <c r="AB140" s="2"/>
    </row>
    <row r="141" ht="12.75" customHeight="1">
      <c r="A141" s="2"/>
      <c r="B141" s="2"/>
      <c r="C141" s="2"/>
      <c r="D141" s="3"/>
      <c r="E141" s="3"/>
      <c r="F141" s="3"/>
      <c r="G141" s="3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2"/>
      <c r="Y141" s="2"/>
      <c r="Z141" s="2"/>
      <c r="AA141" s="2"/>
      <c r="AB141" s="2"/>
    </row>
    <row r="142" ht="12.75" customHeight="1">
      <c r="A142" s="2"/>
      <c r="B142" s="2"/>
      <c r="C142" s="2"/>
      <c r="D142" s="3"/>
      <c r="E142" s="3"/>
      <c r="F142" s="3"/>
      <c r="G142" s="3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2"/>
      <c r="Y142" s="2"/>
      <c r="Z142" s="2"/>
      <c r="AA142" s="2"/>
      <c r="AB142" s="2"/>
    </row>
    <row r="143" ht="12.75" customHeight="1">
      <c r="A143" s="2"/>
      <c r="B143" s="2"/>
      <c r="C143" s="2"/>
      <c r="D143" s="3"/>
      <c r="E143" s="3"/>
      <c r="F143" s="3"/>
      <c r="G143" s="3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2"/>
      <c r="Y143" s="2"/>
      <c r="Z143" s="2"/>
      <c r="AA143" s="2"/>
      <c r="AB143" s="2"/>
    </row>
    <row r="144" ht="12.75" customHeight="1">
      <c r="A144" s="2"/>
      <c r="B144" s="2"/>
      <c r="C144" s="2"/>
      <c r="D144" s="3"/>
      <c r="E144" s="3"/>
      <c r="F144" s="3"/>
      <c r="G144" s="3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2"/>
      <c r="Y144" s="2"/>
      <c r="Z144" s="2"/>
      <c r="AA144" s="2"/>
      <c r="AB144" s="2"/>
    </row>
    <row r="145" ht="12.75" customHeight="1">
      <c r="A145" s="2"/>
      <c r="B145" s="2"/>
      <c r="C145" s="2"/>
      <c r="D145" s="3"/>
      <c r="E145" s="3"/>
      <c r="F145" s="3"/>
      <c r="G145" s="3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2"/>
      <c r="Y145" s="2"/>
      <c r="Z145" s="2"/>
      <c r="AA145" s="2"/>
      <c r="AB145" s="2"/>
    </row>
    <row r="146" ht="12.75" customHeight="1">
      <c r="A146" s="2"/>
      <c r="B146" s="2"/>
      <c r="C146" s="2"/>
      <c r="D146" s="3"/>
      <c r="E146" s="3"/>
      <c r="F146" s="3"/>
      <c r="G146" s="3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2"/>
      <c r="Y146" s="2"/>
      <c r="Z146" s="2"/>
      <c r="AA146" s="2"/>
      <c r="AB146" s="2"/>
    </row>
    <row r="147" ht="12.75" customHeight="1">
      <c r="A147" s="2"/>
      <c r="B147" s="2"/>
      <c r="C147" s="2"/>
      <c r="D147" s="3"/>
      <c r="E147" s="3"/>
      <c r="F147" s="3"/>
      <c r="G147" s="3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2"/>
      <c r="Y147" s="2"/>
      <c r="Z147" s="2"/>
      <c r="AA147" s="2"/>
      <c r="AB147" s="2"/>
    </row>
    <row r="148" ht="12.75" customHeight="1">
      <c r="A148" s="2"/>
      <c r="B148" s="2"/>
      <c r="C148" s="2"/>
      <c r="D148" s="3"/>
      <c r="E148" s="3"/>
      <c r="F148" s="3"/>
      <c r="G148" s="3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2"/>
      <c r="Y148" s="2"/>
      <c r="Z148" s="2"/>
      <c r="AA148" s="2"/>
      <c r="AB148" s="2"/>
    </row>
    <row r="149" ht="12.75" customHeight="1">
      <c r="A149" s="2"/>
      <c r="B149" s="2"/>
      <c r="C149" s="2"/>
      <c r="D149" s="3"/>
      <c r="E149" s="3"/>
      <c r="F149" s="3"/>
      <c r="G149" s="3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2"/>
      <c r="Y149" s="2"/>
      <c r="Z149" s="2"/>
      <c r="AA149" s="2"/>
      <c r="AB149" s="2"/>
    </row>
    <row r="150" ht="12.75" customHeight="1">
      <c r="A150" s="2"/>
      <c r="B150" s="2"/>
      <c r="C150" s="2"/>
      <c r="D150" s="3"/>
      <c r="E150" s="3"/>
      <c r="F150" s="3"/>
      <c r="G150" s="3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2"/>
      <c r="Y150" s="2"/>
      <c r="Z150" s="2"/>
      <c r="AA150" s="2"/>
      <c r="AB150" s="2"/>
    </row>
    <row r="151" ht="12.75" customHeight="1">
      <c r="A151" s="2"/>
      <c r="B151" s="2"/>
      <c r="C151" s="2"/>
      <c r="D151" s="3"/>
      <c r="E151" s="3"/>
      <c r="F151" s="3"/>
      <c r="G151" s="3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2"/>
      <c r="Y151" s="2"/>
      <c r="Z151" s="2"/>
      <c r="AA151" s="2"/>
      <c r="AB151" s="2"/>
    </row>
    <row r="152" ht="12.75" customHeight="1">
      <c r="A152" s="2"/>
      <c r="B152" s="2"/>
      <c r="C152" s="2"/>
      <c r="D152" s="3"/>
      <c r="E152" s="3"/>
      <c r="F152" s="3"/>
      <c r="G152" s="3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2"/>
      <c r="Y152" s="2"/>
      <c r="Z152" s="2"/>
      <c r="AA152" s="2"/>
      <c r="AB152" s="2"/>
    </row>
    <row r="153" ht="12.75" customHeight="1">
      <c r="A153" s="2"/>
      <c r="B153" s="2"/>
      <c r="C153" s="2"/>
      <c r="D153" s="3"/>
      <c r="E153" s="3"/>
      <c r="F153" s="3"/>
      <c r="G153" s="3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2"/>
      <c r="Y153" s="2"/>
      <c r="Z153" s="2"/>
      <c r="AA153" s="2"/>
      <c r="AB153" s="2"/>
    </row>
    <row r="154" ht="12.75" customHeight="1">
      <c r="A154" s="2"/>
      <c r="B154" s="2"/>
      <c r="C154" s="2"/>
      <c r="D154" s="3"/>
      <c r="E154" s="3"/>
      <c r="F154" s="3"/>
      <c r="G154" s="3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2"/>
      <c r="Y154" s="2"/>
      <c r="Z154" s="2"/>
      <c r="AA154" s="2"/>
      <c r="AB154" s="2"/>
    </row>
    <row r="155" ht="12.75" customHeight="1">
      <c r="A155" s="2"/>
      <c r="B155" s="2"/>
      <c r="C155" s="2"/>
      <c r="D155" s="3"/>
      <c r="E155" s="3"/>
      <c r="F155" s="3"/>
      <c r="G155" s="3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2"/>
      <c r="Y155" s="2"/>
      <c r="Z155" s="2"/>
      <c r="AA155" s="2"/>
      <c r="AB155" s="2"/>
    </row>
    <row r="156" ht="12.75" customHeight="1">
      <c r="A156" s="2"/>
      <c r="B156" s="2"/>
      <c r="C156" s="2"/>
      <c r="D156" s="3"/>
      <c r="E156" s="3"/>
      <c r="F156" s="3"/>
      <c r="G156" s="3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2"/>
      <c r="Y156" s="2"/>
      <c r="Z156" s="2"/>
      <c r="AA156" s="2"/>
      <c r="AB156" s="2"/>
    </row>
    <row r="157" ht="12.75" customHeight="1">
      <c r="A157" s="2"/>
      <c r="B157" s="2"/>
      <c r="C157" s="2"/>
      <c r="D157" s="3"/>
      <c r="E157" s="3"/>
      <c r="F157" s="3"/>
      <c r="G157" s="3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2"/>
      <c r="Y157" s="2"/>
      <c r="Z157" s="2"/>
      <c r="AA157" s="2"/>
      <c r="AB157" s="2"/>
    </row>
    <row r="158" ht="12.75" customHeight="1">
      <c r="A158" s="2"/>
      <c r="B158" s="2"/>
      <c r="C158" s="2"/>
      <c r="D158" s="3"/>
      <c r="E158" s="3"/>
      <c r="F158" s="3"/>
      <c r="G158" s="3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2"/>
      <c r="Y158" s="2"/>
      <c r="Z158" s="2"/>
      <c r="AA158" s="2"/>
      <c r="AB158" s="2"/>
    </row>
    <row r="159" ht="12.75" customHeight="1">
      <c r="A159" s="2"/>
      <c r="B159" s="2"/>
      <c r="C159" s="2"/>
      <c r="D159" s="3"/>
      <c r="E159" s="3"/>
      <c r="F159" s="3"/>
      <c r="G159" s="3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2"/>
      <c r="Y159" s="2"/>
      <c r="Z159" s="2"/>
      <c r="AA159" s="2"/>
      <c r="AB159" s="2"/>
    </row>
    <row r="160" ht="12.75" customHeight="1">
      <c r="A160" s="2"/>
      <c r="B160" s="2"/>
      <c r="C160" s="2"/>
      <c r="D160" s="3"/>
      <c r="E160" s="3"/>
      <c r="F160" s="3"/>
      <c r="G160" s="3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2"/>
      <c r="Y160" s="2"/>
      <c r="Z160" s="2"/>
      <c r="AA160" s="2"/>
      <c r="AB160" s="2"/>
    </row>
    <row r="161" ht="12.75" customHeight="1">
      <c r="A161" s="2"/>
      <c r="B161" s="2"/>
      <c r="C161" s="2"/>
      <c r="D161" s="3"/>
      <c r="E161" s="3"/>
      <c r="F161" s="3"/>
      <c r="G161" s="3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2"/>
      <c r="Y161" s="2"/>
      <c r="Z161" s="2"/>
      <c r="AA161" s="2"/>
      <c r="AB161" s="2"/>
    </row>
    <row r="162" ht="12.75" customHeight="1">
      <c r="A162" s="2"/>
      <c r="B162" s="2"/>
      <c r="C162" s="2"/>
      <c r="D162" s="3"/>
      <c r="E162" s="3"/>
      <c r="F162" s="3"/>
      <c r="G162" s="3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2"/>
      <c r="Y162" s="2"/>
      <c r="Z162" s="2"/>
      <c r="AA162" s="2"/>
      <c r="AB162" s="2"/>
    </row>
    <row r="163" ht="12.75" customHeight="1">
      <c r="A163" s="2"/>
      <c r="B163" s="2"/>
      <c r="C163" s="2"/>
      <c r="D163" s="3"/>
      <c r="E163" s="3"/>
      <c r="F163" s="3"/>
      <c r="G163" s="3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2"/>
      <c r="Y163" s="2"/>
      <c r="Z163" s="2"/>
      <c r="AA163" s="2"/>
      <c r="AB163" s="2"/>
    </row>
    <row r="164" ht="12.75" customHeight="1">
      <c r="A164" s="2"/>
      <c r="B164" s="2"/>
      <c r="C164" s="2"/>
      <c r="D164" s="3"/>
      <c r="E164" s="3"/>
      <c r="F164" s="3"/>
      <c r="G164" s="3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2"/>
      <c r="Y164" s="2"/>
      <c r="Z164" s="2"/>
      <c r="AA164" s="2"/>
      <c r="AB164" s="2"/>
    </row>
    <row r="165" ht="12.75" customHeight="1">
      <c r="A165" s="2"/>
      <c r="B165" s="2"/>
      <c r="C165" s="2"/>
      <c r="D165" s="3"/>
      <c r="E165" s="3"/>
      <c r="F165" s="3"/>
      <c r="G165" s="3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2"/>
      <c r="Y165" s="2"/>
      <c r="Z165" s="2"/>
      <c r="AA165" s="2"/>
      <c r="AB165" s="2"/>
    </row>
    <row r="166" ht="12.75" customHeight="1">
      <c r="A166" s="2"/>
      <c r="B166" s="2"/>
      <c r="C166" s="2"/>
      <c r="D166" s="3"/>
      <c r="E166" s="3"/>
      <c r="F166" s="3"/>
      <c r="G166" s="3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2"/>
      <c r="Y166" s="2"/>
      <c r="Z166" s="2"/>
      <c r="AA166" s="2"/>
      <c r="AB166" s="2"/>
    </row>
    <row r="167" ht="12.75" customHeight="1">
      <c r="A167" s="2"/>
      <c r="B167" s="2"/>
      <c r="C167" s="2"/>
      <c r="D167" s="3"/>
      <c r="E167" s="3"/>
      <c r="F167" s="3"/>
      <c r="G167" s="3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2"/>
      <c r="Y167" s="2"/>
      <c r="Z167" s="2"/>
      <c r="AA167" s="2"/>
      <c r="AB167" s="2"/>
    </row>
    <row r="168" ht="12.75" customHeight="1">
      <c r="A168" s="2"/>
      <c r="B168" s="2"/>
      <c r="C168" s="2"/>
      <c r="D168" s="3"/>
      <c r="E168" s="3"/>
      <c r="F168" s="3"/>
      <c r="G168" s="3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2"/>
      <c r="Y168" s="2"/>
      <c r="Z168" s="2"/>
      <c r="AA168" s="2"/>
      <c r="AB168" s="2"/>
    </row>
    <row r="169" ht="12.75" customHeight="1">
      <c r="A169" s="2"/>
      <c r="B169" s="2"/>
      <c r="C169" s="2"/>
      <c r="D169" s="3"/>
      <c r="E169" s="3"/>
      <c r="F169" s="3"/>
      <c r="G169" s="3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2"/>
      <c r="Y169" s="2"/>
      <c r="Z169" s="2"/>
      <c r="AA169" s="2"/>
      <c r="AB169" s="2"/>
    </row>
    <row r="170" ht="12.75" customHeight="1">
      <c r="A170" s="2"/>
      <c r="B170" s="2"/>
      <c r="C170" s="2"/>
      <c r="D170" s="3"/>
      <c r="E170" s="3"/>
      <c r="F170" s="3"/>
      <c r="G170" s="3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2"/>
      <c r="Y170" s="2"/>
      <c r="Z170" s="2"/>
      <c r="AA170" s="2"/>
      <c r="AB170" s="2"/>
    </row>
    <row r="171" ht="12.75" customHeight="1">
      <c r="A171" s="2"/>
      <c r="B171" s="2"/>
      <c r="C171" s="2"/>
      <c r="D171" s="3"/>
      <c r="E171" s="3"/>
      <c r="F171" s="3"/>
      <c r="G171" s="3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2"/>
      <c r="Y171" s="2"/>
      <c r="Z171" s="2"/>
      <c r="AA171" s="2"/>
      <c r="AB171" s="2"/>
    </row>
    <row r="172" ht="12.75" customHeight="1">
      <c r="A172" s="2"/>
      <c r="B172" s="2"/>
      <c r="C172" s="2"/>
      <c r="D172" s="3"/>
      <c r="E172" s="3"/>
      <c r="F172" s="3"/>
      <c r="G172" s="3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"/>
      <c r="Y172" s="2"/>
      <c r="Z172" s="2"/>
      <c r="AA172" s="2"/>
      <c r="AB172" s="2"/>
    </row>
    <row r="173" ht="12.75" customHeight="1">
      <c r="A173" s="2"/>
      <c r="B173" s="2"/>
      <c r="C173" s="2"/>
      <c r="D173" s="3"/>
      <c r="E173" s="3"/>
      <c r="F173" s="3"/>
      <c r="G173" s="3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"/>
      <c r="Y173" s="2"/>
      <c r="Z173" s="2"/>
      <c r="AA173" s="2"/>
      <c r="AB173" s="2"/>
    </row>
    <row r="174" ht="12.75" customHeight="1">
      <c r="A174" s="2"/>
      <c r="B174" s="2"/>
      <c r="C174" s="2"/>
      <c r="D174" s="3"/>
      <c r="E174" s="3"/>
      <c r="F174" s="3"/>
      <c r="G174" s="3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"/>
      <c r="Y174" s="2"/>
      <c r="Z174" s="2"/>
      <c r="AA174" s="2"/>
      <c r="AB174" s="2"/>
    </row>
    <row r="175" ht="12.75" customHeight="1">
      <c r="A175" s="2"/>
      <c r="B175" s="2"/>
      <c r="C175" s="2"/>
      <c r="D175" s="3"/>
      <c r="E175" s="3"/>
      <c r="F175" s="3"/>
      <c r="G175" s="3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"/>
      <c r="Y175" s="2"/>
      <c r="Z175" s="2"/>
      <c r="AA175" s="2"/>
      <c r="AB175" s="2"/>
    </row>
    <row r="176" ht="12.75" customHeight="1">
      <c r="A176" s="2"/>
      <c r="B176" s="2"/>
      <c r="C176" s="2"/>
      <c r="D176" s="3"/>
      <c r="E176" s="3"/>
      <c r="F176" s="3"/>
      <c r="G176" s="3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"/>
      <c r="Y176" s="2"/>
      <c r="Z176" s="2"/>
      <c r="AA176" s="2"/>
      <c r="AB176" s="2"/>
    </row>
    <row r="177" ht="12.75" customHeight="1">
      <c r="A177" s="2"/>
      <c r="B177" s="2"/>
      <c r="C177" s="2"/>
      <c r="D177" s="3"/>
      <c r="E177" s="3"/>
      <c r="F177" s="3"/>
      <c r="G177" s="3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"/>
      <c r="Y177" s="2"/>
      <c r="Z177" s="2"/>
      <c r="AA177" s="2"/>
      <c r="AB177" s="2"/>
    </row>
    <row r="178" ht="12.75" customHeight="1">
      <c r="A178" s="2"/>
      <c r="B178" s="2"/>
      <c r="C178" s="2"/>
      <c r="D178" s="3"/>
      <c r="E178" s="3"/>
      <c r="F178" s="3"/>
      <c r="G178" s="3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2"/>
      <c r="Y178" s="2"/>
      <c r="Z178" s="2"/>
      <c r="AA178" s="2"/>
      <c r="AB178" s="2"/>
    </row>
    <row r="179" ht="12.75" customHeight="1">
      <c r="A179" s="2"/>
      <c r="B179" s="2"/>
      <c r="C179" s="2"/>
      <c r="D179" s="3"/>
      <c r="E179" s="3"/>
      <c r="F179" s="3"/>
      <c r="G179" s="3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2"/>
      <c r="Y179" s="2"/>
      <c r="Z179" s="2"/>
      <c r="AA179" s="2"/>
      <c r="AB179" s="2"/>
    </row>
    <row r="180" ht="12.75" customHeight="1">
      <c r="A180" s="2"/>
      <c r="B180" s="2"/>
      <c r="C180" s="2"/>
      <c r="D180" s="3"/>
      <c r="E180" s="3"/>
      <c r="F180" s="3"/>
      <c r="G180" s="3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2"/>
      <c r="Y180" s="2"/>
      <c r="Z180" s="2"/>
      <c r="AA180" s="2"/>
      <c r="AB180" s="2"/>
    </row>
    <row r="181" ht="12.75" customHeight="1">
      <c r="A181" s="2"/>
      <c r="B181" s="2"/>
      <c r="C181" s="2"/>
      <c r="D181" s="3"/>
      <c r="E181" s="3"/>
      <c r="F181" s="3"/>
      <c r="G181" s="3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2"/>
      <c r="Y181" s="2"/>
      <c r="Z181" s="2"/>
      <c r="AA181" s="2"/>
      <c r="AB181" s="2"/>
    </row>
    <row r="182" ht="12.75" customHeight="1">
      <c r="A182" s="2"/>
      <c r="B182" s="2"/>
      <c r="C182" s="2"/>
      <c r="D182" s="3"/>
      <c r="E182" s="3"/>
      <c r="F182" s="3"/>
      <c r="G182" s="3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2"/>
      <c r="Y182" s="2"/>
      <c r="Z182" s="2"/>
      <c r="AA182" s="2"/>
      <c r="AB182" s="2"/>
    </row>
    <row r="183" ht="12.75" customHeight="1">
      <c r="A183" s="2"/>
      <c r="B183" s="2"/>
      <c r="C183" s="2"/>
      <c r="D183" s="3"/>
      <c r="E183" s="3"/>
      <c r="F183" s="3"/>
      <c r="G183" s="3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2"/>
      <c r="Y183" s="2"/>
      <c r="Z183" s="2"/>
      <c r="AA183" s="2"/>
      <c r="AB183" s="2"/>
    </row>
    <row r="184" ht="12.75" customHeight="1">
      <c r="A184" s="2"/>
      <c r="B184" s="2"/>
      <c r="C184" s="2"/>
      <c r="D184" s="3"/>
      <c r="E184" s="3"/>
      <c r="F184" s="3"/>
      <c r="G184" s="3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2"/>
      <c r="Y184" s="2"/>
      <c r="Z184" s="2"/>
      <c r="AA184" s="2"/>
      <c r="AB184" s="2"/>
    </row>
    <row r="185" ht="12.75" customHeight="1">
      <c r="A185" s="2"/>
      <c r="B185" s="2"/>
      <c r="C185" s="2"/>
      <c r="D185" s="3"/>
      <c r="E185" s="3"/>
      <c r="F185" s="3"/>
      <c r="G185" s="3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2"/>
      <c r="Y185" s="2"/>
      <c r="Z185" s="2"/>
      <c r="AA185" s="2"/>
      <c r="AB185" s="2"/>
    </row>
    <row r="186" ht="12.75" customHeight="1">
      <c r="A186" s="2"/>
      <c r="B186" s="2"/>
      <c r="C186" s="2"/>
      <c r="D186" s="3"/>
      <c r="E186" s="3"/>
      <c r="F186" s="3"/>
      <c r="G186" s="3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2"/>
      <c r="Y186" s="2"/>
      <c r="Z186" s="2"/>
      <c r="AA186" s="2"/>
      <c r="AB186" s="2"/>
    </row>
    <row r="187" ht="12.75" customHeight="1">
      <c r="A187" s="2"/>
      <c r="B187" s="2"/>
      <c r="C187" s="2"/>
      <c r="D187" s="3"/>
      <c r="E187" s="3"/>
      <c r="F187" s="3"/>
      <c r="G187" s="3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2"/>
      <c r="Y187" s="2"/>
      <c r="Z187" s="2"/>
      <c r="AA187" s="2"/>
      <c r="AB187" s="2"/>
    </row>
    <row r="188" ht="12.75" customHeight="1">
      <c r="A188" s="2"/>
      <c r="B188" s="2"/>
      <c r="C188" s="2"/>
      <c r="D188" s="3"/>
      <c r="E188" s="3"/>
      <c r="F188" s="3"/>
      <c r="G188" s="3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2"/>
      <c r="Y188" s="2"/>
      <c r="Z188" s="2"/>
      <c r="AA188" s="2"/>
      <c r="AB188" s="2"/>
    </row>
    <row r="189" ht="12.75" customHeight="1">
      <c r="A189" s="2"/>
      <c r="B189" s="2"/>
      <c r="C189" s="2"/>
      <c r="D189" s="3"/>
      <c r="E189" s="3"/>
      <c r="F189" s="3"/>
      <c r="G189" s="3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2"/>
      <c r="Y189" s="2"/>
      <c r="Z189" s="2"/>
      <c r="AA189" s="2"/>
      <c r="AB189" s="2"/>
    </row>
    <row r="190" ht="12.75" customHeight="1">
      <c r="A190" s="2"/>
      <c r="B190" s="2"/>
      <c r="C190" s="2"/>
      <c r="D190" s="3"/>
      <c r="E190" s="3"/>
      <c r="F190" s="3"/>
      <c r="G190" s="3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2"/>
      <c r="Y190" s="2"/>
      <c r="Z190" s="2"/>
      <c r="AA190" s="2"/>
      <c r="AB190" s="2"/>
    </row>
    <row r="191" ht="12.75" customHeight="1">
      <c r="A191" s="2"/>
      <c r="B191" s="2"/>
      <c r="C191" s="2"/>
      <c r="D191" s="3"/>
      <c r="E191" s="3"/>
      <c r="F191" s="3"/>
      <c r="G191" s="3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2"/>
      <c r="Y191" s="2"/>
      <c r="Z191" s="2"/>
      <c r="AA191" s="2"/>
      <c r="AB191" s="2"/>
    </row>
    <row r="192" ht="12.75" customHeight="1">
      <c r="A192" s="2"/>
      <c r="B192" s="2"/>
      <c r="C192" s="2"/>
      <c r="D192" s="3"/>
      <c r="E192" s="3"/>
      <c r="F192" s="3"/>
      <c r="G192" s="3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2"/>
      <c r="Y192" s="2"/>
      <c r="Z192" s="2"/>
      <c r="AA192" s="2"/>
      <c r="AB192" s="2"/>
    </row>
    <row r="193" ht="12.75" customHeight="1">
      <c r="A193" s="2"/>
      <c r="B193" s="2"/>
      <c r="C193" s="2"/>
      <c r="D193" s="3"/>
      <c r="E193" s="3"/>
      <c r="F193" s="3"/>
      <c r="G193" s="3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2"/>
      <c r="Y193" s="2"/>
      <c r="Z193" s="2"/>
      <c r="AA193" s="2"/>
      <c r="AB193" s="2"/>
    </row>
    <row r="194" ht="12.75" customHeight="1">
      <c r="A194" s="2"/>
      <c r="B194" s="2"/>
      <c r="C194" s="2"/>
      <c r="D194" s="3"/>
      <c r="E194" s="3"/>
      <c r="F194" s="3"/>
      <c r="G194" s="3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2"/>
      <c r="Y194" s="2"/>
      <c r="Z194" s="2"/>
      <c r="AA194" s="2"/>
      <c r="AB194" s="2"/>
    </row>
    <row r="195" ht="12.75" customHeight="1">
      <c r="A195" s="2"/>
      <c r="B195" s="2"/>
      <c r="C195" s="2"/>
      <c r="D195" s="3"/>
      <c r="E195" s="3"/>
      <c r="F195" s="3"/>
      <c r="G195" s="3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2"/>
      <c r="Y195" s="2"/>
      <c r="Z195" s="2"/>
      <c r="AA195" s="2"/>
      <c r="AB195" s="2"/>
    </row>
    <row r="196" ht="12.75" customHeight="1">
      <c r="A196" s="2"/>
      <c r="B196" s="2"/>
      <c r="C196" s="2"/>
      <c r="D196" s="3"/>
      <c r="E196" s="3"/>
      <c r="F196" s="3"/>
      <c r="G196" s="3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2"/>
      <c r="Y196" s="2"/>
      <c r="Z196" s="2"/>
      <c r="AA196" s="2"/>
      <c r="AB196" s="2"/>
    </row>
    <row r="197" ht="12.75" customHeight="1">
      <c r="A197" s="2"/>
      <c r="B197" s="2"/>
      <c r="C197" s="2"/>
      <c r="D197" s="3"/>
      <c r="E197" s="3"/>
      <c r="F197" s="3"/>
      <c r="G197" s="3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2"/>
      <c r="Y197" s="2"/>
      <c r="Z197" s="2"/>
      <c r="AA197" s="2"/>
      <c r="AB197" s="2"/>
    </row>
    <row r="198" ht="12.75" customHeight="1">
      <c r="A198" s="2"/>
      <c r="B198" s="2"/>
      <c r="C198" s="2"/>
      <c r="D198" s="3"/>
      <c r="E198" s="3"/>
      <c r="F198" s="3"/>
      <c r="G198" s="3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2"/>
      <c r="Y198" s="2"/>
      <c r="Z198" s="2"/>
      <c r="AA198" s="2"/>
      <c r="AB198" s="2"/>
    </row>
    <row r="199" ht="12.75" customHeight="1">
      <c r="A199" s="2"/>
      <c r="B199" s="2"/>
      <c r="C199" s="2"/>
      <c r="D199" s="3"/>
      <c r="E199" s="3"/>
      <c r="F199" s="3"/>
      <c r="G199" s="3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2"/>
      <c r="Y199" s="2"/>
      <c r="Z199" s="2"/>
      <c r="AA199" s="2"/>
      <c r="AB199" s="2"/>
    </row>
    <row r="200" ht="12.75" customHeight="1">
      <c r="A200" s="2"/>
      <c r="B200" s="2"/>
      <c r="C200" s="2"/>
      <c r="D200" s="3"/>
      <c r="E200" s="3"/>
      <c r="F200" s="3"/>
      <c r="G200" s="3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2"/>
      <c r="Y200" s="2"/>
      <c r="Z200" s="2"/>
      <c r="AA200" s="2"/>
      <c r="AB200" s="2"/>
    </row>
    <row r="201" ht="12.75" customHeight="1">
      <c r="A201" s="2"/>
      <c r="B201" s="2"/>
      <c r="C201" s="2"/>
      <c r="D201" s="3"/>
      <c r="E201" s="3"/>
      <c r="F201" s="3"/>
      <c r="G201" s="3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2"/>
      <c r="Y201" s="2"/>
      <c r="Z201" s="2"/>
      <c r="AA201" s="2"/>
      <c r="AB201" s="2"/>
    </row>
    <row r="202" ht="12.75" customHeight="1">
      <c r="A202" s="2"/>
      <c r="B202" s="2"/>
      <c r="C202" s="2"/>
      <c r="D202" s="3"/>
      <c r="E202" s="3"/>
      <c r="F202" s="3"/>
      <c r="G202" s="3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2"/>
      <c r="Y202" s="2"/>
      <c r="Z202" s="2"/>
      <c r="AA202" s="2"/>
      <c r="AB202" s="2"/>
    </row>
    <row r="203" ht="12.75" customHeight="1">
      <c r="A203" s="2"/>
      <c r="B203" s="2"/>
      <c r="C203" s="2"/>
      <c r="D203" s="3"/>
      <c r="E203" s="3"/>
      <c r="F203" s="3"/>
      <c r="G203" s="3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2"/>
      <c r="Y203" s="2"/>
      <c r="Z203" s="2"/>
      <c r="AA203" s="2"/>
      <c r="AB203" s="2"/>
    </row>
    <row r="204" ht="12.75" customHeight="1">
      <c r="A204" s="2"/>
      <c r="B204" s="2"/>
      <c r="C204" s="2"/>
      <c r="D204" s="3"/>
      <c r="E204" s="3"/>
      <c r="F204" s="3"/>
      <c r="G204" s="3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2"/>
      <c r="Y204" s="2"/>
      <c r="Z204" s="2"/>
      <c r="AA204" s="2"/>
      <c r="AB204" s="2"/>
    </row>
    <row r="205" ht="12.75" customHeight="1">
      <c r="A205" s="2"/>
      <c r="B205" s="2"/>
      <c r="C205" s="2"/>
      <c r="D205" s="3"/>
      <c r="E205" s="3"/>
      <c r="F205" s="3"/>
      <c r="G205" s="3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2"/>
      <c r="Y205" s="2"/>
      <c r="Z205" s="2"/>
      <c r="AA205" s="2"/>
      <c r="AB205" s="2"/>
    </row>
    <row r="206" ht="12.75" customHeight="1">
      <c r="A206" s="2"/>
      <c r="B206" s="2"/>
      <c r="C206" s="2"/>
      <c r="D206" s="3"/>
      <c r="E206" s="3"/>
      <c r="F206" s="3"/>
      <c r="G206" s="3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2"/>
      <c r="Y206" s="2"/>
      <c r="Z206" s="2"/>
      <c r="AA206" s="2"/>
      <c r="AB206" s="2"/>
    </row>
    <row r="207" ht="12.75" customHeight="1">
      <c r="A207" s="2"/>
      <c r="B207" s="2"/>
      <c r="C207" s="2"/>
      <c r="D207" s="3"/>
      <c r="E207" s="3"/>
      <c r="F207" s="3"/>
      <c r="G207" s="3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2"/>
      <c r="Y207" s="2"/>
      <c r="Z207" s="2"/>
      <c r="AA207" s="2"/>
      <c r="AB207" s="2"/>
    </row>
    <row r="208" ht="12.75" customHeight="1">
      <c r="A208" s="2"/>
      <c r="B208" s="2"/>
      <c r="C208" s="2"/>
      <c r="D208" s="3"/>
      <c r="E208" s="3"/>
      <c r="F208" s="3"/>
      <c r="G208" s="3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2"/>
      <c r="Y208" s="2"/>
      <c r="Z208" s="2"/>
      <c r="AA208" s="2"/>
      <c r="AB208" s="2"/>
    </row>
    <row r="209" ht="12.75" customHeight="1">
      <c r="A209" s="2"/>
      <c r="B209" s="2"/>
      <c r="C209" s="2"/>
      <c r="D209" s="3"/>
      <c r="E209" s="3"/>
      <c r="F209" s="3"/>
      <c r="G209" s="3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2"/>
      <c r="Y209" s="2"/>
      <c r="Z209" s="2"/>
      <c r="AA209" s="2"/>
      <c r="AB209" s="2"/>
    </row>
    <row r="210" ht="12.75" customHeight="1">
      <c r="A210" s="2"/>
      <c r="B210" s="2"/>
      <c r="C210" s="2"/>
      <c r="D210" s="3"/>
      <c r="E210" s="3"/>
      <c r="F210" s="3"/>
      <c r="G210" s="3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2"/>
      <c r="Y210" s="2"/>
      <c r="Z210" s="2"/>
      <c r="AA210" s="2"/>
      <c r="AB210" s="2"/>
    </row>
    <row r="211" ht="12.75" customHeight="1">
      <c r="A211" s="2"/>
      <c r="B211" s="2"/>
      <c r="C211" s="2"/>
      <c r="D211" s="3"/>
      <c r="E211" s="3"/>
      <c r="F211" s="3"/>
      <c r="G211" s="3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2"/>
      <c r="Y211" s="2"/>
      <c r="Z211" s="2"/>
      <c r="AA211" s="2"/>
      <c r="AB211" s="2"/>
    </row>
    <row r="212" ht="12.75" customHeight="1">
      <c r="A212" s="2"/>
      <c r="B212" s="2"/>
      <c r="C212" s="2"/>
      <c r="D212" s="3"/>
      <c r="E212" s="3"/>
      <c r="F212" s="3"/>
      <c r="G212" s="3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2"/>
      <c r="Y212" s="2"/>
      <c r="Z212" s="2"/>
      <c r="AA212" s="2"/>
      <c r="AB212" s="2"/>
    </row>
    <row r="213" ht="12.75" customHeight="1">
      <c r="A213" s="2"/>
      <c r="B213" s="2"/>
      <c r="C213" s="2"/>
      <c r="D213" s="3"/>
      <c r="E213" s="3"/>
      <c r="F213" s="3"/>
      <c r="G213" s="3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2"/>
      <c r="Y213" s="2"/>
      <c r="Z213" s="2"/>
      <c r="AA213" s="2"/>
      <c r="AB213" s="2"/>
    </row>
    <row r="214" ht="12.75" customHeight="1">
      <c r="A214" s="2"/>
      <c r="B214" s="2"/>
      <c r="C214" s="2"/>
      <c r="D214" s="3"/>
      <c r="E214" s="3"/>
      <c r="F214" s="3"/>
      <c r="G214" s="3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2"/>
      <c r="Y214" s="2"/>
      <c r="Z214" s="2"/>
      <c r="AA214" s="2"/>
      <c r="AB214" s="2"/>
    </row>
    <row r="215" ht="12.75" customHeight="1">
      <c r="A215" s="2"/>
      <c r="B215" s="2"/>
      <c r="C215" s="2"/>
      <c r="D215" s="3"/>
      <c r="E215" s="3"/>
      <c r="F215" s="3"/>
      <c r="G215" s="3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2"/>
      <c r="Y215" s="2"/>
      <c r="Z215" s="2"/>
      <c r="AA215" s="2"/>
      <c r="AB215" s="2"/>
    </row>
    <row r="216" ht="12.75" customHeight="1">
      <c r="A216" s="2"/>
      <c r="B216" s="2"/>
      <c r="C216" s="2"/>
      <c r="D216" s="3"/>
      <c r="E216" s="3"/>
      <c r="F216" s="3"/>
      <c r="G216" s="3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2"/>
      <c r="Y216" s="2"/>
      <c r="Z216" s="2"/>
      <c r="AA216" s="2"/>
      <c r="AB216" s="2"/>
    </row>
    <row r="217" ht="12.75" customHeight="1">
      <c r="A217" s="2"/>
      <c r="B217" s="2"/>
      <c r="C217" s="2"/>
      <c r="D217" s="3"/>
      <c r="E217" s="3"/>
      <c r="F217" s="3"/>
      <c r="G217" s="3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"/>
      <c r="Y217" s="2"/>
      <c r="Z217" s="2"/>
      <c r="AA217" s="2"/>
      <c r="AB217" s="2"/>
    </row>
    <row r="218" ht="12.75" customHeight="1">
      <c r="A218" s="2"/>
      <c r="B218" s="2"/>
      <c r="C218" s="2"/>
      <c r="D218" s="3"/>
      <c r="E218" s="3"/>
      <c r="F218" s="3"/>
      <c r="G218" s="3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2"/>
      <c r="Y218" s="2"/>
      <c r="Z218" s="2"/>
      <c r="AA218" s="2"/>
      <c r="AB218" s="2"/>
    </row>
    <row r="219" ht="12.75" customHeight="1">
      <c r="A219" s="2"/>
      <c r="B219" s="2"/>
      <c r="C219" s="2"/>
      <c r="D219" s="3"/>
      <c r="E219" s="3"/>
      <c r="F219" s="3"/>
      <c r="G219" s="3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2"/>
      <c r="Y219" s="2"/>
      <c r="Z219" s="2"/>
      <c r="AA219" s="2"/>
      <c r="AB219" s="2"/>
    </row>
    <row r="220" ht="12.75" customHeight="1">
      <c r="A220" s="2"/>
      <c r="B220" s="2"/>
      <c r="C220" s="2"/>
      <c r="D220" s="3"/>
      <c r="E220" s="3"/>
      <c r="F220" s="3"/>
      <c r="G220" s="3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2"/>
      <c r="Y220" s="2"/>
      <c r="Z220" s="2"/>
      <c r="AA220" s="2"/>
      <c r="AB220" s="2"/>
    </row>
    <row r="221" ht="12.75" customHeight="1">
      <c r="A221" s="2"/>
      <c r="B221" s="2"/>
      <c r="C221" s="2"/>
      <c r="D221" s="3"/>
      <c r="E221" s="3"/>
      <c r="F221" s="3"/>
      <c r="G221" s="3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2"/>
      <c r="Y221" s="2"/>
      <c r="Z221" s="2"/>
      <c r="AA221" s="2"/>
      <c r="AB221" s="2"/>
    </row>
    <row r="222" ht="12.75" customHeight="1">
      <c r="A222" s="2"/>
      <c r="B222" s="2"/>
      <c r="C222" s="2"/>
      <c r="D222" s="3"/>
      <c r="E222" s="3"/>
      <c r="F222" s="3"/>
      <c r="G222" s="3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2"/>
      <c r="Y222" s="2"/>
      <c r="Z222" s="2"/>
      <c r="AA222" s="2"/>
      <c r="AB222" s="2"/>
    </row>
    <row r="223" ht="12.75" customHeight="1">
      <c r="A223" s="2"/>
      <c r="B223" s="2"/>
      <c r="C223" s="2"/>
      <c r="D223" s="3"/>
      <c r="E223" s="3"/>
      <c r="F223" s="3"/>
      <c r="G223" s="3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2"/>
      <c r="Y223" s="2"/>
      <c r="Z223" s="2"/>
      <c r="AA223" s="2"/>
      <c r="AB223" s="2"/>
    </row>
    <row r="224" ht="12.75" customHeight="1">
      <c r="A224" s="2"/>
      <c r="B224" s="2"/>
      <c r="C224" s="2"/>
      <c r="D224" s="3"/>
      <c r="E224" s="3"/>
      <c r="F224" s="3"/>
      <c r="G224" s="3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2"/>
      <c r="Y224" s="2"/>
      <c r="Z224" s="2"/>
      <c r="AA224" s="2"/>
      <c r="AB224" s="2"/>
    </row>
    <row r="225" ht="12.75" customHeight="1">
      <c r="A225" s="2"/>
      <c r="B225" s="2"/>
      <c r="C225" s="2"/>
      <c r="D225" s="3"/>
      <c r="E225" s="3"/>
      <c r="F225" s="3"/>
      <c r="G225" s="3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2"/>
      <c r="Y225" s="2"/>
      <c r="Z225" s="2"/>
      <c r="AA225" s="2"/>
      <c r="AB225" s="2"/>
    </row>
    <row r="226" ht="12.75" customHeight="1">
      <c r="A226" s="2"/>
      <c r="B226" s="2"/>
      <c r="C226" s="2"/>
      <c r="D226" s="3"/>
      <c r="E226" s="3"/>
      <c r="F226" s="3"/>
      <c r="G226" s="3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2"/>
      <c r="Y226" s="2"/>
      <c r="Z226" s="2"/>
      <c r="AA226" s="2"/>
      <c r="AB226" s="2"/>
    </row>
    <row r="227" ht="12.75" customHeight="1">
      <c r="A227" s="2"/>
      <c r="B227" s="2"/>
      <c r="C227" s="2"/>
      <c r="D227" s="3"/>
      <c r="E227" s="3"/>
      <c r="F227" s="3"/>
      <c r="G227" s="3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2"/>
      <c r="Y227" s="2"/>
      <c r="Z227" s="2"/>
      <c r="AA227" s="2"/>
      <c r="AB227" s="2"/>
    </row>
    <row r="228" ht="12.75" customHeight="1">
      <c r="A228" s="2"/>
      <c r="B228" s="2"/>
      <c r="C228" s="2"/>
      <c r="D228" s="3"/>
      <c r="E228" s="3"/>
      <c r="F228" s="3"/>
      <c r="G228" s="3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2"/>
      <c r="Y228" s="2"/>
      <c r="Z228" s="2"/>
      <c r="AA228" s="2"/>
      <c r="AB228" s="2"/>
    </row>
    <row r="229" ht="12.75" customHeight="1">
      <c r="A229" s="2"/>
      <c r="B229" s="2"/>
      <c r="C229" s="2"/>
      <c r="D229" s="3"/>
      <c r="E229" s="3"/>
      <c r="F229" s="3"/>
      <c r="G229" s="3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2"/>
      <c r="Y229" s="2"/>
      <c r="Z229" s="2"/>
      <c r="AA229" s="2"/>
      <c r="AB229" s="2"/>
    </row>
    <row r="230" ht="12.75" customHeight="1">
      <c r="A230" s="2"/>
      <c r="B230" s="2"/>
      <c r="C230" s="2"/>
      <c r="D230" s="3"/>
      <c r="E230" s="3"/>
      <c r="F230" s="3"/>
      <c r="G230" s="3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2"/>
      <c r="Y230" s="2"/>
      <c r="Z230" s="2"/>
      <c r="AA230" s="2"/>
      <c r="AB230" s="2"/>
    </row>
    <row r="231" ht="12.75" customHeight="1">
      <c r="A231" s="2"/>
      <c r="B231" s="2"/>
      <c r="C231" s="2"/>
      <c r="D231" s="3"/>
      <c r="E231" s="3"/>
      <c r="F231" s="3"/>
      <c r="G231" s="3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2"/>
      <c r="Y231" s="2"/>
      <c r="Z231" s="2"/>
      <c r="AA231" s="2"/>
      <c r="AB231" s="2"/>
    </row>
    <row r="232" ht="12.75" customHeight="1">
      <c r="A232" s="2"/>
      <c r="B232" s="2"/>
      <c r="C232" s="2"/>
      <c r="D232" s="3"/>
      <c r="E232" s="3"/>
      <c r="F232" s="3"/>
      <c r="G232" s="3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2"/>
      <c r="Y232" s="2"/>
      <c r="Z232" s="2"/>
      <c r="AA232" s="2"/>
      <c r="AB232" s="2"/>
    </row>
    <row r="233" ht="12.75" customHeight="1">
      <c r="A233" s="2"/>
      <c r="B233" s="2"/>
      <c r="C233" s="2"/>
      <c r="D233" s="3"/>
      <c r="E233" s="3"/>
      <c r="F233" s="3"/>
      <c r="G233" s="3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2"/>
      <c r="Y233" s="2"/>
      <c r="Z233" s="2"/>
      <c r="AA233" s="2"/>
      <c r="AB233" s="2"/>
    </row>
    <row r="234" ht="12.75" customHeight="1">
      <c r="A234" s="2"/>
      <c r="B234" s="2"/>
      <c r="C234" s="2"/>
      <c r="D234" s="3"/>
      <c r="E234" s="3"/>
      <c r="F234" s="3"/>
      <c r="G234" s="3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2"/>
      <c r="Y234" s="2"/>
      <c r="Z234" s="2"/>
      <c r="AA234" s="2"/>
      <c r="AB234" s="2"/>
    </row>
    <row r="235" ht="12.75" customHeight="1">
      <c r="A235" s="2"/>
      <c r="B235" s="2"/>
      <c r="C235" s="2"/>
      <c r="D235" s="3"/>
      <c r="E235" s="3"/>
      <c r="F235" s="3"/>
      <c r="G235" s="3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2"/>
      <c r="Y235" s="2"/>
      <c r="Z235" s="2"/>
      <c r="AA235" s="2"/>
      <c r="AB235" s="2"/>
    </row>
    <row r="236" ht="12.75" customHeight="1">
      <c r="A236" s="2"/>
      <c r="B236" s="2"/>
      <c r="C236" s="2"/>
      <c r="D236" s="3"/>
      <c r="E236" s="3"/>
      <c r="F236" s="3"/>
      <c r="G236" s="3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2"/>
      <c r="Y236" s="2"/>
      <c r="Z236" s="2"/>
      <c r="AA236" s="2"/>
      <c r="AB236" s="2"/>
    </row>
    <row r="237" ht="12.75" customHeight="1">
      <c r="A237" s="2"/>
      <c r="B237" s="2"/>
      <c r="C237" s="2"/>
      <c r="D237" s="3"/>
      <c r="E237" s="3"/>
      <c r="F237" s="3"/>
      <c r="G237" s="3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2"/>
      <c r="Y237" s="2"/>
      <c r="Z237" s="2"/>
      <c r="AA237" s="2"/>
      <c r="AB237" s="2"/>
    </row>
    <row r="238" ht="12.75" customHeight="1">
      <c r="A238" s="2"/>
      <c r="B238" s="2"/>
      <c r="C238" s="2"/>
      <c r="D238" s="3"/>
      <c r="E238" s="3"/>
      <c r="F238" s="3"/>
      <c r="G238" s="3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2"/>
      <c r="Y238" s="2"/>
      <c r="Z238" s="2"/>
      <c r="AA238" s="2"/>
      <c r="AB238" s="2"/>
    </row>
    <row r="239" ht="12.75" customHeight="1">
      <c r="A239" s="2"/>
      <c r="B239" s="2"/>
      <c r="C239" s="2"/>
      <c r="D239" s="3"/>
      <c r="E239" s="3"/>
      <c r="F239" s="3"/>
      <c r="G239" s="3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2"/>
      <c r="Y239" s="2"/>
      <c r="Z239" s="2"/>
      <c r="AA239" s="2"/>
      <c r="AB239" s="2"/>
    </row>
    <row r="240" ht="12.75" customHeight="1">
      <c r="A240" s="2"/>
      <c r="B240" s="2"/>
      <c r="C240" s="2"/>
      <c r="D240" s="3"/>
      <c r="E240" s="3"/>
      <c r="F240" s="3"/>
      <c r="G240" s="3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2"/>
      <c r="Y240" s="2"/>
      <c r="Z240" s="2"/>
      <c r="AA240" s="2"/>
      <c r="AB240" s="2"/>
    </row>
    <row r="241" ht="12.75" customHeight="1">
      <c r="A241" s="2"/>
      <c r="B241" s="2"/>
      <c r="C241" s="2"/>
      <c r="D241" s="3"/>
      <c r="E241" s="3"/>
      <c r="F241" s="3"/>
      <c r="G241" s="3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2"/>
      <c r="Y241" s="2"/>
      <c r="Z241" s="2"/>
      <c r="AA241" s="2"/>
      <c r="AB241" s="2"/>
    </row>
    <row r="242" ht="12.75" customHeight="1">
      <c r="A242" s="2"/>
      <c r="B242" s="2"/>
      <c r="C242" s="2"/>
      <c r="D242" s="3"/>
      <c r="E242" s="3"/>
      <c r="F242" s="3"/>
      <c r="G242" s="3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2"/>
      <c r="Y242" s="2"/>
      <c r="Z242" s="2"/>
      <c r="AA242" s="2"/>
      <c r="AB242" s="2"/>
    </row>
    <row r="243" ht="12.75" customHeight="1">
      <c r="A243" s="2"/>
      <c r="B243" s="2"/>
      <c r="C243" s="2"/>
      <c r="D243" s="3"/>
      <c r="E243" s="3"/>
      <c r="F243" s="3"/>
      <c r="G243" s="3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2"/>
      <c r="Y243" s="2"/>
      <c r="Z243" s="2"/>
      <c r="AA243" s="2"/>
      <c r="AB243" s="2"/>
    </row>
    <row r="244" ht="12.75" customHeight="1">
      <c r="A244" s="2"/>
      <c r="B244" s="2"/>
      <c r="C244" s="2"/>
      <c r="D244" s="3"/>
      <c r="E244" s="3"/>
      <c r="F244" s="3"/>
      <c r="G244" s="3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2"/>
      <c r="Y244" s="2"/>
      <c r="Z244" s="2"/>
      <c r="AA244" s="2"/>
      <c r="AB244" s="2"/>
    </row>
    <row r="245" ht="12.75" customHeight="1">
      <c r="A245" s="2"/>
      <c r="B245" s="2"/>
      <c r="C245" s="2"/>
      <c r="D245" s="3"/>
      <c r="E245" s="3"/>
      <c r="F245" s="3"/>
      <c r="G245" s="3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2"/>
      <c r="Y245" s="2"/>
      <c r="Z245" s="2"/>
      <c r="AA245" s="2"/>
      <c r="AB245" s="2"/>
    </row>
    <row r="246" ht="12.75" customHeight="1">
      <c r="A246" s="2"/>
      <c r="B246" s="2"/>
      <c r="C246" s="2"/>
      <c r="D246" s="3"/>
      <c r="E246" s="3"/>
      <c r="F246" s="3"/>
      <c r="G246" s="3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2"/>
      <c r="Y246" s="2"/>
      <c r="Z246" s="2"/>
      <c r="AA246" s="2"/>
      <c r="AB246" s="2"/>
    </row>
    <row r="247" ht="12.75" customHeight="1">
      <c r="A247" s="2"/>
      <c r="B247" s="2"/>
      <c r="C247" s="2"/>
      <c r="D247" s="3"/>
      <c r="E247" s="3"/>
      <c r="F247" s="3"/>
      <c r="G247" s="3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2"/>
      <c r="Y247" s="2"/>
      <c r="Z247" s="2"/>
      <c r="AA247" s="2"/>
      <c r="AB247" s="2"/>
    </row>
    <row r="248" ht="12.75" customHeight="1">
      <c r="A248" s="2"/>
      <c r="B248" s="2"/>
      <c r="C248" s="2"/>
      <c r="D248" s="3"/>
      <c r="E248" s="3"/>
      <c r="F248" s="3"/>
      <c r="G248" s="3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2"/>
      <c r="Y248" s="2"/>
      <c r="Z248" s="2"/>
      <c r="AA248" s="2"/>
      <c r="AB248" s="2"/>
    </row>
    <row r="249" ht="12.75" customHeight="1">
      <c r="A249" s="2"/>
      <c r="B249" s="2"/>
      <c r="C249" s="2"/>
      <c r="D249" s="3"/>
      <c r="E249" s="3"/>
      <c r="F249" s="3"/>
      <c r="G249" s="3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2"/>
      <c r="Y249" s="2"/>
      <c r="Z249" s="2"/>
      <c r="AA249" s="2"/>
      <c r="AB249" s="2"/>
    </row>
    <row r="250" ht="12.75" customHeight="1">
      <c r="A250" s="2"/>
      <c r="B250" s="2"/>
      <c r="C250" s="2"/>
      <c r="D250" s="3"/>
      <c r="E250" s="3"/>
      <c r="F250" s="3"/>
      <c r="G250" s="3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2"/>
      <c r="Y250" s="2"/>
      <c r="Z250" s="2"/>
      <c r="AA250" s="2"/>
      <c r="AB250" s="2"/>
    </row>
    <row r="251" ht="12.75" customHeight="1">
      <c r="A251" s="2"/>
      <c r="B251" s="2"/>
      <c r="C251" s="2"/>
      <c r="D251" s="3"/>
      <c r="E251" s="3"/>
      <c r="F251" s="3"/>
      <c r="G251" s="3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2"/>
      <c r="Y251" s="2"/>
      <c r="Z251" s="2"/>
      <c r="AA251" s="2"/>
      <c r="AB251" s="2"/>
    </row>
    <row r="252" ht="12.75" customHeight="1">
      <c r="A252" s="2"/>
      <c r="B252" s="2"/>
      <c r="C252" s="2"/>
      <c r="D252" s="3"/>
      <c r="E252" s="3"/>
      <c r="F252" s="3"/>
      <c r="G252" s="3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2"/>
      <c r="Y252" s="2"/>
      <c r="Z252" s="2"/>
      <c r="AA252" s="2"/>
      <c r="AB252" s="2"/>
    </row>
    <row r="253" ht="12.75" customHeight="1">
      <c r="A253" s="2"/>
      <c r="B253" s="2"/>
      <c r="C253" s="2"/>
      <c r="D253" s="3"/>
      <c r="E253" s="3"/>
      <c r="F253" s="3"/>
      <c r="G253" s="3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2"/>
      <c r="Y253" s="2"/>
      <c r="Z253" s="2"/>
      <c r="AA253" s="2"/>
      <c r="AB253" s="2"/>
    </row>
    <row r="254" ht="12.75" customHeight="1">
      <c r="A254" s="2"/>
      <c r="B254" s="2"/>
      <c r="C254" s="2"/>
      <c r="D254" s="3"/>
      <c r="E254" s="3"/>
      <c r="F254" s="3"/>
      <c r="G254" s="3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2"/>
      <c r="Y254" s="2"/>
      <c r="Z254" s="2"/>
      <c r="AA254" s="2"/>
      <c r="AB254" s="2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</row>
  </sheetData>
  <printOptions/>
  <pageMargins bottom="0.75" footer="0.0" header="0.0" left="0.7" right="0.7" top="0.75"/>
  <pageSetup paperSize="9"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6.0"/>
    <col customWidth="1" min="3" max="3" width="40.14"/>
    <col customWidth="1" min="4" max="4" width="10.86"/>
    <col customWidth="1" min="5" max="5" width="8.71"/>
    <col customWidth="1" min="6" max="6" width="4.43"/>
    <col customWidth="1" min="7" max="7" width="8.71"/>
    <col customWidth="1" min="8" max="8" width="3.43"/>
    <col customWidth="1" min="9" max="9" width="8.0"/>
    <col customWidth="1" min="10" max="20" width="7.86"/>
    <col customWidth="1" min="21" max="21" width="8.71"/>
    <col customWidth="1" min="22" max="22" width="9.57"/>
    <col customWidth="1" min="23" max="23" width="10.0"/>
    <col customWidth="1" min="24" max="28" width="9.0"/>
  </cols>
  <sheetData>
    <row r="1" ht="12.75" customHeight="1">
      <c r="A1" s="1" t="s">
        <v>0</v>
      </c>
      <c r="B1" s="2"/>
      <c r="C1" s="2"/>
      <c r="D1" s="3"/>
      <c r="E1" s="3"/>
      <c r="F1" s="3"/>
      <c r="G1" s="3"/>
      <c r="H1" s="4"/>
      <c r="I1" s="1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2"/>
      <c r="Y1" s="2"/>
      <c r="Z1" s="6"/>
      <c r="AA1" s="2"/>
      <c r="AB1" s="6"/>
    </row>
    <row r="2" ht="12.75" customHeight="1">
      <c r="A2" s="1"/>
      <c r="B2" s="2"/>
      <c r="C2" s="2"/>
      <c r="D2" s="3"/>
      <c r="E2" s="3"/>
      <c r="F2" s="3"/>
      <c r="G2" s="3"/>
      <c r="H2" s="4"/>
      <c r="I2" s="1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2"/>
      <c r="Y2" s="2"/>
      <c r="Z2" s="6"/>
      <c r="AA2" s="2"/>
      <c r="AB2" s="6"/>
    </row>
    <row r="3" ht="12.75" customHeight="1">
      <c r="A3" s="7" t="s">
        <v>53</v>
      </c>
      <c r="B3" s="2"/>
      <c r="C3" s="2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2"/>
      <c r="Y3" s="2"/>
      <c r="Z3" s="6"/>
      <c r="AA3" s="2"/>
      <c r="AB3" s="6"/>
    </row>
    <row r="4" ht="12.75" customHeight="1">
      <c r="A4" s="29" t="s">
        <v>2</v>
      </c>
      <c r="B4" s="29" t="s">
        <v>3</v>
      </c>
      <c r="C4" s="29" t="s">
        <v>4</v>
      </c>
      <c r="D4" s="30" t="s">
        <v>5</v>
      </c>
      <c r="E4" s="30" t="s">
        <v>6</v>
      </c>
      <c r="F4" s="30" t="s">
        <v>20</v>
      </c>
      <c r="G4" s="30" t="s">
        <v>8</v>
      </c>
      <c r="H4" s="31" t="s">
        <v>9</v>
      </c>
      <c r="I4" s="11">
        <v>45747.0</v>
      </c>
      <c r="J4" s="11">
        <v>45777.0</v>
      </c>
      <c r="K4" s="11">
        <v>45808.0</v>
      </c>
      <c r="L4" s="11">
        <v>45838.0</v>
      </c>
      <c r="M4" s="11">
        <v>45869.0</v>
      </c>
      <c r="N4" s="11">
        <v>45900.0</v>
      </c>
      <c r="O4" s="11">
        <v>45930.0</v>
      </c>
      <c r="P4" s="11">
        <v>45961.0</v>
      </c>
      <c r="Q4" s="11">
        <v>45991.0</v>
      </c>
      <c r="R4" s="11">
        <v>46022.0</v>
      </c>
      <c r="S4" s="11">
        <v>46053.0</v>
      </c>
      <c r="T4" s="11">
        <v>46081.0</v>
      </c>
      <c r="U4" s="26" t="s">
        <v>10</v>
      </c>
      <c r="V4" s="11" t="s">
        <v>11</v>
      </c>
      <c r="W4" s="11" t="s">
        <v>61</v>
      </c>
      <c r="X4" s="2"/>
      <c r="Y4" s="2"/>
      <c r="Z4" s="6"/>
      <c r="AA4" s="2"/>
      <c r="AB4" s="6"/>
    </row>
    <row r="5" ht="12.75" customHeight="1">
      <c r="A5" s="12"/>
      <c r="B5" s="12"/>
      <c r="C5" s="2"/>
      <c r="D5" s="3"/>
      <c r="E5" s="3"/>
      <c r="F5" s="3"/>
      <c r="G5" s="3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2"/>
      <c r="Y5" s="2"/>
      <c r="Z5" s="6"/>
      <c r="AA5" s="2"/>
      <c r="AB5" s="6"/>
    </row>
    <row r="6" ht="12.75" customHeight="1">
      <c r="A6" s="13" t="s">
        <v>13</v>
      </c>
      <c r="B6" s="2"/>
      <c r="C6" s="2"/>
      <c r="D6" s="3"/>
      <c r="E6" s="14"/>
      <c r="F6" s="3"/>
      <c r="G6" s="3"/>
      <c r="H6" s="4"/>
      <c r="I6" s="13" t="str">
        <f>+A6</f>
        <v>6100&gt;020 (Computer Equipment&gt;Cost)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"/>
      <c r="Y6" s="2"/>
      <c r="Z6" s="6"/>
      <c r="AA6" s="2"/>
      <c r="AB6" s="6"/>
    </row>
    <row r="7" ht="12.75" customHeight="1">
      <c r="A7" s="8"/>
      <c r="B7" s="2"/>
      <c r="C7" s="2"/>
      <c r="D7" s="3"/>
      <c r="E7" s="14"/>
      <c r="F7" s="3"/>
      <c r="G7" s="3"/>
      <c r="H7" s="4">
        <v>3.0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2"/>
      <c r="Y7" s="2"/>
      <c r="Z7" s="6"/>
      <c r="AA7" s="2"/>
      <c r="AB7" s="6"/>
    </row>
    <row r="8" ht="12.75" customHeight="1">
      <c r="A8" s="15">
        <v>42825.0</v>
      </c>
      <c r="B8" s="16">
        <v>18431.0</v>
      </c>
      <c r="C8" s="7" t="s">
        <v>14</v>
      </c>
      <c r="D8" s="17">
        <f>'FAR21'!G8</f>
        <v>16077.6</v>
      </c>
      <c r="E8" s="17"/>
      <c r="F8" s="3"/>
      <c r="G8" s="3">
        <f t="shared" ref="G8:G12" si="1">+D8+E8-F8</f>
        <v>16077.6</v>
      </c>
      <c r="H8" s="4"/>
      <c r="I8" s="28">
        <v>0.0</v>
      </c>
      <c r="J8" s="28">
        <v>0.0</v>
      </c>
      <c r="K8" s="28">
        <v>0.0</v>
      </c>
      <c r="L8" s="28"/>
      <c r="M8" s="28"/>
      <c r="N8" s="28"/>
      <c r="O8" s="28"/>
      <c r="P8" s="28"/>
      <c r="Q8" s="28"/>
      <c r="R8" s="28"/>
      <c r="S8" s="28"/>
      <c r="T8" s="28"/>
      <c r="U8" s="28">
        <f t="shared" ref="U8:U15" si="2">SUM(I8:T8)</f>
        <v>0</v>
      </c>
      <c r="V8" s="3">
        <f>'FAR25'!V8+U8</f>
        <v>16077.6</v>
      </c>
      <c r="W8" s="3">
        <f t="shared" ref="W8:W15" si="3">+G8-V8</f>
        <v>0</v>
      </c>
      <c r="X8" s="2"/>
      <c r="Y8" s="2"/>
      <c r="Z8" s="6"/>
      <c r="AA8" s="2"/>
      <c r="AB8" s="6"/>
    </row>
    <row r="9" ht="12.75" customHeight="1">
      <c r="A9" s="15">
        <v>42825.0</v>
      </c>
      <c r="B9" s="16">
        <v>18431.0</v>
      </c>
      <c r="C9" s="7" t="s">
        <v>15</v>
      </c>
      <c r="D9" s="17">
        <f>'FAR21'!G9</f>
        <v>10078.8</v>
      </c>
      <c r="E9" s="17"/>
      <c r="F9" s="3"/>
      <c r="G9" s="3">
        <f t="shared" si="1"/>
        <v>10078.8</v>
      </c>
      <c r="H9" s="4"/>
      <c r="I9" s="28">
        <v>0.0</v>
      </c>
      <c r="J9" s="28">
        <v>0.0</v>
      </c>
      <c r="K9" s="28">
        <v>0.0</v>
      </c>
      <c r="L9" s="28"/>
      <c r="M9" s="28"/>
      <c r="N9" s="28"/>
      <c r="O9" s="28"/>
      <c r="P9" s="28"/>
      <c r="Q9" s="28"/>
      <c r="R9" s="28"/>
      <c r="S9" s="28"/>
      <c r="T9" s="28"/>
      <c r="U9" s="28">
        <f t="shared" si="2"/>
        <v>0</v>
      </c>
      <c r="V9" s="3">
        <f>'FAR25'!V9+U9</f>
        <v>10078.8</v>
      </c>
      <c r="W9" s="3">
        <f t="shared" si="3"/>
        <v>0</v>
      </c>
      <c r="X9" s="2"/>
      <c r="Y9" s="2"/>
      <c r="Z9" s="6"/>
      <c r="AA9" s="2"/>
      <c r="AB9" s="6"/>
    </row>
    <row r="10" ht="12.75" customHeight="1">
      <c r="A10" s="15">
        <v>43046.0</v>
      </c>
      <c r="B10" s="16" t="s">
        <v>16</v>
      </c>
      <c r="C10" s="7" t="s">
        <v>17</v>
      </c>
      <c r="D10" s="17">
        <f>'FAR21'!G10</f>
        <v>52651</v>
      </c>
      <c r="E10" s="17"/>
      <c r="F10" s="3"/>
      <c r="G10" s="3">
        <f t="shared" si="1"/>
        <v>52651</v>
      </c>
      <c r="H10" s="4"/>
      <c r="I10" s="28">
        <v>0.0</v>
      </c>
      <c r="J10" s="28">
        <v>0.0</v>
      </c>
      <c r="K10" s="28">
        <v>0.0</v>
      </c>
      <c r="L10" s="28"/>
      <c r="M10" s="28"/>
      <c r="N10" s="28"/>
      <c r="O10" s="28"/>
      <c r="P10" s="28"/>
      <c r="Q10" s="28"/>
      <c r="R10" s="28"/>
      <c r="S10" s="28"/>
      <c r="T10" s="28"/>
      <c r="U10" s="28">
        <f t="shared" si="2"/>
        <v>0</v>
      </c>
      <c r="V10" s="3">
        <f>'FAR25'!V10+U10</f>
        <v>52651.00364</v>
      </c>
      <c r="W10" s="3">
        <f t="shared" si="3"/>
        <v>-0.003637747337</v>
      </c>
      <c r="X10" s="2"/>
      <c r="Y10" s="2"/>
      <c r="Z10" s="6"/>
      <c r="AA10" s="2"/>
      <c r="AB10" s="6"/>
    </row>
    <row r="11" ht="12.75" customHeight="1">
      <c r="A11" s="15">
        <v>43160.0</v>
      </c>
      <c r="B11" s="16">
        <v>21643.0</v>
      </c>
      <c r="C11" s="7" t="s">
        <v>30</v>
      </c>
      <c r="D11" s="17">
        <f>'FAR21'!G11</f>
        <v>92322.7</v>
      </c>
      <c r="E11" s="17"/>
      <c r="F11" s="3"/>
      <c r="G11" s="3">
        <f t="shared" si="1"/>
        <v>92322.7</v>
      </c>
      <c r="H11" s="4"/>
      <c r="I11" s="28">
        <v>0.0</v>
      </c>
      <c r="J11" s="28">
        <v>0.0</v>
      </c>
      <c r="K11" s="28">
        <v>0.0</v>
      </c>
      <c r="L11" s="28"/>
      <c r="M11" s="28"/>
      <c r="N11" s="28"/>
      <c r="O11" s="28"/>
      <c r="P11" s="28"/>
      <c r="Q11" s="28"/>
      <c r="R11" s="28"/>
      <c r="S11" s="28"/>
      <c r="T11" s="28"/>
      <c r="U11" s="28">
        <f t="shared" si="2"/>
        <v>0</v>
      </c>
      <c r="V11" s="3">
        <f>'FAR25'!V11+U11</f>
        <v>92322.7</v>
      </c>
      <c r="W11" s="3">
        <f t="shared" si="3"/>
        <v>0</v>
      </c>
      <c r="X11" s="2"/>
      <c r="Y11" s="2"/>
      <c r="Z11" s="6"/>
      <c r="AA11" s="2"/>
      <c r="AB11" s="6"/>
    </row>
    <row r="12" ht="12.75" customHeight="1">
      <c r="A12" s="15">
        <v>44144.0</v>
      </c>
      <c r="B12" s="16" t="s">
        <v>45</v>
      </c>
      <c r="C12" s="7" t="s">
        <v>46</v>
      </c>
      <c r="D12" s="17">
        <f>'FAR21'!G12</f>
        <v>92565.27</v>
      </c>
      <c r="E12" s="17"/>
      <c r="F12" s="3"/>
      <c r="G12" s="3">
        <f t="shared" si="1"/>
        <v>92565.27</v>
      </c>
      <c r="H12" s="4"/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28">
        <f t="shared" si="2"/>
        <v>0</v>
      </c>
      <c r="V12" s="3">
        <f>'FAR25'!V12+U12</f>
        <v>92565.27</v>
      </c>
      <c r="W12" s="3">
        <f t="shared" si="3"/>
        <v>0</v>
      </c>
      <c r="X12" s="2"/>
      <c r="Y12" s="2"/>
      <c r="Z12" s="6"/>
      <c r="AA12" s="2"/>
      <c r="AB12" s="6"/>
    </row>
    <row r="13" ht="12.75" customHeight="1">
      <c r="A13" s="41">
        <v>45020.0</v>
      </c>
      <c r="B13" s="42" t="s">
        <v>54</v>
      </c>
      <c r="C13" s="43" t="s">
        <v>66</v>
      </c>
      <c r="D13" s="44">
        <v>12460.87</v>
      </c>
      <c r="E13" s="45"/>
      <c r="F13" s="46"/>
      <c r="G13" s="46">
        <f t="shared" ref="G13:G14" si="5">D13</f>
        <v>12460.87</v>
      </c>
      <c r="H13" s="47"/>
      <c r="I13" s="46">
        <f t="shared" ref="I13:J13" si="4">+$G13/$H$7/12</f>
        <v>346.1352778</v>
      </c>
      <c r="J13" s="46">
        <f t="shared" si="4"/>
        <v>346.1352778</v>
      </c>
      <c r="K13" s="46">
        <v>0.0</v>
      </c>
      <c r="L13" s="46">
        <v>0.0</v>
      </c>
      <c r="M13" s="46">
        <v>0.0</v>
      </c>
      <c r="N13" s="46">
        <v>0.0</v>
      </c>
      <c r="O13" s="46">
        <v>0.0</v>
      </c>
      <c r="P13" s="46">
        <v>0.0</v>
      </c>
      <c r="Q13" s="46">
        <v>0.0</v>
      </c>
      <c r="R13" s="46">
        <v>0.0</v>
      </c>
      <c r="S13" s="46">
        <v>0.0</v>
      </c>
      <c r="T13" s="46">
        <v>0.0</v>
      </c>
      <c r="U13" s="48">
        <f t="shared" si="2"/>
        <v>692.2705556</v>
      </c>
      <c r="V13" s="46">
        <f>'FAR25'!V13+U13</f>
        <v>8603.121205</v>
      </c>
      <c r="W13" s="46">
        <f t="shared" si="3"/>
        <v>3857.748795</v>
      </c>
      <c r="X13" s="45"/>
      <c r="Y13" s="45"/>
      <c r="Z13" s="49"/>
      <c r="AA13" s="45"/>
      <c r="AB13" s="49"/>
    </row>
    <row r="14" ht="12.75" customHeight="1">
      <c r="A14" s="50">
        <v>45188.0</v>
      </c>
      <c r="B14" s="51" t="s">
        <v>56</v>
      </c>
      <c r="C14" s="52" t="s">
        <v>57</v>
      </c>
      <c r="D14" s="53">
        <v>7307.41</v>
      </c>
      <c r="E14" s="54"/>
      <c r="F14" s="55"/>
      <c r="G14" s="55">
        <f t="shared" si="5"/>
        <v>7307.41</v>
      </c>
      <c r="H14" s="56"/>
      <c r="I14" s="55">
        <f t="shared" ref="I14:T14" si="6">+$G14/$H$7/12</f>
        <v>202.9836111</v>
      </c>
      <c r="J14" s="55">
        <f t="shared" si="6"/>
        <v>202.9836111</v>
      </c>
      <c r="K14" s="55">
        <f t="shared" si="6"/>
        <v>202.9836111</v>
      </c>
      <c r="L14" s="55">
        <f t="shared" si="6"/>
        <v>202.9836111</v>
      </c>
      <c r="M14" s="55">
        <f t="shared" si="6"/>
        <v>202.9836111</v>
      </c>
      <c r="N14" s="55">
        <f t="shared" si="6"/>
        <v>202.9836111</v>
      </c>
      <c r="O14" s="55">
        <f t="shared" si="6"/>
        <v>202.9836111</v>
      </c>
      <c r="P14" s="55">
        <f t="shared" si="6"/>
        <v>202.9836111</v>
      </c>
      <c r="Q14" s="55">
        <f t="shared" si="6"/>
        <v>202.9836111</v>
      </c>
      <c r="R14" s="55">
        <f t="shared" si="6"/>
        <v>202.9836111</v>
      </c>
      <c r="S14" s="55">
        <f t="shared" si="6"/>
        <v>202.9836111</v>
      </c>
      <c r="T14" s="55">
        <f t="shared" si="6"/>
        <v>202.9836111</v>
      </c>
      <c r="U14" s="57">
        <f t="shared" si="2"/>
        <v>2435.803333</v>
      </c>
      <c r="V14" s="55">
        <f>'FAR25'!V14+U14</f>
        <v>5959.932494</v>
      </c>
      <c r="W14" s="55">
        <f t="shared" si="3"/>
        <v>1347.477506</v>
      </c>
      <c r="X14" s="54"/>
      <c r="Y14" s="54"/>
      <c r="Z14" s="58"/>
      <c r="AA14" s="54"/>
      <c r="AB14" s="58"/>
    </row>
    <row r="15" ht="12.75" customHeight="1">
      <c r="A15" s="50">
        <v>45848.0</v>
      </c>
      <c r="B15" s="51" t="s">
        <v>67</v>
      </c>
      <c r="C15" s="52" t="s">
        <v>68</v>
      </c>
      <c r="D15" s="59"/>
      <c r="E15" s="53">
        <v>7077.6</v>
      </c>
      <c r="F15" s="55"/>
      <c r="G15" s="55">
        <f>E15</f>
        <v>7077.6</v>
      </c>
      <c r="H15" s="56"/>
      <c r="I15" s="55">
        <v>0.0</v>
      </c>
      <c r="J15" s="55">
        <v>0.0</v>
      </c>
      <c r="K15" s="55">
        <v>0.0</v>
      </c>
      <c r="L15" s="55">
        <v>0.0</v>
      </c>
      <c r="M15" s="55">
        <f>+$G15/$H$7/365*(31-10)</f>
        <v>135.7347945</v>
      </c>
      <c r="N15" s="55">
        <f t="shared" ref="N15:T15" si="7">+$G15/$H$7/12</f>
        <v>196.6</v>
      </c>
      <c r="O15" s="55">
        <f t="shared" si="7"/>
        <v>196.6</v>
      </c>
      <c r="P15" s="55">
        <f t="shared" si="7"/>
        <v>196.6</v>
      </c>
      <c r="Q15" s="55">
        <f t="shared" si="7"/>
        <v>196.6</v>
      </c>
      <c r="R15" s="55">
        <f t="shared" si="7"/>
        <v>196.6</v>
      </c>
      <c r="S15" s="55">
        <f t="shared" si="7"/>
        <v>196.6</v>
      </c>
      <c r="T15" s="55">
        <f t="shared" si="7"/>
        <v>196.6</v>
      </c>
      <c r="U15" s="57">
        <f t="shared" si="2"/>
        <v>1511.934795</v>
      </c>
      <c r="V15" s="55">
        <f>'FAR25'!V15+U15</f>
        <v>1511.934795</v>
      </c>
      <c r="W15" s="55">
        <f t="shared" si="3"/>
        <v>5565.665205</v>
      </c>
      <c r="X15" s="54"/>
      <c r="Y15" s="54"/>
      <c r="Z15" s="58"/>
      <c r="AA15" s="54"/>
      <c r="AB15" s="58"/>
    </row>
    <row r="16" ht="12.75" customHeight="1">
      <c r="A16" s="50"/>
      <c r="B16" s="51"/>
      <c r="C16" s="52"/>
      <c r="D16" s="59"/>
      <c r="E16" s="53"/>
      <c r="F16" s="55"/>
      <c r="G16" s="55"/>
      <c r="H16" s="56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7"/>
      <c r="V16" s="55"/>
      <c r="W16" s="55"/>
      <c r="X16" s="54"/>
      <c r="Y16" s="54"/>
      <c r="Z16" s="58"/>
      <c r="AA16" s="54"/>
      <c r="AB16" s="58"/>
    </row>
    <row r="17" ht="12.75" customHeight="1">
      <c r="A17" s="19"/>
      <c r="B17" s="32"/>
      <c r="C17" s="13"/>
      <c r="D17" s="17"/>
      <c r="E17" s="17"/>
      <c r="F17" s="3"/>
      <c r="G17" s="3"/>
      <c r="H17" s="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28"/>
      <c r="V17" s="3"/>
      <c r="W17" s="3"/>
      <c r="X17" s="2"/>
      <c r="Y17" s="2"/>
      <c r="Z17" s="6"/>
      <c r="AA17" s="2"/>
      <c r="AB17" s="6"/>
    </row>
    <row r="18" ht="12.75" customHeight="1">
      <c r="A18" s="19" t="s">
        <v>50</v>
      </c>
      <c r="B18" s="18"/>
      <c r="C18" s="7"/>
      <c r="D18" s="3"/>
      <c r="E18" s="17"/>
      <c r="F18" s="3"/>
      <c r="G18" s="3"/>
      <c r="H18" s="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2"/>
      <c r="Y18" s="2"/>
      <c r="Z18" s="6"/>
      <c r="AA18" s="2"/>
      <c r="AB18" s="2"/>
    </row>
    <row r="19" ht="12.75" customHeight="1">
      <c r="A19" s="19"/>
      <c r="B19" s="20"/>
      <c r="C19" s="13"/>
      <c r="D19" s="21">
        <f t="shared" ref="D19:E19" si="8">SUM(D6:D18)</f>
        <v>283463.65</v>
      </c>
      <c r="E19" s="21">
        <f t="shared" si="8"/>
        <v>7077.6</v>
      </c>
      <c r="F19" s="22"/>
      <c r="G19" s="22">
        <f>SUM(G8:G18)</f>
        <v>290541.25</v>
      </c>
      <c r="H19" s="4"/>
      <c r="I19" s="22">
        <f t="shared" ref="I19:W19" si="9">SUM(I8:I18)</f>
        <v>549.1188889</v>
      </c>
      <c r="J19" s="22">
        <f t="shared" si="9"/>
        <v>549.1188889</v>
      </c>
      <c r="K19" s="22">
        <f t="shared" si="9"/>
        <v>202.9836111</v>
      </c>
      <c r="L19" s="22">
        <f t="shared" si="9"/>
        <v>202.9836111</v>
      </c>
      <c r="M19" s="22">
        <f t="shared" si="9"/>
        <v>338.7184056</v>
      </c>
      <c r="N19" s="22">
        <f t="shared" si="9"/>
        <v>399.5836111</v>
      </c>
      <c r="O19" s="22">
        <f t="shared" si="9"/>
        <v>399.5836111</v>
      </c>
      <c r="P19" s="22">
        <f t="shared" si="9"/>
        <v>399.5836111</v>
      </c>
      <c r="Q19" s="22">
        <f t="shared" si="9"/>
        <v>399.5836111</v>
      </c>
      <c r="R19" s="22">
        <f t="shared" si="9"/>
        <v>399.5836111</v>
      </c>
      <c r="S19" s="22">
        <f t="shared" si="9"/>
        <v>399.5836111</v>
      </c>
      <c r="T19" s="22">
        <f t="shared" si="9"/>
        <v>399.5836111</v>
      </c>
      <c r="U19" s="22">
        <f t="shared" si="9"/>
        <v>4640.008683</v>
      </c>
      <c r="V19" s="22">
        <f t="shared" si="9"/>
        <v>279770.3621</v>
      </c>
      <c r="W19" s="22">
        <f t="shared" si="9"/>
        <v>10770.88787</v>
      </c>
      <c r="X19" s="2"/>
      <c r="Y19" s="2"/>
      <c r="Z19" s="6"/>
      <c r="AA19" s="23"/>
      <c r="AB19" s="23"/>
    </row>
    <row r="20" ht="12.75" customHeight="1">
      <c r="A20" s="15"/>
      <c r="B20" s="18"/>
      <c r="C20" s="7"/>
      <c r="D20" s="3"/>
      <c r="E20" s="17"/>
      <c r="F20" s="3"/>
      <c r="G20" s="3"/>
      <c r="H20" s="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2"/>
      <c r="Y20" s="2"/>
      <c r="Z20" s="6"/>
      <c r="AA20" s="2"/>
      <c r="AB20" s="2"/>
    </row>
    <row r="21" ht="12.75" customHeight="1">
      <c r="A21" s="8" t="s">
        <v>2</v>
      </c>
      <c r="B21" s="8" t="s">
        <v>3</v>
      </c>
      <c r="C21" s="8" t="s">
        <v>4</v>
      </c>
      <c r="D21" s="9" t="s">
        <v>18</v>
      </c>
      <c r="E21" s="9" t="s">
        <v>6</v>
      </c>
      <c r="F21" s="9" t="s">
        <v>20</v>
      </c>
      <c r="G21" s="9" t="s">
        <v>8</v>
      </c>
      <c r="H21" s="10" t="s">
        <v>9</v>
      </c>
      <c r="I21" s="11">
        <v>45747.0</v>
      </c>
      <c r="J21" s="11">
        <v>45777.0</v>
      </c>
      <c r="K21" s="11">
        <v>45808.0</v>
      </c>
      <c r="L21" s="11">
        <v>45838.0</v>
      </c>
      <c r="M21" s="11">
        <v>45869.0</v>
      </c>
      <c r="N21" s="11">
        <v>45900.0</v>
      </c>
      <c r="O21" s="11">
        <v>45930.0</v>
      </c>
      <c r="P21" s="11">
        <v>45961.0</v>
      </c>
      <c r="Q21" s="11">
        <v>45991.0</v>
      </c>
      <c r="R21" s="11">
        <v>46022.0</v>
      </c>
      <c r="S21" s="11">
        <v>46053.0</v>
      </c>
      <c r="T21" s="11">
        <v>46081.0</v>
      </c>
      <c r="U21" s="11" t="s">
        <v>10</v>
      </c>
      <c r="V21" s="11" t="s">
        <v>11</v>
      </c>
      <c r="W21" s="11" t="s">
        <v>61</v>
      </c>
      <c r="X21" s="2"/>
      <c r="Y21" s="2"/>
      <c r="Z21" s="6"/>
      <c r="AA21" s="2"/>
      <c r="AB21" s="6"/>
    </row>
    <row r="22" ht="12.75" customHeight="1">
      <c r="A22" s="13" t="s">
        <v>21</v>
      </c>
      <c r="B22" s="2"/>
      <c r="C22" s="2"/>
      <c r="D22" s="14"/>
      <c r="E22" s="3"/>
      <c r="F22" s="3"/>
      <c r="G22" s="3"/>
      <c r="H22" s="4" t="s">
        <v>22</v>
      </c>
      <c r="I22" s="13" t="str">
        <f>+A22</f>
        <v>6200&gt;020 (Furniture &amp; Fittings&gt;Cost)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2"/>
      <c r="Y22" s="2"/>
      <c r="Z22" s="2"/>
      <c r="AA22" s="2"/>
      <c r="AB22" s="2"/>
    </row>
    <row r="23" ht="12.75" customHeight="1">
      <c r="A23" s="8"/>
      <c r="B23" s="2"/>
      <c r="C23" s="2"/>
      <c r="D23" s="14"/>
      <c r="E23" s="3"/>
      <c r="F23" s="3"/>
      <c r="G23" s="3"/>
      <c r="H23" s="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  <c r="Y23" s="2"/>
      <c r="Z23" s="2"/>
      <c r="AA23" s="2"/>
      <c r="AB23" s="2"/>
    </row>
    <row r="24" ht="12.75" customHeight="1">
      <c r="A24" s="15">
        <v>42836.0</v>
      </c>
      <c r="B24" s="16">
        <v>30110.0</v>
      </c>
      <c r="C24" s="7" t="s">
        <v>23</v>
      </c>
      <c r="D24" s="17">
        <f>'FAR21'!G19</f>
        <v>52250</v>
      </c>
      <c r="E24" s="3"/>
      <c r="F24" s="3"/>
      <c r="G24" s="3">
        <f t="shared" ref="G24:G29" si="10">+D24+E24-F24</f>
        <v>52250</v>
      </c>
      <c r="H24" s="4"/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f t="shared" ref="U24:U31" si="11">SUM(I24:T24)</f>
        <v>0</v>
      </c>
      <c r="V24" s="3">
        <f>'FAR25'!V22+U24</f>
        <v>52249.99606</v>
      </c>
      <c r="W24" s="3">
        <f t="shared" ref="W24:W29" si="12">+G24-V24</f>
        <v>0.003942161333</v>
      </c>
      <c r="X24" s="2"/>
      <c r="Y24" s="2"/>
      <c r="Z24" s="2"/>
      <c r="AA24" s="2"/>
      <c r="AB24" s="2"/>
    </row>
    <row r="25" ht="12.75" customHeight="1">
      <c r="A25" s="15">
        <v>43165.0</v>
      </c>
      <c r="B25" s="16" t="s">
        <v>31</v>
      </c>
      <c r="C25" s="7" t="s">
        <v>32</v>
      </c>
      <c r="D25" s="17">
        <f>'FAR21'!G20</f>
        <v>44144</v>
      </c>
      <c r="E25" s="3"/>
      <c r="F25" s="3"/>
      <c r="G25" s="3">
        <f t="shared" si="10"/>
        <v>44144</v>
      </c>
      <c r="H25" s="4"/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f t="shared" si="11"/>
        <v>0</v>
      </c>
      <c r="V25" s="3">
        <f>'FAR25'!V23+U25</f>
        <v>44143.99583</v>
      </c>
      <c r="W25" s="3">
        <f t="shared" si="12"/>
        <v>0.004170471831</v>
      </c>
      <c r="X25" s="2"/>
      <c r="Y25" s="2"/>
      <c r="Z25" s="2"/>
      <c r="AA25" s="2"/>
      <c r="AB25" s="2"/>
    </row>
    <row r="26" ht="12.75" customHeight="1">
      <c r="A26" s="15">
        <v>43179.0</v>
      </c>
      <c r="B26" s="16">
        <v>32006.0</v>
      </c>
      <c r="C26" s="7" t="s">
        <v>33</v>
      </c>
      <c r="D26" s="17">
        <f>'FAR21'!G21</f>
        <v>19430</v>
      </c>
      <c r="E26" s="3"/>
      <c r="F26" s="3"/>
      <c r="G26" s="3">
        <f t="shared" si="10"/>
        <v>19430</v>
      </c>
      <c r="H26" s="4"/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f t="shared" si="11"/>
        <v>0</v>
      </c>
      <c r="V26" s="3">
        <f>'FAR25'!V24+U26</f>
        <v>19430.0025</v>
      </c>
      <c r="W26" s="3">
        <f t="shared" si="12"/>
        <v>-0.002496194829</v>
      </c>
      <c r="X26" s="2"/>
      <c r="Y26" s="2"/>
      <c r="Z26" s="2"/>
      <c r="AA26" s="2"/>
      <c r="AB26" s="2"/>
    </row>
    <row r="27" ht="12.75" customHeight="1">
      <c r="A27" s="15">
        <v>43578.0</v>
      </c>
      <c r="B27" s="16" t="s">
        <v>36</v>
      </c>
      <c r="C27" s="7" t="s">
        <v>37</v>
      </c>
      <c r="D27" s="17">
        <f>'FAR21'!G22</f>
        <v>26544</v>
      </c>
      <c r="E27" s="3"/>
      <c r="F27" s="3"/>
      <c r="G27" s="3">
        <f t="shared" si="10"/>
        <v>26544</v>
      </c>
      <c r="H27" s="4"/>
      <c r="I27" s="3">
        <f t="shared" ref="I27:I30" si="13">+$G27/$H$22/12</f>
        <v>368.6666667</v>
      </c>
      <c r="J27" s="3">
        <v>283.82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f t="shared" si="11"/>
        <v>652.4866667</v>
      </c>
      <c r="V27" s="3">
        <f>'FAR25'!V25+U27</f>
        <v>26543.99717</v>
      </c>
      <c r="W27" s="3">
        <f t="shared" si="12"/>
        <v>0.002831050231</v>
      </c>
      <c r="X27" s="2"/>
      <c r="Y27" s="2"/>
      <c r="Z27" s="2"/>
      <c r="AA27" s="2"/>
      <c r="AB27" s="2"/>
    </row>
    <row r="28" ht="12.75" customHeight="1">
      <c r="A28" s="15">
        <v>43710.0</v>
      </c>
      <c r="B28" s="16">
        <v>34825.0</v>
      </c>
      <c r="C28" s="7" t="s">
        <v>38</v>
      </c>
      <c r="D28" s="17">
        <f>'FAR21'!G23</f>
        <v>15767</v>
      </c>
      <c r="E28" s="3"/>
      <c r="F28" s="3"/>
      <c r="G28" s="3">
        <f t="shared" si="10"/>
        <v>15767</v>
      </c>
      <c r="H28" s="4"/>
      <c r="I28" s="3">
        <f t="shared" si="13"/>
        <v>218.9861111</v>
      </c>
      <c r="J28" s="3">
        <f t="shared" ref="J28:N28" si="14">+$G28/$H$22/12</f>
        <v>218.9861111</v>
      </c>
      <c r="K28" s="3">
        <f t="shared" si="14"/>
        <v>218.9861111</v>
      </c>
      <c r="L28" s="3">
        <f t="shared" si="14"/>
        <v>218.9861111</v>
      </c>
      <c r="M28" s="3">
        <f t="shared" si="14"/>
        <v>218.9861111</v>
      </c>
      <c r="N28" s="3">
        <f t="shared" si="14"/>
        <v>218.9861111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f t="shared" si="11"/>
        <v>1313.916667</v>
      </c>
      <c r="V28" s="3">
        <f>'FAR25'!V26+U28</f>
        <v>15767</v>
      </c>
      <c r="W28" s="3">
        <f t="shared" si="12"/>
        <v>0</v>
      </c>
      <c r="X28" s="2"/>
      <c r="Y28" s="2"/>
      <c r="Z28" s="2"/>
      <c r="AA28" s="2"/>
      <c r="AB28" s="2"/>
    </row>
    <row r="29" ht="12.75" customHeight="1">
      <c r="A29" s="15">
        <v>43710.0</v>
      </c>
      <c r="B29" s="16">
        <v>34825.0</v>
      </c>
      <c r="C29" s="7" t="s">
        <v>39</v>
      </c>
      <c r="D29" s="17">
        <f>'FAR21'!G24</f>
        <v>25647</v>
      </c>
      <c r="E29" s="17"/>
      <c r="F29" s="3"/>
      <c r="G29" s="3">
        <f t="shared" si="10"/>
        <v>25647</v>
      </c>
      <c r="H29" s="4"/>
      <c r="I29" s="3">
        <f t="shared" si="13"/>
        <v>356.2083333</v>
      </c>
      <c r="J29" s="3">
        <f t="shared" ref="J29:N29" si="15">+$G29/$H$22/12</f>
        <v>356.2083333</v>
      </c>
      <c r="K29" s="3">
        <f t="shared" si="15"/>
        <v>356.2083333</v>
      </c>
      <c r="L29" s="3">
        <f t="shared" si="15"/>
        <v>356.2083333</v>
      </c>
      <c r="M29" s="3">
        <f t="shared" si="15"/>
        <v>356.2083333</v>
      </c>
      <c r="N29" s="3">
        <f t="shared" si="15"/>
        <v>356.2083333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f t="shared" si="11"/>
        <v>2137.25</v>
      </c>
      <c r="V29" s="3">
        <f>'FAR25'!V27+U29</f>
        <v>25647</v>
      </c>
      <c r="W29" s="3">
        <f t="shared" si="12"/>
        <v>0</v>
      </c>
      <c r="X29" s="2"/>
      <c r="Y29" s="2"/>
      <c r="Z29" s="2"/>
      <c r="AA29" s="2"/>
      <c r="AB29" s="2"/>
    </row>
    <row r="30" ht="12.75" customHeight="1">
      <c r="A30" s="15">
        <v>44791.0</v>
      </c>
      <c r="B30" s="16" t="s">
        <v>31</v>
      </c>
      <c r="C30" s="7" t="s">
        <v>52</v>
      </c>
      <c r="D30" s="17">
        <v>13715.0</v>
      </c>
      <c r="E30" s="17"/>
      <c r="F30" s="3"/>
      <c r="G30" s="3">
        <v>13715.0</v>
      </c>
      <c r="H30" s="4"/>
      <c r="I30" s="3">
        <f t="shared" si="13"/>
        <v>190.4861111</v>
      </c>
      <c r="J30" s="3">
        <f t="shared" ref="J30:T30" si="16">+$G30/$H$22/12</f>
        <v>190.4861111</v>
      </c>
      <c r="K30" s="3">
        <f t="shared" si="16"/>
        <v>190.4861111</v>
      </c>
      <c r="L30" s="3">
        <f t="shared" si="16"/>
        <v>190.4861111</v>
      </c>
      <c r="M30" s="3">
        <f t="shared" si="16"/>
        <v>190.4861111</v>
      </c>
      <c r="N30" s="3">
        <f t="shared" si="16"/>
        <v>190.4861111</v>
      </c>
      <c r="O30" s="3">
        <f t="shared" si="16"/>
        <v>190.4861111</v>
      </c>
      <c r="P30" s="3">
        <f t="shared" si="16"/>
        <v>190.4861111</v>
      </c>
      <c r="Q30" s="3">
        <f t="shared" si="16"/>
        <v>190.4861111</v>
      </c>
      <c r="R30" s="3">
        <f t="shared" si="16"/>
        <v>190.4861111</v>
      </c>
      <c r="S30" s="3">
        <f t="shared" si="16"/>
        <v>190.4861111</v>
      </c>
      <c r="T30" s="3">
        <f t="shared" si="16"/>
        <v>190.4861111</v>
      </c>
      <c r="U30" s="3">
        <f t="shared" si="11"/>
        <v>2285.833333</v>
      </c>
      <c r="V30" s="3">
        <f>'FAR25'!V28+U30</f>
        <v>8081.829909</v>
      </c>
      <c r="W30" s="3">
        <f t="shared" ref="W30:W31" si="18">G30-V30</f>
        <v>5633.170091</v>
      </c>
      <c r="X30" s="2"/>
      <c r="Y30" s="2"/>
      <c r="Z30" s="2"/>
      <c r="AA30" s="2"/>
      <c r="AB30" s="2"/>
    </row>
    <row r="31" ht="12.75" customHeight="1">
      <c r="A31" s="15">
        <v>45817.0</v>
      </c>
      <c r="B31" s="16" t="s">
        <v>69</v>
      </c>
      <c r="C31" s="7" t="s">
        <v>70</v>
      </c>
      <c r="D31" s="17"/>
      <c r="E31" s="17">
        <v>38261.41</v>
      </c>
      <c r="F31" s="3"/>
      <c r="G31" s="3">
        <v>38261.41</v>
      </c>
      <c r="H31" s="4"/>
      <c r="I31" s="3">
        <v>0.0</v>
      </c>
      <c r="J31" s="3"/>
      <c r="K31" s="3"/>
      <c r="L31" s="3">
        <f>+$G31/$H$22/365*(30-9)</f>
        <v>366.8902329</v>
      </c>
      <c r="M31" s="3">
        <f t="shared" ref="M31:T31" si="17">+$G31/$H$22/12</f>
        <v>531.4084722</v>
      </c>
      <c r="N31" s="3">
        <f t="shared" si="17"/>
        <v>531.4084722</v>
      </c>
      <c r="O31" s="3">
        <f t="shared" si="17"/>
        <v>531.4084722</v>
      </c>
      <c r="P31" s="3">
        <f t="shared" si="17"/>
        <v>531.4084722</v>
      </c>
      <c r="Q31" s="3">
        <f t="shared" si="17"/>
        <v>531.4084722</v>
      </c>
      <c r="R31" s="3">
        <f t="shared" si="17"/>
        <v>531.4084722</v>
      </c>
      <c r="S31" s="3">
        <f t="shared" si="17"/>
        <v>531.4084722</v>
      </c>
      <c r="T31" s="3">
        <f t="shared" si="17"/>
        <v>531.4084722</v>
      </c>
      <c r="U31" s="3">
        <f t="shared" si="11"/>
        <v>4618.158011</v>
      </c>
      <c r="V31" s="3">
        <f>U31</f>
        <v>4618.158011</v>
      </c>
      <c r="W31" s="3">
        <f t="shared" si="18"/>
        <v>33643.25199</v>
      </c>
      <c r="X31" s="2"/>
      <c r="Y31" s="2"/>
      <c r="Z31" s="2"/>
      <c r="AA31" s="2"/>
      <c r="AB31" s="2"/>
    </row>
    <row r="32" ht="12.75" customHeight="1">
      <c r="A32" s="15"/>
      <c r="B32" s="16"/>
      <c r="C32" s="7"/>
      <c r="D32" s="3"/>
      <c r="E32" s="17"/>
      <c r="F32" s="3"/>
      <c r="G32" s="3"/>
      <c r="H32" s="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/>
      <c r="Y32" s="2"/>
      <c r="Z32" s="2"/>
      <c r="AA32" s="2"/>
      <c r="AB32" s="2"/>
    </row>
    <row r="33" ht="12.75" customHeight="1">
      <c r="A33" s="23"/>
      <c r="B33" s="23"/>
      <c r="C33" s="23"/>
      <c r="D33" s="22">
        <f t="shared" ref="D33:E33" si="19">SUM(D22:D32)</f>
        <v>197497</v>
      </c>
      <c r="E33" s="22">
        <f t="shared" si="19"/>
        <v>38261.41</v>
      </c>
      <c r="F33" s="22">
        <f>SUM(F22:F29)</f>
        <v>0</v>
      </c>
      <c r="G33" s="22">
        <f>SUM(D33:F33)</f>
        <v>235758.41</v>
      </c>
      <c r="H33" s="4"/>
      <c r="I33" s="22">
        <f t="shared" ref="I33:W33" si="20">SUM(I24:I32)</f>
        <v>1134.347222</v>
      </c>
      <c r="J33" s="22">
        <f t="shared" si="20"/>
        <v>1049.500556</v>
      </c>
      <c r="K33" s="22">
        <f t="shared" si="20"/>
        <v>765.6805556</v>
      </c>
      <c r="L33" s="22">
        <f t="shared" si="20"/>
        <v>1132.570788</v>
      </c>
      <c r="M33" s="22">
        <f t="shared" si="20"/>
        <v>1297.089028</v>
      </c>
      <c r="N33" s="22">
        <f t="shared" si="20"/>
        <v>1297.089028</v>
      </c>
      <c r="O33" s="22">
        <f t="shared" si="20"/>
        <v>721.8945833</v>
      </c>
      <c r="P33" s="22">
        <f t="shared" si="20"/>
        <v>721.8945833</v>
      </c>
      <c r="Q33" s="22">
        <f t="shared" si="20"/>
        <v>721.8945833</v>
      </c>
      <c r="R33" s="22">
        <f t="shared" si="20"/>
        <v>721.8945833</v>
      </c>
      <c r="S33" s="22">
        <f t="shared" si="20"/>
        <v>721.8945833</v>
      </c>
      <c r="T33" s="22">
        <f t="shared" si="20"/>
        <v>721.8945833</v>
      </c>
      <c r="U33" s="22">
        <f t="shared" si="20"/>
        <v>11007.64468</v>
      </c>
      <c r="V33" s="22">
        <f t="shared" si="20"/>
        <v>196481.9795</v>
      </c>
      <c r="W33" s="22">
        <f t="shared" si="20"/>
        <v>39276.43053</v>
      </c>
      <c r="X33" s="2"/>
      <c r="Y33" s="23"/>
      <c r="Z33" s="23"/>
      <c r="AA33" s="23"/>
      <c r="AB33" s="23"/>
    </row>
    <row r="34" ht="12.75" customHeight="1">
      <c r="A34" s="23"/>
      <c r="B34" s="23"/>
      <c r="C34" s="23"/>
      <c r="D34" s="24"/>
      <c r="E34" s="24"/>
      <c r="F34" s="24"/>
      <c r="G34" s="24"/>
      <c r="H34" s="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"/>
      <c r="Y34" s="23"/>
      <c r="Z34" s="23"/>
      <c r="AA34" s="23"/>
      <c r="AB34" s="23"/>
    </row>
    <row r="35" ht="12.75" customHeight="1">
      <c r="A35" s="8" t="s">
        <v>2</v>
      </c>
      <c r="B35" s="8" t="s">
        <v>3</v>
      </c>
      <c r="C35" s="8" t="s">
        <v>4</v>
      </c>
      <c r="D35" s="9" t="s">
        <v>18</v>
      </c>
      <c r="E35" s="9" t="s">
        <v>6</v>
      </c>
      <c r="F35" s="9" t="s">
        <v>20</v>
      </c>
      <c r="G35" s="9" t="s">
        <v>8</v>
      </c>
      <c r="H35" s="10" t="s">
        <v>9</v>
      </c>
      <c r="I35" s="11">
        <v>45747.0</v>
      </c>
      <c r="J35" s="11">
        <v>45777.0</v>
      </c>
      <c r="K35" s="11">
        <v>45808.0</v>
      </c>
      <c r="L35" s="11">
        <v>45838.0</v>
      </c>
      <c r="M35" s="11">
        <v>45869.0</v>
      </c>
      <c r="N35" s="11">
        <v>45900.0</v>
      </c>
      <c r="O35" s="11">
        <v>45930.0</v>
      </c>
      <c r="P35" s="11">
        <v>45961.0</v>
      </c>
      <c r="Q35" s="11">
        <v>45991.0</v>
      </c>
      <c r="R35" s="11">
        <v>46022.0</v>
      </c>
      <c r="S35" s="11">
        <v>46053.0</v>
      </c>
      <c r="T35" s="11">
        <v>46081.0</v>
      </c>
      <c r="U35" s="11" t="s">
        <v>10</v>
      </c>
      <c r="V35" s="11" t="s">
        <v>11</v>
      </c>
      <c r="W35" s="11" t="s">
        <v>61</v>
      </c>
      <c r="X35" s="2"/>
      <c r="Y35" s="2"/>
      <c r="Z35" s="6"/>
      <c r="AA35" s="2"/>
      <c r="AB35" s="6"/>
    </row>
    <row r="36" ht="12.75" customHeight="1">
      <c r="A36" s="13" t="s">
        <v>24</v>
      </c>
      <c r="B36" s="2"/>
      <c r="C36" s="2"/>
      <c r="D36" s="3"/>
      <c r="E36" s="14"/>
      <c r="F36" s="3"/>
      <c r="G36" s="3"/>
      <c r="H36" s="4" t="s">
        <v>25</v>
      </c>
      <c r="I36" s="13" t="str">
        <f>+A36</f>
        <v>6300&gt;020 (Motor Vehicles&gt;Cost)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2"/>
      <c r="Y36" s="2"/>
      <c r="Z36" s="2"/>
      <c r="AA36" s="2"/>
      <c r="AB36" s="2"/>
    </row>
    <row r="37" ht="12.75" customHeight="1">
      <c r="A37" s="8"/>
      <c r="B37" s="2"/>
      <c r="C37" s="2"/>
      <c r="D37" s="3"/>
      <c r="E37" s="14"/>
      <c r="F37" s="3"/>
      <c r="G37" s="3"/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2"/>
      <c r="Y37" s="2"/>
      <c r="Z37" s="2"/>
      <c r="AA37" s="2"/>
      <c r="AB37" s="2"/>
    </row>
    <row r="38" ht="12.75" customHeight="1">
      <c r="A38" s="15">
        <v>42860.0</v>
      </c>
      <c r="B38" s="16">
        <v>8.900964E7</v>
      </c>
      <c r="C38" s="7" t="s">
        <v>26</v>
      </c>
      <c r="D38" s="3">
        <f>'FAR21'!G31</f>
        <v>255969.92</v>
      </c>
      <c r="E38" s="17"/>
      <c r="F38" s="3"/>
      <c r="G38" s="3">
        <f>+D38+E38-F38</f>
        <v>255969.92</v>
      </c>
      <c r="H38" s="4"/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f>SUM(I38:T38)</f>
        <v>0</v>
      </c>
      <c r="V38" s="3">
        <f>'FAR25'!V35+U38</f>
        <v>255969.9194</v>
      </c>
      <c r="W38" s="3">
        <f>+G38-V38</f>
        <v>0.0005826484412</v>
      </c>
      <c r="X38" s="2"/>
      <c r="Y38" s="2"/>
      <c r="Z38" s="2"/>
      <c r="AA38" s="2"/>
      <c r="AB38" s="2"/>
    </row>
    <row r="39" ht="12.75" customHeight="1">
      <c r="A39" s="7"/>
      <c r="B39" s="7"/>
      <c r="C39" s="7"/>
      <c r="D39" s="3"/>
      <c r="E39" s="17"/>
      <c r="F39" s="3"/>
      <c r="G39" s="3"/>
      <c r="H39" s="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2"/>
      <c r="Y39" s="2"/>
      <c r="Z39" s="2"/>
      <c r="AA39" s="2"/>
      <c r="AB39" s="2"/>
    </row>
    <row r="40" ht="12.75" customHeight="1">
      <c r="A40" s="23"/>
      <c r="B40" s="23"/>
      <c r="C40" s="23"/>
      <c r="D40" s="22">
        <f t="shared" ref="D40:F40" si="21">SUM(D38)</f>
        <v>255969.92</v>
      </c>
      <c r="E40" s="21">
        <f t="shared" si="21"/>
        <v>0</v>
      </c>
      <c r="F40" s="22">
        <f t="shared" si="21"/>
        <v>0</v>
      </c>
      <c r="G40" s="22">
        <f>SUM(D40:F40)</f>
        <v>255969.92</v>
      </c>
      <c r="H40" s="4"/>
      <c r="I40" s="22">
        <f t="shared" ref="I40:W40" si="22">SUM(I38)</f>
        <v>0</v>
      </c>
      <c r="J40" s="22">
        <f t="shared" si="22"/>
        <v>0</v>
      </c>
      <c r="K40" s="22">
        <f t="shared" si="22"/>
        <v>0</v>
      </c>
      <c r="L40" s="22">
        <f t="shared" si="22"/>
        <v>0</v>
      </c>
      <c r="M40" s="22">
        <f t="shared" si="22"/>
        <v>0</v>
      </c>
      <c r="N40" s="22">
        <f t="shared" si="22"/>
        <v>0</v>
      </c>
      <c r="O40" s="22">
        <f t="shared" si="22"/>
        <v>0</v>
      </c>
      <c r="P40" s="22">
        <f t="shared" si="22"/>
        <v>0</v>
      </c>
      <c r="Q40" s="22">
        <f t="shared" si="22"/>
        <v>0</v>
      </c>
      <c r="R40" s="22">
        <f t="shared" si="22"/>
        <v>0</v>
      </c>
      <c r="S40" s="22">
        <f t="shared" si="22"/>
        <v>0</v>
      </c>
      <c r="T40" s="22">
        <f t="shared" si="22"/>
        <v>0</v>
      </c>
      <c r="U40" s="22">
        <f t="shared" si="22"/>
        <v>0</v>
      </c>
      <c r="V40" s="22">
        <f t="shared" si="22"/>
        <v>255969.9194</v>
      </c>
      <c r="W40" s="22">
        <f t="shared" si="22"/>
        <v>0.0005826484412</v>
      </c>
      <c r="X40" s="23"/>
      <c r="Y40" s="23"/>
      <c r="Z40" s="23"/>
      <c r="AA40" s="23"/>
      <c r="AB40" s="23"/>
    </row>
    <row r="41" ht="12.75" customHeight="1">
      <c r="A41" s="23"/>
      <c r="B41" s="23"/>
      <c r="C41" s="23"/>
      <c r="D41" s="24"/>
      <c r="E41" s="14"/>
      <c r="F41" s="24"/>
      <c r="G41" s="24"/>
      <c r="H41" s="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3"/>
      <c r="Y41" s="23"/>
      <c r="Z41" s="23"/>
      <c r="AA41" s="23"/>
      <c r="AB41" s="23"/>
    </row>
    <row r="42" ht="12.75" customHeight="1">
      <c r="A42" s="23"/>
      <c r="B42" s="23"/>
      <c r="C42" s="23"/>
      <c r="D42" s="24"/>
      <c r="E42" s="14"/>
      <c r="F42" s="24"/>
      <c r="G42" s="24"/>
      <c r="H42" s="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3"/>
      <c r="Y42" s="23"/>
      <c r="Z42" s="23"/>
      <c r="AA42" s="23"/>
      <c r="AB42" s="23"/>
    </row>
    <row r="43" ht="12.75" customHeight="1">
      <c r="A43" s="8" t="s">
        <v>2</v>
      </c>
      <c r="B43" s="8" t="s">
        <v>3</v>
      </c>
      <c r="C43" s="8" t="s">
        <v>4</v>
      </c>
      <c r="D43" s="9" t="s">
        <v>18</v>
      </c>
      <c r="E43" s="9" t="s">
        <v>6</v>
      </c>
      <c r="F43" s="9" t="s">
        <v>20</v>
      </c>
      <c r="G43" s="9" t="s">
        <v>8</v>
      </c>
      <c r="H43" s="10" t="s">
        <v>9</v>
      </c>
      <c r="I43" s="11">
        <v>45747.0</v>
      </c>
      <c r="J43" s="11">
        <v>45777.0</v>
      </c>
      <c r="K43" s="11">
        <v>45808.0</v>
      </c>
      <c r="L43" s="11">
        <v>45838.0</v>
      </c>
      <c r="M43" s="11">
        <v>45869.0</v>
      </c>
      <c r="N43" s="11">
        <v>45900.0</v>
      </c>
      <c r="O43" s="11">
        <v>45930.0</v>
      </c>
      <c r="P43" s="11">
        <v>45961.0</v>
      </c>
      <c r="Q43" s="11">
        <v>45991.0</v>
      </c>
      <c r="R43" s="11">
        <v>46022.0</v>
      </c>
      <c r="S43" s="11">
        <v>46053.0</v>
      </c>
      <c r="T43" s="11">
        <v>46081.0</v>
      </c>
      <c r="U43" s="11" t="s">
        <v>10</v>
      </c>
      <c r="V43" s="11" t="s">
        <v>11</v>
      </c>
      <c r="W43" s="11" t="s">
        <v>61</v>
      </c>
      <c r="X43" s="2"/>
      <c r="Y43" s="2"/>
      <c r="Z43" s="2"/>
      <c r="AA43" s="2"/>
      <c r="AB43" s="2"/>
    </row>
    <row r="44" ht="12.75" customHeight="1">
      <c r="A44" s="13" t="s">
        <v>58</v>
      </c>
      <c r="B44" s="8"/>
      <c r="C44" s="8"/>
      <c r="D44" s="9"/>
      <c r="E44" s="9"/>
      <c r="F44" s="9"/>
      <c r="G44" s="9"/>
      <c r="H44" s="10"/>
      <c r="I44" s="35" t="str">
        <f>+A44</f>
        <v>6400&gt;020 (Office Equipment&gt;Cost)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2"/>
      <c r="Y44" s="2"/>
      <c r="Z44" s="2"/>
      <c r="AA44" s="2"/>
      <c r="AB44" s="2"/>
    </row>
    <row r="45" ht="12.75" customHeight="1">
      <c r="A45" s="2"/>
      <c r="B45" s="2"/>
      <c r="C45" s="2"/>
      <c r="D45" s="14"/>
      <c r="E45" s="3"/>
      <c r="F45" s="3"/>
      <c r="G45" s="3"/>
      <c r="H45" s="4" t="s">
        <v>22</v>
      </c>
      <c r="I45" s="1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2"/>
      <c r="Y45" s="2"/>
      <c r="Z45" s="2"/>
      <c r="AA45" s="2"/>
      <c r="AB45" s="2"/>
    </row>
    <row r="46" ht="12.75" customHeight="1">
      <c r="A46" s="6">
        <v>45139.0</v>
      </c>
      <c r="B46" s="2" t="s">
        <v>59</v>
      </c>
      <c r="C46" s="2" t="s">
        <v>60</v>
      </c>
      <c r="D46" s="3">
        <v>44100.0</v>
      </c>
      <c r="E46" s="2"/>
      <c r="F46" s="3"/>
      <c r="G46" s="3">
        <v>44100.0</v>
      </c>
      <c r="H46" s="4"/>
      <c r="I46" s="3">
        <f t="shared" ref="I46:T46" si="23">+$G46/$H$45/12</f>
        <v>612.5</v>
      </c>
      <c r="J46" s="3">
        <f t="shared" si="23"/>
        <v>612.5</v>
      </c>
      <c r="K46" s="3">
        <f t="shared" si="23"/>
        <v>612.5</v>
      </c>
      <c r="L46" s="3">
        <f t="shared" si="23"/>
        <v>612.5</v>
      </c>
      <c r="M46" s="3">
        <f t="shared" si="23"/>
        <v>612.5</v>
      </c>
      <c r="N46" s="3">
        <f t="shared" si="23"/>
        <v>612.5</v>
      </c>
      <c r="O46" s="3">
        <f t="shared" si="23"/>
        <v>612.5</v>
      </c>
      <c r="P46" s="3">
        <f t="shared" si="23"/>
        <v>612.5</v>
      </c>
      <c r="Q46" s="3">
        <f t="shared" si="23"/>
        <v>612.5</v>
      </c>
      <c r="R46" s="3">
        <f t="shared" si="23"/>
        <v>612.5</v>
      </c>
      <c r="S46" s="3">
        <f t="shared" si="23"/>
        <v>612.5</v>
      </c>
      <c r="T46" s="3">
        <f t="shared" si="23"/>
        <v>612.5</v>
      </c>
      <c r="U46" s="3">
        <f t="shared" ref="U46:U49" si="25">SUM(I46:T46)</f>
        <v>7350</v>
      </c>
      <c r="V46" s="3">
        <f>'FAR25'!V43+U46</f>
        <v>18987.5</v>
      </c>
      <c r="W46" s="3">
        <f t="shared" ref="W46:W49" si="26">G46-V46</f>
        <v>25112.5</v>
      </c>
      <c r="X46" s="2"/>
      <c r="Y46" s="2"/>
      <c r="Z46" s="2"/>
      <c r="AA46" s="2"/>
      <c r="AB46" s="2"/>
    </row>
    <row r="47" ht="12.75" customHeight="1">
      <c r="A47" s="6">
        <v>45870.0</v>
      </c>
      <c r="B47" s="2" t="s">
        <v>71</v>
      </c>
      <c r="C47" s="2" t="s">
        <v>72</v>
      </c>
      <c r="D47" s="14"/>
      <c r="E47" s="3">
        <v>4021.04</v>
      </c>
      <c r="F47" s="3"/>
      <c r="G47" s="3">
        <v>4021.06</v>
      </c>
      <c r="H47" s="4"/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f t="shared" ref="N47:T47" si="24">+$G47/$H$45/12</f>
        <v>55.84805556</v>
      </c>
      <c r="O47" s="3">
        <f t="shared" si="24"/>
        <v>55.84805556</v>
      </c>
      <c r="P47" s="3">
        <f t="shared" si="24"/>
        <v>55.84805556</v>
      </c>
      <c r="Q47" s="3">
        <f t="shared" si="24"/>
        <v>55.84805556</v>
      </c>
      <c r="R47" s="3">
        <f t="shared" si="24"/>
        <v>55.84805556</v>
      </c>
      <c r="S47" s="3">
        <f t="shared" si="24"/>
        <v>55.84805556</v>
      </c>
      <c r="T47" s="3">
        <f t="shared" si="24"/>
        <v>55.84805556</v>
      </c>
      <c r="U47" s="3">
        <f t="shared" si="25"/>
        <v>390.9363889</v>
      </c>
      <c r="V47" s="3">
        <f>'FAR25'!V44+U47</f>
        <v>390.9363889</v>
      </c>
      <c r="W47" s="3">
        <f t="shared" si="26"/>
        <v>3630.123611</v>
      </c>
      <c r="X47" s="2"/>
      <c r="Y47" s="2"/>
      <c r="Z47" s="2"/>
      <c r="AA47" s="2"/>
      <c r="AB47" s="2"/>
    </row>
    <row r="48" ht="12.75" customHeight="1">
      <c r="A48" s="6">
        <v>45903.0</v>
      </c>
      <c r="B48" s="2" t="s">
        <v>73</v>
      </c>
      <c r="C48" s="2" t="s">
        <v>74</v>
      </c>
      <c r="D48" s="14"/>
      <c r="E48" s="3">
        <v>33677.14</v>
      </c>
      <c r="F48" s="3"/>
      <c r="G48" s="3">
        <v>33677.14</v>
      </c>
      <c r="H48" s="4"/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f>+$G48/$H$45/365*(30-3)</f>
        <v>415.1976164</v>
      </c>
      <c r="P48" s="3">
        <f t="shared" ref="P48:T48" si="27">+$G48/$H$45/12</f>
        <v>467.7380556</v>
      </c>
      <c r="Q48" s="3">
        <f t="shared" si="27"/>
        <v>467.7380556</v>
      </c>
      <c r="R48" s="3">
        <f t="shared" si="27"/>
        <v>467.7380556</v>
      </c>
      <c r="S48" s="3">
        <f t="shared" si="27"/>
        <v>467.7380556</v>
      </c>
      <c r="T48" s="3">
        <f t="shared" si="27"/>
        <v>467.7380556</v>
      </c>
      <c r="U48" s="3">
        <f t="shared" si="25"/>
        <v>2753.887894</v>
      </c>
      <c r="V48" s="3">
        <f t="shared" ref="V48:V49" si="29">U48</f>
        <v>2753.887894</v>
      </c>
      <c r="W48" s="3">
        <f t="shared" si="26"/>
        <v>30923.25211</v>
      </c>
      <c r="X48" s="2"/>
      <c r="Y48" s="2"/>
      <c r="Z48" s="2"/>
      <c r="AA48" s="2"/>
      <c r="AB48" s="2"/>
    </row>
    <row r="49" ht="12.75" customHeight="1">
      <c r="A49" s="6">
        <v>45926.0</v>
      </c>
      <c r="B49" s="2" t="s">
        <v>75</v>
      </c>
      <c r="C49" s="2" t="s">
        <v>76</v>
      </c>
      <c r="D49" s="14"/>
      <c r="E49" s="3">
        <v>3353.4</v>
      </c>
      <c r="F49" s="3"/>
      <c r="G49" s="3">
        <f>E49</f>
        <v>3353.4</v>
      </c>
      <c r="H49" s="4"/>
      <c r="I49" s="3"/>
      <c r="J49" s="3"/>
      <c r="K49" s="3"/>
      <c r="L49" s="3"/>
      <c r="M49" s="3"/>
      <c r="N49" s="3"/>
      <c r="O49" s="3">
        <f>+$G49/$H$45/365*(30-26)</f>
        <v>6.124931507</v>
      </c>
      <c r="P49" s="3">
        <f t="shared" ref="P49:T49" si="28">+$G49/$H$45/12</f>
        <v>46.575</v>
      </c>
      <c r="Q49" s="3">
        <f t="shared" si="28"/>
        <v>46.575</v>
      </c>
      <c r="R49" s="3">
        <f t="shared" si="28"/>
        <v>46.575</v>
      </c>
      <c r="S49" s="3">
        <f t="shared" si="28"/>
        <v>46.575</v>
      </c>
      <c r="T49" s="3">
        <f t="shared" si="28"/>
        <v>46.575</v>
      </c>
      <c r="U49" s="3">
        <f t="shared" si="25"/>
        <v>238.9999315</v>
      </c>
      <c r="V49" s="3">
        <f t="shared" si="29"/>
        <v>238.9999315</v>
      </c>
      <c r="W49" s="3">
        <f t="shared" si="26"/>
        <v>3114.400068</v>
      </c>
      <c r="X49" s="2"/>
      <c r="Y49" s="2"/>
      <c r="Z49" s="2"/>
      <c r="AA49" s="2"/>
      <c r="AB49" s="2"/>
    </row>
    <row r="50" ht="12.75" customHeight="1">
      <c r="A50" s="2"/>
      <c r="B50" s="2"/>
      <c r="C50" s="2"/>
      <c r="D50" s="14"/>
      <c r="E50" s="3"/>
      <c r="F50" s="3"/>
      <c r="G50" s="3"/>
      <c r="H50" s="4"/>
      <c r="I50" s="1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2"/>
      <c r="Y50" s="2"/>
      <c r="Z50" s="2"/>
      <c r="AA50" s="2"/>
      <c r="AB50" s="2"/>
    </row>
    <row r="51" ht="12.75" customHeight="1">
      <c r="A51" s="2"/>
      <c r="B51" s="2"/>
      <c r="C51" s="2"/>
      <c r="D51" s="36">
        <f t="shared" ref="D51:E51" si="30">SUM(D46:D50)</f>
        <v>44100</v>
      </c>
      <c r="E51" s="36">
        <f t="shared" si="30"/>
        <v>41051.58</v>
      </c>
      <c r="F51" s="36"/>
      <c r="G51" s="36">
        <f>SUM(G46:G50)</f>
        <v>85151.6</v>
      </c>
      <c r="H51" s="4"/>
      <c r="I51" s="21">
        <f t="shared" ref="I51:W51" si="31">SUM(I46:I50)</f>
        <v>612.5</v>
      </c>
      <c r="J51" s="21">
        <f t="shared" si="31"/>
        <v>612.5</v>
      </c>
      <c r="K51" s="21">
        <f t="shared" si="31"/>
        <v>612.5</v>
      </c>
      <c r="L51" s="21">
        <f t="shared" si="31"/>
        <v>612.5</v>
      </c>
      <c r="M51" s="21">
        <f t="shared" si="31"/>
        <v>612.5</v>
      </c>
      <c r="N51" s="21">
        <f t="shared" si="31"/>
        <v>668.3480556</v>
      </c>
      <c r="O51" s="21">
        <f t="shared" si="31"/>
        <v>1089.670604</v>
      </c>
      <c r="P51" s="21">
        <f t="shared" si="31"/>
        <v>1182.661111</v>
      </c>
      <c r="Q51" s="21">
        <f t="shared" si="31"/>
        <v>1182.661111</v>
      </c>
      <c r="R51" s="21">
        <f t="shared" si="31"/>
        <v>1182.661111</v>
      </c>
      <c r="S51" s="21">
        <f t="shared" si="31"/>
        <v>1182.661111</v>
      </c>
      <c r="T51" s="21">
        <f t="shared" si="31"/>
        <v>1182.661111</v>
      </c>
      <c r="U51" s="21">
        <f t="shared" si="31"/>
        <v>10733.82421</v>
      </c>
      <c r="V51" s="21">
        <f t="shared" si="31"/>
        <v>22371.32421</v>
      </c>
      <c r="W51" s="21">
        <f t="shared" si="31"/>
        <v>62780.27579</v>
      </c>
      <c r="X51" s="2"/>
      <c r="Y51" s="2"/>
      <c r="Z51" s="2"/>
      <c r="AA51" s="2"/>
      <c r="AB51" s="2"/>
    </row>
    <row r="52" ht="12.75" customHeight="1">
      <c r="A52" s="2"/>
      <c r="B52" s="2"/>
      <c r="C52" s="2"/>
      <c r="D52" s="14"/>
      <c r="E52" s="3"/>
      <c r="F52" s="3"/>
      <c r="G52" s="3"/>
      <c r="H52" s="4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"/>
      <c r="V52" s="3"/>
      <c r="W52" s="3"/>
      <c r="X52" s="2"/>
      <c r="Y52" s="2"/>
      <c r="Z52" s="2"/>
      <c r="AA52" s="2"/>
      <c r="AB52" s="2"/>
    </row>
    <row r="53" ht="12.75" customHeight="1">
      <c r="A53" s="8" t="s">
        <v>2</v>
      </c>
      <c r="B53" s="8" t="s">
        <v>3</v>
      </c>
      <c r="C53" s="8" t="s">
        <v>4</v>
      </c>
      <c r="D53" s="9" t="s">
        <v>18</v>
      </c>
      <c r="E53" s="9" t="s">
        <v>6</v>
      </c>
      <c r="F53" s="9" t="s">
        <v>20</v>
      </c>
      <c r="G53" s="9" t="s">
        <v>8</v>
      </c>
      <c r="H53" s="10" t="s">
        <v>9</v>
      </c>
      <c r="I53" s="11">
        <v>45747.0</v>
      </c>
      <c r="J53" s="11">
        <v>45777.0</v>
      </c>
      <c r="K53" s="11">
        <v>45808.0</v>
      </c>
      <c r="L53" s="11">
        <v>45838.0</v>
      </c>
      <c r="M53" s="11">
        <v>45869.0</v>
      </c>
      <c r="N53" s="11">
        <v>45900.0</v>
      </c>
      <c r="O53" s="11">
        <v>45930.0</v>
      </c>
      <c r="P53" s="11">
        <v>45961.0</v>
      </c>
      <c r="Q53" s="11">
        <v>45991.0</v>
      </c>
      <c r="R53" s="11">
        <v>46022.0</v>
      </c>
      <c r="S53" s="11">
        <v>46053.0</v>
      </c>
      <c r="T53" s="11">
        <v>46081.0</v>
      </c>
      <c r="U53" s="11" t="s">
        <v>10</v>
      </c>
      <c r="V53" s="11" t="s">
        <v>11</v>
      </c>
      <c r="W53" s="11" t="s">
        <v>61</v>
      </c>
      <c r="X53" s="2"/>
      <c r="Y53" s="2"/>
      <c r="Z53" s="2"/>
      <c r="AA53" s="2"/>
      <c r="AB53" s="2"/>
    </row>
    <row r="54" ht="12.75" customHeight="1">
      <c r="A54" s="13" t="s">
        <v>62</v>
      </c>
      <c r="B54" s="8"/>
      <c r="C54" s="8"/>
      <c r="D54" s="9"/>
      <c r="E54" s="9"/>
      <c r="F54" s="9"/>
      <c r="G54" s="9"/>
      <c r="H54" s="10"/>
      <c r="I54" s="35" t="str">
        <f>+A54</f>
        <v>6150&gt;020 (Computer Software&gt;Cost)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2"/>
      <c r="Y54" s="2"/>
      <c r="Z54" s="2"/>
      <c r="AA54" s="2"/>
      <c r="AB54" s="2"/>
    </row>
    <row r="55" ht="12.75" customHeight="1">
      <c r="A55" s="2"/>
      <c r="B55" s="2"/>
      <c r="C55" s="2"/>
      <c r="D55" s="14"/>
      <c r="E55" s="3"/>
      <c r="F55" s="3"/>
      <c r="G55" s="3"/>
      <c r="H55" s="4" t="s">
        <v>63</v>
      </c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"/>
      <c r="V55" s="3"/>
      <c r="W55" s="3"/>
      <c r="X55" s="2"/>
      <c r="Y55" s="2"/>
      <c r="Z55" s="2"/>
      <c r="AA55" s="2"/>
      <c r="AB55" s="2"/>
    </row>
    <row r="56" ht="12.75" customHeight="1">
      <c r="A56" s="6">
        <v>45371.0</v>
      </c>
      <c r="B56" s="2" t="s">
        <v>64</v>
      </c>
      <c r="C56" s="2" t="s">
        <v>65</v>
      </c>
      <c r="D56" s="60">
        <v>27173.91</v>
      </c>
      <c r="E56" s="3"/>
      <c r="F56" s="3"/>
      <c r="G56" s="3">
        <v>27173.91</v>
      </c>
      <c r="H56" s="61"/>
      <c r="I56" s="60">
        <f t="shared" ref="I56:T56" si="32">+$G56/$H$55/12</f>
        <v>754.8308333</v>
      </c>
      <c r="J56" s="60">
        <f t="shared" si="32"/>
        <v>754.8308333</v>
      </c>
      <c r="K56" s="60">
        <f t="shared" si="32"/>
        <v>754.8308333</v>
      </c>
      <c r="L56" s="60">
        <f t="shared" si="32"/>
        <v>754.8308333</v>
      </c>
      <c r="M56" s="60">
        <f t="shared" si="32"/>
        <v>754.8308333</v>
      </c>
      <c r="N56" s="60">
        <f t="shared" si="32"/>
        <v>754.8308333</v>
      </c>
      <c r="O56" s="60">
        <f t="shared" si="32"/>
        <v>754.8308333</v>
      </c>
      <c r="P56" s="60">
        <f t="shared" si="32"/>
        <v>754.8308333</v>
      </c>
      <c r="Q56" s="60">
        <f t="shared" si="32"/>
        <v>754.8308333</v>
      </c>
      <c r="R56" s="60">
        <f t="shared" si="32"/>
        <v>754.8308333</v>
      </c>
      <c r="S56" s="60">
        <f t="shared" si="32"/>
        <v>754.8308333</v>
      </c>
      <c r="T56" s="60">
        <f t="shared" si="32"/>
        <v>754.8308333</v>
      </c>
      <c r="U56" s="60">
        <f>SUM(I56:T56)</f>
        <v>9057.97</v>
      </c>
      <c r="V56" s="60">
        <f>'FAR25'!V50+U56</f>
        <v>17609.27273</v>
      </c>
      <c r="W56" s="60">
        <f>G56-V56</f>
        <v>9564.637272</v>
      </c>
      <c r="X56" s="2"/>
      <c r="Y56" s="2"/>
      <c r="Z56" s="2"/>
      <c r="AA56" s="2"/>
      <c r="AB56" s="2"/>
    </row>
    <row r="57" ht="12.75" customHeight="1">
      <c r="A57" s="6"/>
      <c r="B57" s="2"/>
      <c r="C57" s="2"/>
      <c r="D57" s="17"/>
      <c r="E57" s="3"/>
      <c r="F57" s="3"/>
      <c r="G57" s="3"/>
      <c r="H57" s="4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"/>
      <c r="V57" s="3"/>
      <c r="W57" s="3"/>
      <c r="X57" s="2"/>
      <c r="Y57" s="2"/>
      <c r="Z57" s="2"/>
      <c r="AA57" s="2"/>
      <c r="AB57" s="2"/>
    </row>
    <row r="58" ht="12.75" customHeight="1">
      <c r="A58" s="6"/>
      <c r="B58" s="2"/>
      <c r="C58" s="2"/>
      <c r="D58" s="40">
        <f t="shared" ref="D58:G58" si="33">D56</f>
        <v>27173.91</v>
      </c>
      <c r="E58" s="40" t="str">
        <f t="shared" si="33"/>
        <v/>
      </c>
      <c r="F58" s="40" t="str">
        <f t="shared" si="33"/>
        <v/>
      </c>
      <c r="G58" s="40">
        <f t="shared" si="33"/>
        <v>27173.91</v>
      </c>
      <c r="H58" s="4"/>
      <c r="I58" s="22">
        <f t="shared" ref="I58:W58" si="34">I56</f>
        <v>754.8308333</v>
      </c>
      <c r="J58" s="22">
        <f t="shared" si="34"/>
        <v>754.8308333</v>
      </c>
      <c r="K58" s="22">
        <f t="shared" si="34"/>
        <v>754.8308333</v>
      </c>
      <c r="L58" s="22">
        <f t="shared" si="34"/>
        <v>754.8308333</v>
      </c>
      <c r="M58" s="22">
        <f t="shared" si="34"/>
        <v>754.8308333</v>
      </c>
      <c r="N58" s="22">
        <f t="shared" si="34"/>
        <v>754.8308333</v>
      </c>
      <c r="O58" s="22">
        <f t="shared" si="34"/>
        <v>754.8308333</v>
      </c>
      <c r="P58" s="22">
        <f t="shared" si="34"/>
        <v>754.8308333</v>
      </c>
      <c r="Q58" s="22">
        <f t="shared" si="34"/>
        <v>754.8308333</v>
      </c>
      <c r="R58" s="22">
        <f t="shared" si="34"/>
        <v>754.8308333</v>
      </c>
      <c r="S58" s="22">
        <f t="shared" si="34"/>
        <v>754.8308333</v>
      </c>
      <c r="T58" s="22">
        <f t="shared" si="34"/>
        <v>754.8308333</v>
      </c>
      <c r="U58" s="22">
        <f t="shared" si="34"/>
        <v>9057.97</v>
      </c>
      <c r="V58" s="22">
        <f t="shared" si="34"/>
        <v>17609.27273</v>
      </c>
      <c r="W58" s="22">
        <f t="shared" si="34"/>
        <v>9564.637272</v>
      </c>
      <c r="X58" s="2"/>
      <c r="Y58" s="2"/>
      <c r="Z58" s="2"/>
      <c r="AA58" s="2"/>
      <c r="AB58" s="2"/>
    </row>
    <row r="59" ht="12.75" customHeight="1">
      <c r="A59" s="2"/>
      <c r="B59" s="2"/>
      <c r="C59" s="2"/>
      <c r="D59" s="3"/>
      <c r="E59" s="9"/>
      <c r="F59" s="3"/>
      <c r="G59" s="3"/>
      <c r="H59" s="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2"/>
      <c r="Y59" s="2"/>
      <c r="Z59" s="2"/>
      <c r="AA59" s="2"/>
      <c r="AB59" s="2"/>
    </row>
    <row r="60" ht="12.75" customHeight="1">
      <c r="A60" s="23" t="s">
        <v>27</v>
      </c>
      <c r="B60" s="2"/>
      <c r="C60" s="2"/>
      <c r="D60" s="22">
        <f>D19+D33+D40+D58</f>
        <v>764104.48</v>
      </c>
      <c r="E60" s="22">
        <f>E19+E33+E40+E51</f>
        <v>86390.59</v>
      </c>
      <c r="F60" s="22">
        <f>F19+F33+F40</f>
        <v>0</v>
      </c>
      <c r="G60" s="22">
        <f>G19+G33+G40+G51+G58</f>
        <v>894595.09</v>
      </c>
      <c r="H60" s="4"/>
      <c r="I60" s="22">
        <f t="shared" ref="I60:T60" si="35">I19+I33+I40+I51+I58</f>
        <v>3050.796944</v>
      </c>
      <c r="J60" s="22">
        <f t="shared" si="35"/>
        <v>2965.950278</v>
      </c>
      <c r="K60" s="22">
        <f t="shared" si="35"/>
        <v>2335.995</v>
      </c>
      <c r="L60" s="22">
        <f t="shared" si="35"/>
        <v>2702.885233</v>
      </c>
      <c r="M60" s="22">
        <f t="shared" si="35"/>
        <v>3003.138267</v>
      </c>
      <c r="N60" s="22">
        <f t="shared" si="35"/>
        <v>3119.851528</v>
      </c>
      <c r="O60" s="22">
        <f t="shared" si="35"/>
        <v>2965.979631</v>
      </c>
      <c r="P60" s="22">
        <f t="shared" si="35"/>
        <v>3058.970139</v>
      </c>
      <c r="Q60" s="22">
        <f t="shared" si="35"/>
        <v>3058.970139</v>
      </c>
      <c r="R60" s="22">
        <f t="shared" si="35"/>
        <v>3058.970139</v>
      </c>
      <c r="S60" s="22">
        <f t="shared" si="35"/>
        <v>3058.970139</v>
      </c>
      <c r="T60" s="22">
        <f t="shared" si="35"/>
        <v>3058.970139</v>
      </c>
      <c r="U60" s="22">
        <f t="shared" ref="U60:W60" si="36">U19+U33+U40</f>
        <v>15647.65336</v>
      </c>
      <c r="V60" s="22">
        <f t="shared" si="36"/>
        <v>732222.261</v>
      </c>
      <c r="W60" s="22">
        <f t="shared" si="36"/>
        <v>50047.31898</v>
      </c>
      <c r="X60" s="2"/>
      <c r="Y60" s="2"/>
      <c r="Z60" s="2"/>
      <c r="AA60" s="2"/>
      <c r="AB60" s="2"/>
    </row>
    <row r="61" ht="12.75" customHeight="1">
      <c r="A61" s="2"/>
      <c r="B61" s="2"/>
      <c r="C61" s="2"/>
      <c r="D61" s="3"/>
      <c r="E61" s="3"/>
      <c r="F61" s="3"/>
      <c r="G61" s="3"/>
      <c r="H61" s="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2"/>
      <c r="Y61" s="2"/>
      <c r="Z61" s="2"/>
      <c r="AA61" s="2"/>
      <c r="AB61" s="2"/>
    </row>
    <row r="62" ht="12.75" customHeight="1">
      <c r="A62" s="2"/>
      <c r="B62" s="2"/>
      <c r="C62" s="2"/>
      <c r="D62" s="3"/>
      <c r="E62" s="3"/>
      <c r="F62" s="3"/>
      <c r="G62" s="3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2"/>
      <c r="Y62" s="2"/>
      <c r="Z62" s="2"/>
      <c r="AA62" s="2"/>
      <c r="AB62" s="2"/>
    </row>
    <row r="63" ht="12.75" customHeight="1">
      <c r="A63" s="2"/>
      <c r="B63" s="2"/>
      <c r="C63" s="2"/>
      <c r="D63" s="3"/>
      <c r="E63" s="3"/>
      <c r="F63" s="3"/>
      <c r="G63" s="3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"/>
      <c r="Y63" s="2"/>
      <c r="Z63" s="2"/>
      <c r="AA63" s="2"/>
      <c r="AB63" s="2"/>
    </row>
    <row r="64" ht="12.75" customHeight="1">
      <c r="A64" s="2"/>
      <c r="B64" s="2"/>
      <c r="C64" s="2"/>
      <c r="D64" s="3"/>
      <c r="E64" s="3"/>
      <c r="F64" s="3"/>
      <c r="G64" s="3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2"/>
      <c r="Y64" s="2"/>
      <c r="Z64" s="2"/>
      <c r="AA64" s="2"/>
      <c r="AB64" s="2"/>
    </row>
    <row r="65" ht="12.75" customHeight="1">
      <c r="A65" s="2"/>
      <c r="B65" s="2"/>
      <c r="C65" s="2"/>
      <c r="D65" s="3"/>
      <c r="E65" s="3"/>
      <c r="F65" s="3"/>
      <c r="G65" s="3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2"/>
      <c r="Y65" s="2"/>
      <c r="Z65" s="2"/>
      <c r="AA65" s="2"/>
      <c r="AB65" s="2"/>
    </row>
    <row r="66" ht="12.75" customHeight="1">
      <c r="A66" s="2"/>
      <c r="B66" s="2"/>
      <c r="C66" s="2"/>
      <c r="D66" s="3"/>
      <c r="E66" s="3"/>
      <c r="F66" s="3"/>
      <c r="G66" s="3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2"/>
      <c r="Y66" s="2"/>
      <c r="Z66" s="2"/>
      <c r="AA66" s="2"/>
      <c r="AB66" s="2"/>
    </row>
    <row r="67" ht="12.75" customHeight="1">
      <c r="A67" s="2"/>
      <c r="B67" s="2"/>
      <c r="C67" s="2"/>
      <c r="D67" s="3"/>
      <c r="E67" s="3"/>
      <c r="F67" s="3"/>
      <c r="G67" s="3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2"/>
      <c r="Y67" s="2"/>
      <c r="Z67" s="2"/>
      <c r="AA67" s="2"/>
      <c r="AB67" s="2"/>
    </row>
    <row r="68" ht="12.75" customHeight="1">
      <c r="A68" s="2"/>
      <c r="B68" s="2"/>
      <c r="C68" s="2"/>
      <c r="D68" s="3"/>
      <c r="E68" s="3"/>
      <c r="F68" s="3"/>
      <c r="G68" s="3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2"/>
      <c r="Y68" s="2"/>
      <c r="Z68" s="2"/>
      <c r="AA68" s="2"/>
      <c r="AB68" s="2"/>
    </row>
    <row r="69" ht="12.75" customHeight="1">
      <c r="A69" s="2"/>
      <c r="B69" s="2"/>
      <c r="C69" s="2"/>
      <c r="D69" s="3"/>
      <c r="E69" s="3"/>
      <c r="F69" s="3"/>
      <c r="G69" s="3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2"/>
      <c r="Y69" s="2"/>
      <c r="Z69" s="2"/>
      <c r="AA69" s="2"/>
      <c r="AB69" s="2"/>
    </row>
    <row r="70" ht="12.75" customHeight="1">
      <c r="A70" s="2"/>
      <c r="B70" s="2"/>
      <c r="C70" s="2"/>
      <c r="D70" s="3"/>
      <c r="E70" s="3"/>
      <c r="F70" s="3"/>
      <c r="G70" s="3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2"/>
      <c r="Y70" s="2"/>
      <c r="Z70" s="2"/>
      <c r="AA70" s="2"/>
      <c r="AB70" s="2"/>
    </row>
    <row r="71" ht="12.75" customHeight="1">
      <c r="A71" s="2"/>
      <c r="B71" s="2"/>
      <c r="C71" s="2"/>
      <c r="D71" s="3"/>
      <c r="E71" s="3"/>
      <c r="F71" s="3"/>
      <c r="G71" s="3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2"/>
      <c r="Y71" s="2"/>
      <c r="Z71" s="2"/>
      <c r="AA71" s="2"/>
      <c r="AB71" s="2"/>
    </row>
    <row r="72" ht="12.75" customHeight="1">
      <c r="A72" s="2"/>
      <c r="B72" s="2"/>
      <c r="C72" s="2"/>
      <c r="D72" s="3"/>
      <c r="E72" s="3"/>
      <c r="F72" s="3"/>
      <c r="G72" s="3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2"/>
      <c r="Y72" s="2"/>
      <c r="Z72" s="2"/>
      <c r="AA72" s="2"/>
      <c r="AB72" s="2"/>
    </row>
    <row r="73" ht="12.75" customHeight="1">
      <c r="A73" s="2"/>
      <c r="B73" s="2"/>
      <c r="C73" s="2"/>
      <c r="D73" s="3"/>
      <c r="E73" s="3"/>
      <c r="F73" s="3"/>
      <c r="G73" s="3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2"/>
      <c r="Y73" s="2"/>
      <c r="Z73" s="2"/>
      <c r="AA73" s="2"/>
      <c r="AB73" s="2"/>
    </row>
    <row r="74" ht="12.75" customHeight="1">
      <c r="A74" s="2"/>
      <c r="B74" s="2"/>
      <c r="C74" s="2"/>
      <c r="D74" s="3"/>
      <c r="E74" s="3"/>
      <c r="F74" s="3"/>
      <c r="G74" s="3"/>
      <c r="H74" s="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2"/>
      <c r="Y74" s="2"/>
      <c r="Z74" s="2"/>
      <c r="AA74" s="2"/>
      <c r="AB74" s="2"/>
    </row>
    <row r="75" ht="12.75" customHeight="1">
      <c r="A75" s="2"/>
      <c r="B75" s="2"/>
      <c r="C75" s="2"/>
      <c r="D75" s="3"/>
      <c r="E75" s="3"/>
      <c r="F75" s="3"/>
      <c r="G75" s="3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2"/>
      <c r="Y75" s="2"/>
      <c r="Z75" s="2"/>
      <c r="AA75" s="2"/>
      <c r="AB75" s="2"/>
    </row>
    <row r="76" ht="12.75" customHeight="1">
      <c r="A76" s="2"/>
      <c r="B76" s="2"/>
      <c r="C76" s="2"/>
      <c r="D76" s="3"/>
      <c r="E76" s="3"/>
      <c r="F76" s="3"/>
      <c r="G76" s="3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2"/>
      <c r="Y76" s="2"/>
      <c r="Z76" s="2"/>
      <c r="AA76" s="2"/>
      <c r="AB76" s="2"/>
    </row>
    <row r="77" ht="12.75" customHeight="1">
      <c r="A77" s="2"/>
      <c r="B77" s="2"/>
      <c r="C77" s="2"/>
      <c r="D77" s="3"/>
      <c r="E77" s="3"/>
      <c r="F77" s="3"/>
      <c r="G77" s="3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2"/>
      <c r="Y77" s="2"/>
      <c r="Z77" s="2"/>
      <c r="AA77" s="2"/>
      <c r="AB77" s="2"/>
    </row>
    <row r="78" ht="12.75" customHeight="1">
      <c r="A78" s="2"/>
      <c r="B78" s="2"/>
      <c r="C78" s="2"/>
      <c r="D78" s="3"/>
      <c r="E78" s="3"/>
      <c r="F78" s="3"/>
      <c r="G78" s="3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2"/>
      <c r="Y78" s="2"/>
      <c r="Z78" s="2"/>
      <c r="AA78" s="2"/>
      <c r="AB78" s="2"/>
    </row>
    <row r="79" ht="12.75" customHeight="1">
      <c r="A79" s="2"/>
      <c r="B79" s="2"/>
      <c r="C79" s="2"/>
      <c r="D79" s="3"/>
      <c r="E79" s="3"/>
      <c r="F79" s="3"/>
      <c r="G79" s="3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2"/>
      <c r="Y79" s="2"/>
      <c r="Z79" s="2"/>
      <c r="AA79" s="2"/>
      <c r="AB79" s="2"/>
    </row>
    <row r="80" ht="12.75" customHeight="1">
      <c r="A80" s="2"/>
      <c r="B80" s="2"/>
      <c r="C80" s="2"/>
      <c r="D80" s="3"/>
      <c r="E80" s="3"/>
      <c r="F80" s="3"/>
      <c r="G80" s="3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2"/>
      <c r="Y80" s="2"/>
      <c r="Z80" s="2"/>
      <c r="AA80" s="2"/>
      <c r="AB80" s="2"/>
    </row>
    <row r="81" ht="12.75" customHeight="1">
      <c r="A81" s="2"/>
      <c r="B81" s="2"/>
      <c r="C81" s="2"/>
      <c r="D81" s="3"/>
      <c r="E81" s="3"/>
      <c r="F81" s="3"/>
      <c r="G81" s="3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2"/>
      <c r="Y81" s="2"/>
      <c r="Z81" s="2"/>
      <c r="AA81" s="2"/>
      <c r="AB81" s="2"/>
    </row>
    <row r="82" ht="12.75" customHeight="1">
      <c r="A82" s="2"/>
      <c r="B82" s="2"/>
      <c r="C82" s="2"/>
      <c r="D82" s="3"/>
      <c r="E82" s="3"/>
      <c r="F82" s="3"/>
      <c r="G82" s="3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2"/>
      <c r="Y82" s="2"/>
      <c r="Z82" s="2"/>
      <c r="AA82" s="2"/>
      <c r="AB82" s="2"/>
    </row>
    <row r="83" ht="12.75" customHeight="1">
      <c r="A83" s="2"/>
      <c r="B83" s="2"/>
      <c r="C83" s="2"/>
      <c r="D83" s="3"/>
      <c r="E83" s="3"/>
      <c r="F83" s="3"/>
      <c r="G83" s="3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2"/>
      <c r="Y83" s="2"/>
      <c r="Z83" s="2"/>
      <c r="AA83" s="2"/>
      <c r="AB83" s="2"/>
    </row>
    <row r="84" ht="12.75" customHeight="1">
      <c r="A84" s="2"/>
      <c r="B84" s="2"/>
      <c r="C84" s="2"/>
      <c r="D84" s="3"/>
      <c r="E84" s="3"/>
      <c r="F84" s="3"/>
      <c r="G84" s="3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2"/>
      <c r="Y84" s="2"/>
      <c r="Z84" s="2"/>
      <c r="AA84" s="2"/>
      <c r="AB84" s="2"/>
    </row>
    <row r="85" ht="12.75" customHeight="1">
      <c r="A85" s="2"/>
      <c r="B85" s="2"/>
      <c r="C85" s="2"/>
      <c r="D85" s="3"/>
      <c r="E85" s="3"/>
      <c r="F85" s="3"/>
      <c r="G85" s="3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2"/>
      <c r="Y85" s="2"/>
      <c r="Z85" s="2"/>
      <c r="AA85" s="2"/>
      <c r="AB85" s="2"/>
    </row>
    <row r="86" ht="12.75" customHeight="1">
      <c r="A86" s="2"/>
      <c r="B86" s="2"/>
      <c r="C86" s="2"/>
      <c r="D86" s="3"/>
      <c r="E86" s="3"/>
      <c r="F86" s="3"/>
      <c r="G86" s="3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2"/>
      <c r="Y86" s="2"/>
      <c r="Z86" s="2"/>
      <c r="AA86" s="2"/>
      <c r="AB86" s="2"/>
    </row>
    <row r="87" ht="12.75" customHeight="1">
      <c r="A87" s="2"/>
      <c r="B87" s="2"/>
      <c r="C87" s="2"/>
      <c r="D87" s="3"/>
      <c r="E87" s="3"/>
      <c r="F87" s="3"/>
      <c r="G87" s="3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2"/>
      <c r="Y87" s="2"/>
      <c r="Z87" s="2"/>
      <c r="AA87" s="2"/>
      <c r="AB87" s="2"/>
    </row>
    <row r="88" ht="12.75" customHeight="1">
      <c r="A88" s="2"/>
      <c r="B88" s="2"/>
      <c r="C88" s="2"/>
      <c r="D88" s="3"/>
      <c r="E88" s="3"/>
      <c r="F88" s="3"/>
      <c r="G88" s="3"/>
      <c r="H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2"/>
      <c r="Y88" s="2"/>
      <c r="Z88" s="2"/>
      <c r="AA88" s="2"/>
      <c r="AB88" s="2"/>
    </row>
    <row r="89" ht="12.75" customHeight="1">
      <c r="A89" s="2"/>
      <c r="B89" s="2"/>
      <c r="C89" s="2"/>
      <c r="D89" s="3"/>
      <c r="E89" s="3"/>
      <c r="F89" s="3"/>
      <c r="G89" s="3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2"/>
      <c r="Y89" s="2"/>
      <c r="Z89" s="2"/>
      <c r="AA89" s="2"/>
      <c r="AB89" s="2"/>
    </row>
    <row r="90" ht="12.75" customHeight="1">
      <c r="A90" s="2"/>
      <c r="B90" s="2"/>
      <c r="C90" s="2"/>
      <c r="D90" s="3"/>
      <c r="E90" s="3"/>
      <c r="F90" s="3"/>
      <c r="G90" s="3"/>
      <c r="H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2"/>
      <c r="Y90" s="2"/>
      <c r="Z90" s="2"/>
      <c r="AA90" s="2"/>
      <c r="AB90" s="2"/>
    </row>
    <row r="91" ht="12.75" customHeight="1">
      <c r="A91" s="2"/>
      <c r="B91" s="2"/>
      <c r="C91" s="2"/>
      <c r="D91" s="3"/>
      <c r="E91" s="3"/>
      <c r="F91" s="3"/>
      <c r="G91" s="3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2"/>
      <c r="Y91" s="2"/>
      <c r="Z91" s="2"/>
      <c r="AA91" s="2"/>
      <c r="AB91" s="2"/>
    </row>
    <row r="92" ht="12.75" customHeight="1">
      <c r="A92" s="2"/>
      <c r="B92" s="2"/>
      <c r="C92" s="2"/>
      <c r="D92" s="3"/>
      <c r="E92" s="3"/>
      <c r="F92" s="3"/>
      <c r="G92" s="3"/>
      <c r="H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2"/>
      <c r="Y92" s="2"/>
      <c r="Z92" s="2"/>
      <c r="AA92" s="2"/>
      <c r="AB92" s="2"/>
    </row>
    <row r="93" ht="12.75" customHeight="1">
      <c r="A93" s="2"/>
      <c r="B93" s="2"/>
      <c r="C93" s="2"/>
      <c r="D93" s="3"/>
      <c r="E93" s="3"/>
      <c r="F93" s="3"/>
      <c r="G93" s="3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2"/>
      <c r="Y93" s="2"/>
      <c r="Z93" s="2"/>
      <c r="AA93" s="2"/>
      <c r="AB93" s="2"/>
    </row>
    <row r="94" ht="12.75" customHeight="1">
      <c r="A94" s="2"/>
      <c r="B94" s="2"/>
      <c r="C94" s="2"/>
      <c r="D94" s="3"/>
      <c r="E94" s="3"/>
      <c r="F94" s="3"/>
      <c r="G94" s="3"/>
      <c r="H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2"/>
      <c r="Y94" s="2"/>
      <c r="Z94" s="2"/>
      <c r="AA94" s="2"/>
      <c r="AB94" s="2"/>
    </row>
    <row r="95" ht="12.75" customHeight="1">
      <c r="A95" s="2"/>
      <c r="B95" s="2"/>
      <c r="C95" s="2"/>
      <c r="D95" s="3"/>
      <c r="E95" s="3"/>
      <c r="F95" s="3"/>
      <c r="G95" s="3"/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2"/>
      <c r="Y95" s="2"/>
      <c r="Z95" s="2"/>
      <c r="AA95" s="2"/>
      <c r="AB95" s="2"/>
    </row>
    <row r="96" ht="12.75" customHeight="1">
      <c r="A96" s="2"/>
      <c r="B96" s="2"/>
      <c r="C96" s="2"/>
      <c r="D96" s="3"/>
      <c r="E96" s="3"/>
      <c r="F96" s="3"/>
      <c r="G96" s="3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2"/>
      <c r="Y96" s="2"/>
      <c r="Z96" s="2"/>
      <c r="AA96" s="2"/>
      <c r="AB96" s="2"/>
    </row>
    <row r="97" ht="12.75" customHeight="1">
      <c r="A97" s="2"/>
      <c r="B97" s="2"/>
      <c r="C97" s="2"/>
      <c r="D97" s="3"/>
      <c r="E97" s="3"/>
      <c r="F97" s="3"/>
      <c r="G97" s="3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2"/>
      <c r="Y97" s="2"/>
      <c r="Z97" s="2"/>
      <c r="AA97" s="2"/>
      <c r="AB97" s="2"/>
    </row>
    <row r="98" ht="12.75" customHeight="1">
      <c r="A98" s="2"/>
      <c r="B98" s="2"/>
      <c r="C98" s="2"/>
      <c r="D98" s="3"/>
      <c r="E98" s="3"/>
      <c r="F98" s="3"/>
      <c r="G98" s="3"/>
      <c r="H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2"/>
      <c r="Y98" s="2"/>
      <c r="Z98" s="2"/>
      <c r="AA98" s="2"/>
      <c r="AB98" s="2"/>
    </row>
    <row r="99" ht="12.75" customHeight="1">
      <c r="A99" s="2"/>
      <c r="B99" s="2"/>
      <c r="C99" s="2"/>
      <c r="D99" s="3"/>
      <c r="E99" s="3"/>
      <c r="F99" s="3"/>
      <c r="G99" s="3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2"/>
      <c r="Y99" s="2"/>
      <c r="Z99" s="2"/>
      <c r="AA99" s="2"/>
      <c r="AB99" s="2"/>
    </row>
    <row r="100" ht="12.75" customHeight="1">
      <c r="A100" s="2"/>
      <c r="B100" s="2"/>
      <c r="C100" s="2"/>
      <c r="D100" s="3"/>
      <c r="E100" s="3"/>
      <c r="F100" s="3"/>
      <c r="G100" s="3"/>
      <c r="H100" s="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2"/>
      <c r="Y100" s="2"/>
      <c r="Z100" s="2"/>
      <c r="AA100" s="2"/>
      <c r="AB100" s="2"/>
    </row>
    <row r="101" ht="12.75" customHeight="1">
      <c r="A101" s="2"/>
      <c r="B101" s="2"/>
      <c r="C101" s="2"/>
      <c r="D101" s="3"/>
      <c r="E101" s="3"/>
      <c r="F101" s="3"/>
      <c r="G101" s="3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2"/>
      <c r="Y101" s="2"/>
      <c r="Z101" s="2"/>
      <c r="AA101" s="2"/>
      <c r="AB101" s="2"/>
    </row>
    <row r="102" ht="12.75" customHeight="1">
      <c r="A102" s="2"/>
      <c r="B102" s="2"/>
      <c r="C102" s="2"/>
      <c r="D102" s="3"/>
      <c r="E102" s="3"/>
      <c r="F102" s="3"/>
      <c r="G102" s="3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2"/>
      <c r="Y102" s="2"/>
      <c r="Z102" s="2"/>
      <c r="AA102" s="2"/>
      <c r="AB102" s="2"/>
    </row>
    <row r="103" ht="12.75" customHeight="1">
      <c r="A103" s="2"/>
      <c r="B103" s="2"/>
      <c r="C103" s="2"/>
      <c r="D103" s="3"/>
      <c r="E103" s="3"/>
      <c r="F103" s="3"/>
      <c r="G103" s="3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2"/>
      <c r="Y103" s="2"/>
      <c r="Z103" s="2"/>
      <c r="AA103" s="2"/>
      <c r="AB103" s="2"/>
    </row>
    <row r="104" ht="12.75" customHeight="1">
      <c r="A104" s="2"/>
      <c r="B104" s="2"/>
      <c r="C104" s="2"/>
      <c r="D104" s="3"/>
      <c r="E104" s="3"/>
      <c r="F104" s="3"/>
      <c r="G104" s="3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2"/>
      <c r="Y104" s="2"/>
      <c r="Z104" s="2"/>
      <c r="AA104" s="2"/>
      <c r="AB104" s="2"/>
    </row>
    <row r="105" ht="12.75" customHeight="1">
      <c r="A105" s="2"/>
      <c r="B105" s="2"/>
      <c r="C105" s="2"/>
      <c r="D105" s="3"/>
      <c r="E105" s="3"/>
      <c r="F105" s="3"/>
      <c r="G105" s="3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2"/>
      <c r="Y105" s="2"/>
      <c r="Z105" s="2"/>
      <c r="AA105" s="2"/>
      <c r="AB105" s="2"/>
    </row>
    <row r="106" ht="12.75" customHeight="1">
      <c r="A106" s="2"/>
      <c r="B106" s="2"/>
      <c r="C106" s="2"/>
      <c r="D106" s="3"/>
      <c r="E106" s="3"/>
      <c r="F106" s="3"/>
      <c r="G106" s="3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2"/>
      <c r="Y106" s="2"/>
      <c r="Z106" s="2"/>
      <c r="AA106" s="2"/>
      <c r="AB106" s="2"/>
    </row>
    <row r="107" ht="12.75" customHeight="1">
      <c r="A107" s="2"/>
      <c r="B107" s="2"/>
      <c r="C107" s="2"/>
      <c r="D107" s="3"/>
      <c r="E107" s="3"/>
      <c r="F107" s="3"/>
      <c r="G107" s="3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2"/>
      <c r="Y107" s="2"/>
      <c r="Z107" s="2"/>
      <c r="AA107" s="2"/>
      <c r="AB107" s="2"/>
    </row>
    <row r="108" ht="12.75" customHeight="1">
      <c r="A108" s="2"/>
      <c r="B108" s="2"/>
      <c r="C108" s="2"/>
      <c r="D108" s="3"/>
      <c r="E108" s="3"/>
      <c r="F108" s="3"/>
      <c r="G108" s="3"/>
      <c r="H108" s="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2"/>
      <c r="Y108" s="2"/>
      <c r="Z108" s="2"/>
      <c r="AA108" s="2"/>
      <c r="AB108" s="2"/>
    </row>
    <row r="109" ht="12.75" customHeight="1">
      <c r="A109" s="2"/>
      <c r="B109" s="2"/>
      <c r="C109" s="2"/>
      <c r="D109" s="3"/>
      <c r="E109" s="3"/>
      <c r="F109" s="3"/>
      <c r="G109" s="3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2"/>
      <c r="Y109" s="2"/>
      <c r="Z109" s="2"/>
      <c r="AA109" s="2"/>
      <c r="AB109" s="2"/>
    </row>
    <row r="110" ht="12.75" customHeight="1">
      <c r="A110" s="2"/>
      <c r="B110" s="2"/>
      <c r="C110" s="2"/>
      <c r="D110" s="3"/>
      <c r="E110" s="3"/>
      <c r="F110" s="3"/>
      <c r="G110" s="3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2"/>
      <c r="Y110" s="2"/>
      <c r="Z110" s="2"/>
      <c r="AA110" s="2"/>
      <c r="AB110" s="2"/>
    </row>
    <row r="111" ht="12.75" customHeight="1">
      <c r="A111" s="2"/>
      <c r="B111" s="2"/>
      <c r="C111" s="2"/>
      <c r="D111" s="3"/>
      <c r="E111" s="3"/>
      <c r="F111" s="3"/>
      <c r="G111" s="3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2"/>
      <c r="Y111" s="2"/>
      <c r="Z111" s="2"/>
      <c r="AA111" s="2"/>
      <c r="AB111" s="2"/>
    </row>
    <row r="112" ht="12.75" customHeight="1">
      <c r="A112" s="2"/>
      <c r="B112" s="2"/>
      <c r="C112" s="2"/>
      <c r="D112" s="3"/>
      <c r="E112" s="3"/>
      <c r="F112" s="3"/>
      <c r="G112" s="3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2"/>
      <c r="Y112" s="2"/>
      <c r="Z112" s="2"/>
      <c r="AA112" s="2"/>
      <c r="AB112" s="2"/>
    </row>
    <row r="113" ht="12.75" customHeight="1">
      <c r="A113" s="2"/>
      <c r="B113" s="2"/>
      <c r="C113" s="2"/>
      <c r="D113" s="3"/>
      <c r="E113" s="3"/>
      <c r="F113" s="3"/>
      <c r="G113" s="3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2"/>
      <c r="Y113" s="2"/>
      <c r="Z113" s="2"/>
      <c r="AA113" s="2"/>
      <c r="AB113" s="2"/>
    </row>
    <row r="114" ht="12.75" customHeight="1">
      <c r="A114" s="2"/>
      <c r="B114" s="2"/>
      <c r="C114" s="2"/>
      <c r="D114" s="3"/>
      <c r="E114" s="3"/>
      <c r="F114" s="3"/>
      <c r="G114" s="3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2"/>
      <c r="Y114" s="2"/>
      <c r="Z114" s="2"/>
      <c r="AA114" s="2"/>
      <c r="AB114" s="2"/>
    </row>
    <row r="115" ht="12.75" customHeight="1">
      <c r="A115" s="2"/>
      <c r="B115" s="2"/>
      <c r="C115" s="2"/>
      <c r="D115" s="3"/>
      <c r="E115" s="3"/>
      <c r="F115" s="3"/>
      <c r="G115" s="3"/>
      <c r="H115" s="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2"/>
      <c r="Y115" s="2"/>
      <c r="Z115" s="2"/>
      <c r="AA115" s="2"/>
      <c r="AB115" s="2"/>
    </row>
    <row r="116" ht="12.75" customHeight="1">
      <c r="A116" s="2"/>
      <c r="B116" s="2"/>
      <c r="C116" s="2"/>
      <c r="D116" s="3"/>
      <c r="E116" s="3"/>
      <c r="F116" s="3"/>
      <c r="G116" s="3"/>
      <c r="H116" s="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2"/>
      <c r="Y116" s="2"/>
      <c r="Z116" s="2"/>
      <c r="AA116" s="2"/>
      <c r="AB116" s="2"/>
    </row>
    <row r="117" ht="12.75" customHeight="1">
      <c r="A117" s="2"/>
      <c r="B117" s="2"/>
      <c r="C117" s="2"/>
      <c r="D117" s="3"/>
      <c r="E117" s="3"/>
      <c r="F117" s="3"/>
      <c r="G117" s="3"/>
      <c r="H117" s="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2"/>
      <c r="Y117" s="2"/>
      <c r="Z117" s="2"/>
      <c r="AA117" s="2"/>
      <c r="AB117" s="2"/>
    </row>
    <row r="118" ht="12.75" customHeight="1">
      <c r="A118" s="2"/>
      <c r="B118" s="2"/>
      <c r="C118" s="2"/>
      <c r="D118" s="3"/>
      <c r="E118" s="3"/>
      <c r="F118" s="3"/>
      <c r="G118" s="3"/>
      <c r="H118" s="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2"/>
      <c r="Y118" s="2"/>
      <c r="Z118" s="2"/>
      <c r="AA118" s="2"/>
      <c r="AB118" s="2"/>
    </row>
    <row r="119" ht="12.75" customHeight="1">
      <c r="A119" s="2"/>
      <c r="B119" s="2"/>
      <c r="C119" s="2"/>
      <c r="D119" s="3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2"/>
      <c r="Y119" s="2"/>
      <c r="Z119" s="2"/>
      <c r="AA119" s="2"/>
      <c r="AB119" s="2"/>
    </row>
    <row r="120" ht="12.75" customHeight="1">
      <c r="A120" s="2"/>
      <c r="B120" s="2"/>
      <c r="C120" s="2"/>
      <c r="D120" s="3"/>
      <c r="E120" s="3"/>
      <c r="F120" s="3"/>
      <c r="G120" s="3"/>
      <c r="H120" s="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2"/>
      <c r="Y120" s="2"/>
      <c r="Z120" s="2"/>
      <c r="AA120" s="2"/>
      <c r="AB120" s="2"/>
    </row>
    <row r="121" ht="12.75" customHeight="1">
      <c r="A121" s="2"/>
      <c r="B121" s="2"/>
      <c r="C121" s="2"/>
      <c r="D121" s="3"/>
      <c r="E121" s="3"/>
      <c r="F121" s="3"/>
      <c r="G121" s="3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2"/>
      <c r="Y121" s="2"/>
      <c r="Z121" s="2"/>
      <c r="AA121" s="2"/>
      <c r="AB121" s="2"/>
    </row>
    <row r="122" ht="12.75" customHeight="1">
      <c r="A122" s="2"/>
      <c r="B122" s="2"/>
      <c r="C122" s="2"/>
      <c r="D122" s="3"/>
      <c r="E122" s="3"/>
      <c r="F122" s="3"/>
      <c r="G122" s="3"/>
      <c r="H122" s="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2"/>
      <c r="Y122" s="2"/>
      <c r="Z122" s="2"/>
      <c r="AA122" s="2"/>
      <c r="AB122" s="2"/>
    </row>
    <row r="123" ht="12.75" customHeight="1">
      <c r="A123" s="2"/>
      <c r="B123" s="2"/>
      <c r="C123" s="2"/>
      <c r="D123" s="3"/>
      <c r="E123" s="3"/>
      <c r="F123" s="3"/>
      <c r="G123" s="3"/>
      <c r="H123" s="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2"/>
      <c r="Y123" s="2"/>
      <c r="Z123" s="2"/>
      <c r="AA123" s="2"/>
      <c r="AB123" s="2"/>
    </row>
    <row r="124" ht="12.75" customHeight="1">
      <c r="A124" s="2"/>
      <c r="B124" s="2"/>
      <c r="C124" s="2"/>
      <c r="D124" s="3"/>
      <c r="E124" s="3"/>
      <c r="F124" s="3"/>
      <c r="G124" s="3"/>
      <c r="H124" s="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2"/>
      <c r="Y124" s="2"/>
      <c r="Z124" s="2"/>
      <c r="AA124" s="2"/>
      <c r="AB124" s="2"/>
    </row>
    <row r="125" ht="12.75" customHeight="1">
      <c r="A125" s="2"/>
      <c r="B125" s="2"/>
      <c r="C125" s="2"/>
      <c r="D125" s="3"/>
      <c r="E125" s="3"/>
      <c r="F125" s="3"/>
      <c r="G125" s="3"/>
      <c r="H125" s="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2"/>
      <c r="Y125" s="2"/>
      <c r="Z125" s="2"/>
      <c r="AA125" s="2"/>
      <c r="AB125" s="2"/>
    </row>
    <row r="126" ht="12.75" customHeight="1">
      <c r="A126" s="2"/>
      <c r="B126" s="2"/>
      <c r="C126" s="2"/>
      <c r="D126" s="3"/>
      <c r="E126" s="3"/>
      <c r="F126" s="3"/>
      <c r="G126" s="3"/>
      <c r="H126" s="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2"/>
      <c r="Y126" s="2"/>
      <c r="Z126" s="2"/>
      <c r="AA126" s="2"/>
      <c r="AB126" s="2"/>
    </row>
    <row r="127" ht="12.75" customHeight="1">
      <c r="A127" s="2"/>
      <c r="B127" s="2"/>
      <c r="C127" s="2"/>
      <c r="D127" s="3"/>
      <c r="E127" s="3"/>
      <c r="F127" s="3"/>
      <c r="G127" s="3"/>
      <c r="H127" s="4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2"/>
      <c r="Y127" s="2"/>
      <c r="Z127" s="2"/>
      <c r="AA127" s="2"/>
      <c r="AB127" s="2"/>
    </row>
    <row r="128" ht="12.75" customHeight="1">
      <c r="A128" s="2"/>
      <c r="B128" s="2"/>
      <c r="C128" s="2"/>
      <c r="D128" s="3"/>
      <c r="E128" s="3"/>
      <c r="F128" s="3"/>
      <c r="G128" s="3"/>
      <c r="H128" s="4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2"/>
      <c r="Y128" s="2"/>
      <c r="Z128" s="2"/>
      <c r="AA128" s="2"/>
      <c r="AB128" s="2"/>
    </row>
    <row r="129" ht="12.75" customHeight="1">
      <c r="A129" s="2"/>
      <c r="B129" s="2"/>
      <c r="C129" s="2"/>
      <c r="D129" s="3"/>
      <c r="E129" s="3"/>
      <c r="F129" s="3"/>
      <c r="G129" s="3"/>
      <c r="H129" s="4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2"/>
      <c r="Y129" s="2"/>
      <c r="Z129" s="2"/>
      <c r="AA129" s="2"/>
      <c r="AB129" s="2"/>
    </row>
    <row r="130" ht="12.75" customHeight="1">
      <c r="A130" s="2"/>
      <c r="B130" s="2"/>
      <c r="C130" s="2"/>
      <c r="D130" s="3"/>
      <c r="E130" s="3"/>
      <c r="F130" s="3"/>
      <c r="G130" s="3"/>
      <c r="H130" s="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2"/>
      <c r="Y130" s="2"/>
      <c r="Z130" s="2"/>
      <c r="AA130" s="2"/>
      <c r="AB130" s="2"/>
    </row>
    <row r="131" ht="12.75" customHeight="1">
      <c r="A131" s="2"/>
      <c r="B131" s="2"/>
      <c r="C131" s="2"/>
      <c r="D131" s="3"/>
      <c r="E131" s="3"/>
      <c r="F131" s="3"/>
      <c r="G131" s="3"/>
      <c r="H131" s="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2"/>
      <c r="Y131" s="2"/>
      <c r="Z131" s="2"/>
      <c r="AA131" s="2"/>
      <c r="AB131" s="2"/>
    </row>
    <row r="132" ht="12.75" customHeight="1">
      <c r="A132" s="2"/>
      <c r="B132" s="2"/>
      <c r="C132" s="2"/>
      <c r="D132" s="3"/>
      <c r="E132" s="3"/>
      <c r="F132" s="3"/>
      <c r="G132" s="3"/>
      <c r="H132" s="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2"/>
      <c r="Y132" s="2"/>
      <c r="Z132" s="2"/>
      <c r="AA132" s="2"/>
      <c r="AB132" s="2"/>
    </row>
    <row r="133" ht="12.75" customHeight="1">
      <c r="A133" s="2"/>
      <c r="B133" s="2"/>
      <c r="C133" s="2"/>
      <c r="D133" s="3"/>
      <c r="E133" s="3"/>
      <c r="F133" s="3"/>
      <c r="G133" s="3"/>
      <c r="H133" s="4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2"/>
      <c r="Y133" s="2"/>
      <c r="Z133" s="2"/>
      <c r="AA133" s="2"/>
      <c r="AB133" s="2"/>
    </row>
    <row r="134" ht="12.75" customHeight="1">
      <c r="A134" s="2"/>
      <c r="B134" s="2"/>
      <c r="C134" s="2"/>
      <c r="D134" s="3"/>
      <c r="E134" s="3"/>
      <c r="F134" s="3"/>
      <c r="G134" s="3"/>
      <c r="H134" s="4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2"/>
      <c r="Y134" s="2"/>
      <c r="Z134" s="2"/>
      <c r="AA134" s="2"/>
      <c r="AB134" s="2"/>
    </row>
    <row r="135" ht="12.75" customHeight="1">
      <c r="A135" s="2"/>
      <c r="B135" s="2"/>
      <c r="C135" s="2"/>
      <c r="D135" s="3"/>
      <c r="E135" s="3"/>
      <c r="F135" s="3"/>
      <c r="G135" s="3"/>
      <c r="H135" s="4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2"/>
      <c r="Y135" s="2"/>
      <c r="Z135" s="2"/>
      <c r="AA135" s="2"/>
      <c r="AB135" s="2"/>
    </row>
    <row r="136" ht="12.75" customHeight="1">
      <c r="A136" s="2"/>
      <c r="B136" s="2"/>
      <c r="C136" s="2"/>
      <c r="D136" s="3"/>
      <c r="E136" s="3"/>
      <c r="F136" s="3"/>
      <c r="G136" s="3"/>
      <c r="H136" s="4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2"/>
      <c r="Y136" s="2"/>
      <c r="Z136" s="2"/>
      <c r="AA136" s="2"/>
      <c r="AB136" s="2"/>
    </row>
    <row r="137" ht="12.75" customHeight="1">
      <c r="A137" s="2"/>
      <c r="B137" s="2"/>
      <c r="C137" s="2"/>
      <c r="D137" s="3"/>
      <c r="E137" s="3"/>
      <c r="F137" s="3"/>
      <c r="G137" s="3"/>
      <c r="H137" s="4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2"/>
      <c r="Y137" s="2"/>
      <c r="Z137" s="2"/>
      <c r="AA137" s="2"/>
      <c r="AB137" s="2"/>
    </row>
    <row r="138" ht="12.75" customHeight="1">
      <c r="A138" s="2"/>
      <c r="B138" s="2"/>
      <c r="C138" s="2"/>
      <c r="D138" s="3"/>
      <c r="E138" s="3"/>
      <c r="F138" s="3"/>
      <c r="G138" s="3"/>
      <c r="H138" s="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2"/>
      <c r="Y138" s="2"/>
      <c r="Z138" s="2"/>
      <c r="AA138" s="2"/>
      <c r="AB138" s="2"/>
    </row>
    <row r="139" ht="12.75" customHeight="1">
      <c r="A139" s="2"/>
      <c r="B139" s="2"/>
      <c r="C139" s="2"/>
      <c r="D139" s="3"/>
      <c r="E139" s="3"/>
      <c r="F139" s="3"/>
      <c r="G139" s="3"/>
      <c r="H139" s="4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2"/>
      <c r="Y139" s="2"/>
      <c r="Z139" s="2"/>
      <c r="AA139" s="2"/>
      <c r="AB139" s="2"/>
    </row>
    <row r="140" ht="12.75" customHeight="1">
      <c r="A140" s="2"/>
      <c r="B140" s="2"/>
      <c r="C140" s="2"/>
      <c r="D140" s="3"/>
      <c r="E140" s="3"/>
      <c r="F140" s="3"/>
      <c r="G140" s="3"/>
      <c r="H140" s="4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2"/>
      <c r="Y140" s="2"/>
      <c r="Z140" s="2"/>
      <c r="AA140" s="2"/>
      <c r="AB140" s="2"/>
    </row>
    <row r="141" ht="12.75" customHeight="1">
      <c r="A141" s="2"/>
      <c r="B141" s="2"/>
      <c r="C141" s="2"/>
      <c r="D141" s="3"/>
      <c r="E141" s="3"/>
      <c r="F141" s="3"/>
      <c r="G141" s="3"/>
      <c r="H141" s="4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2"/>
      <c r="Y141" s="2"/>
      <c r="Z141" s="2"/>
      <c r="AA141" s="2"/>
      <c r="AB141" s="2"/>
    </row>
    <row r="142" ht="12.75" customHeight="1">
      <c r="A142" s="2"/>
      <c r="B142" s="2"/>
      <c r="C142" s="2"/>
      <c r="D142" s="3"/>
      <c r="E142" s="3"/>
      <c r="F142" s="3"/>
      <c r="G142" s="3"/>
      <c r="H142" s="4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2"/>
      <c r="Y142" s="2"/>
      <c r="Z142" s="2"/>
      <c r="AA142" s="2"/>
      <c r="AB142" s="2"/>
    </row>
    <row r="143" ht="12.75" customHeight="1">
      <c r="A143" s="2"/>
      <c r="B143" s="2"/>
      <c r="C143" s="2"/>
      <c r="D143" s="3"/>
      <c r="E143" s="3"/>
      <c r="F143" s="3"/>
      <c r="G143" s="3"/>
      <c r="H143" s="4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2"/>
      <c r="Y143" s="2"/>
      <c r="Z143" s="2"/>
      <c r="AA143" s="2"/>
      <c r="AB143" s="2"/>
    </row>
    <row r="144" ht="12.75" customHeight="1">
      <c r="A144" s="2"/>
      <c r="B144" s="2"/>
      <c r="C144" s="2"/>
      <c r="D144" s="3"/>
      <c r="E144" s="3"/>
      <c r="F144" s="3"/>
      <c r="G144" s="3"/>
      <c r="H144" s="4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2"/>
      <c r="Y144" s="2"/>
      <c r="Z144" s="2"/>
      <c r="AA144" s="2"/>
      <c r="AB144" s="2"/>
    </row>
    <row r="145" ht="12.75" customHeight="1">
      <c r="A145" s="2"/>
      <c r="B145" s="2"/>
      <c r="C145" s="2"/>
      <c r="D145" s="3"/>
      <c r="E145" s="3"/>
      <c r="F145" s="3"/>
      <c r="G145" s="3"/>
      <c r="H145" s="4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2"/>
      <c r="Y145" s="2"/>
      <c r="Z145" s="2"/>
      <c r="AA145" s="2"/>
      <c r="AB145" s="2"/>
    </row>
    <row r="146" ht="12.75" customHeight="1">
      <c r="A146" s="2"/>
      <c r="B146" s="2"/>
      <c r="C146" s="2"/>
      <c r="D146" s="3"/>
      <c r="E146" s="3"/>
      <c r="F146" s="3"/>
      <c r="G146" s="3"/>
      <c r="H146" s="4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2"/>
      <c r="Y146" s="2"/>
      <c r="Z146" s="2"/>
      <c r="AA146" s="2"/>
      <c r="AB146" s="2"/>
    </row>
    <row r="147" ht="12.75" customHeight="1">
      <c r="A147" s="2"/>
      <c r="B147" s="2"/>
      <c r="C147" s="2"/>
      <c r="D147" s="3"/>
      <c r="E147" s="3"/>
      <c r="F147" s="3"/>
      <c r="G147" s="3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2"/>
      <c r="Y147" s="2"/>
      <c r="Z147" s="2"/>
      <c r="AA147" s="2"/>
      <c r="AB147" s="2"/>
    </row>
    <row r="148" ht="12.75" customHeight="1">
      <c r="A148" s="2"/>
      <c r="B148" s="2"/>
      <c r="C148" s="2"/>
      <c r="D148" s="3"/>
      <c r="E148" s="3"/>
      <c r="F148" s="3"/>
      <c r="G148" s="3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2"/>
      <c r="Y148" s="2"/>
      <c r="Z148" s="2"/>
      <c r="AA148" s="2"/>
      <c r="AB148" s="2"/>
    </row>
    <row r="149" ht="12.75" customHeight="1">
      <c r="A149" s="2"/>
      <c r="B149" s="2"/>
      <c r="C149" s="2"/>
      <c r="D149" s="3"/>
      <c r="E149" s="3"/>
      <c r="F149" s="3"/>
      <c r="G149" s="3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2"/>
      <c r="Y149" s="2"/>
      <c r="Z149" s="2"/>
      <c r="AA149" s="2"/>
      <c r="AB149" s="2"/>
    </row>
    <row r="150" ht="12.75" customHeight="1">
      <c r="A150" s="2"/>
      <c r="B150" s="2"/>
      <c r="C150" s="2"/>
      <c r="D150" s="3"/>
      <c r="E150" s="3"/>
      <c r="F150" s="3"/>
      <c r="G150" s="3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2"/>
      <c r="Y150" s="2"/>
      <c r="Z150" s="2"/>
      <c r="AA150" s="2"/>
      <c r="AB150" s="2"/>
    </row>
    <row r="151" ht="12.75" customHeight="1">
      <c r="A151" s="2"/>
      <c r="B151" s="2"/>
      <c r="C151" s="2"/>
      <c r="D151" s="3"/>
      <c r="E151" s="3"/>
      <c r="F151" s="3"/>
      <c r="G151" s="3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2"/>
      <c r="Y151" s="2"/>
      <c r="Z151" s="2"/>
      <c r="AA151" s="2"/>
      <c r="AB151" s="2"/>
    </row>
    <row r="152" ht="12.75" customHeight="1">
      <c r="A152" s="2"/>
      <c r="B152" s="2"/>
      <c r="C152" s="2"/>
      <c r="D152" s="3"/>
      <c r="E152" s="3"/>
      <c r="F152" s="3"/>
      <c r="G152" s="3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2"/>
      <c r="Y152" s="2"/>
      <c r="Z152" s="2"/>
      <c r="AA152" s="2"/>
      <c r="AB152" s="2"/>
    </row>
    <row r="153" ht="12.75" customHeight="1">
      <c r="A153" s="2"/>
      <c r="B153" s="2"/>
      <c r="C153" s="2"/>
      <c r="D153" s="3"/>
      <c r="E153" s="3"/>
      <c r="F153" s="3"/>
      <c r="G153" s="3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2"/>
      <c r="Y153" s="2"/>
      <c r="Z153" s="2"/>
      <c r="AA153" s="2"/>
      <c r="AB153" s="2"/>
    </row>
    <row r="154" ht="12.75" customHeight="1">
      <c r="A154" s="2"/>
      <c r="B154" s="2"/>
      <c r="C154" s="2"/>
      <c r="D154" s="3"/>
      <c r="E154" s="3"/>
      <c r="F154" s="3"/>
      <c r="G154" s="3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2"/>
      <c r="Y154" s="2"/>
      <c r="Z154" s="2"/>
      <c r="AA154" s="2"/>
      <c r="AB154" s="2"/>
    </row>
    <row r="155" ht="12.75" customHeight="1">
      <c r="A155" s="2"/>
      <c r="B155" s="2"/>
      <c r="C155" s="2"/>
      <c r="D155" s="3"/>
      <c r="E155" s="3"/>
      <c r="F155" s="3"/>
      <c r="G155" s="3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2"/>
      <c r="Y155" s="2"/>
      <c r="Z155" s="2"/>
      <c r="AA155" s="2"/>
      <c r="AB155" s="2"/>
    </row>
    <row r="156" ht="12.75" customHeight="1">
      <c r="A156" s="2"/>
      <c r="B156" s="2"/>
      <c r="C156" s="2"/>
      <c r="D156" s="3"/>
      <c r="E156" s="3"/>
      <c r="F156" s="3"/>
      <c r="G156" s="3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2"/>
      <c r="Y156" s="2"/>
      <c r="Z156" s="2"/>
      <c r="AA156" s="2"/>
      <c r="AB156" s="2"/>
    </row>
    <row r="157" ht="12.75" customHeight="1">
      <c r="A157" s="2"/>
      <c r="B157" s="2"/>
      <c r="C157" s="2"/>
      <c r="D157" s="3"/>
      <c r="E157" s="3"/>
      <c r="F157" s="3"/>
      <c r="G157" s="3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2"/>
      <c r="Y157" s="2"/>
      <c r="Z157" s="2"/>
      <c r="AA157" s="2"/>
      <c r="AB157" s="2"/>
    </row>
    <row r="158" ht="12.75" customHeight="1">
      <c r="A158" s="2"/>
      <c r="B158" s="2"/>
      <c r="C158" s="2"/>
      <c r="D158" s="3"/>
      <c r="E158" s="3"/>
      <c r="F158" s="3"/>
      <c r="G158" s="3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2"/>
      <c r="Y158" s="2"/>
      <c r="Z158" s="2"/>
      <c r="AA158" s="2"/>
      <c r="AB158" s="2"/>
    </row>
    <row r="159" ht="12.75" customHeight="1">
      <c r="A159" s="2"/>
      <c r="B159" s="2"/>
      <c r="C159" s="2"/>
      <c r="D159" s="3"/>
      <c r="E159" s="3"/>
      <c r="F159" s="3"/>
      <c r="G159" s="3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2"/>
      <c r="Y159" s="2"/>
      <c r="Z159" s="2"/>
      <c r="AA159" s="2"/>
      <c r="AB159" s="2"/>
    </row>
    <row r="160" ht="12.75" customHeight="1">
      <c r="A160" s="2"/>
      <c r="B160" s="2"/>
      <c r="C160" s="2"/>
      <c r="D160" s="3"/>
      <c r="E160" s="3"/>
      <c r="F160" s="3"/>
      <c r="G160" s="3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2"/>
      <c r="Y160" s="2"/>
      <c r="Z160" s="2"/>
      <c r="AA160" s="2"/>
      <c r="AB160" s="2"/>
    </row>
    <row r="161" ht="12.75" customHeight="1">
      <c r="A161" s="2"/>
      <c r="B161" s="2"/>
      <c r="C161" s="2"/>
      <c r="D161" s="3"/>
      <c r="E161" s="3"/>
      <c r="F161" s="3"/>
      <c r="G161" s="3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2"/>
      <c r="Y161" s="2"/>
      <c r="Z161" s="2"/>
      <c r="AA161" s="2"/>
      <c r="AB161" s="2"/>
    </row>
    <row r="162" ht="12.75" customHeight="1">
      <c r="A162" s="2"/>
      <c r="B162" s="2"/>
      <c r="C162" s="2"/>
      <c r="D162" s="3"/>
      <c r="E162" s="3"/>
      <c r="F162" s="3"/>
      <c r="G162" s="3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2"/>
      <c r="Y162" s="2"/>
      <c r="Z162" s="2"/>
      <c r="AA162" s="2"/>
      <c r="AB162" s="2"/>
    </row>
    <row r="163" ht="12.75" customHeight="1">
      <c r="A163" s="2"/>
      <c r="B163" s="2"/>
      <c r="C163" s="2"/>
      <c r="D163" s="3"/>
      <c r="E163" s="3"/>
      <c r="F163" s="3"/>
      <c r="G163" s="3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2"/>
      <c r="Y163" s="2"/>
      <c r="Z163" s="2"/>
      <c r="AA163" s="2"/>
      <c r="AB163" s="2"/>
    </row>
    <row r="164" ht="12.75" customHeight="1">
      <c r="A164" s="2"/>
      <c r="B164" s="2"/>
      <c r="C164" s="2"/>
      <c r="D164" s="3"/>
      <c r="E164" s="3"/>
      <c r="F164" s="3"/>
      <c r="G164" s="3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2"/>
      <c r="Y164" s="2"/>
      <c r="Z164" s="2"/>
      <c r="AA164" s="2"/>
      <c r="AB164" s="2"/>
    </row>
    <row r="165" ht="12.75" customHeight="1">
      <c r="A165" s="2"/>
      <c r="B165" s="2"/>
      <c r="C165" s="2"/>
      <c r="D165" s="3"/>
      <c r="E165" s="3"/>
      <c r="F165" s="3"/>
      <c r="G165" s="3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2"/>
      <c r="Y165" s="2"/>
      <c r="Z165" s="2"/>
      <c r="AA165" s="2"/>
      <c r="AB165" s="2"/>
    </row>
    <row r="166" ht="12.75" customHeight="1">
      <c r="A166" s="2"/>
      <c r="B166" s="2"/>
      <c r="C166" s="2"/>
      <c r="D166" s="3"/>
      <c r="E166" s="3"/>
      <c r="F166" s="3"/>
      <c r="G166" s="3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2"/>
      <c r="Y166" s="2"/>
      <c r="Z166" s="2"/>
      <c r="AA166" s="2"/>
      <c r="AB166" s="2"/>
    </row>
    <row r="167" ht="12.75" customHeight="1">
      <c r="A167" s="2"/>
      <c r="B167" s="2"/>
      <c r="C167" s="2"/>
      <c r="D167" s="3"/>
      <c r="E167" s="3"/>
      <c r="F167" s="3"/>
      <c r="G167" s="3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2"/>
      <c r="Y167" s="2"/>
      <c r="Z167" s="2"/>
      <c r="AA167" s="2"/>
      <c r="AB167" s="2"/>
    </row>
    <row r="168" ht="12.75" customHeight="1">
      <c r="A168" s="2"/>
      <c r="B168" s="2"/>
      <c r="C168" s="2"/>
      <c r="D168" s="3"/>
      <c r="E168" s="3"/>
      <c r="F168" s="3"/>
      <c r="G168" s="3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2"/>
      <c r="Y168" s="2"/>
      <c r="Z168" s="2"/>
      <c r="AA168" s="2"/>
      <c r="AB168" s="2"/>
    </row>
    <row r="169" ht="12.75" customHeight="1">
      <c r="A169" s="2"/>
      <c r="B169" s="2"/>
      <c r="C169" s="2"/>
      <c r="D169" s="3"/>
      <c r="E169" s="3"/>
      <c r="F169" s="3"/>
      <c r="G169" s="3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2"/>
      <c r="Y169" s="2"/>
      <c r="Z169" s="2"/>
      <c r="AA169" s="2"/>
      <c r="AB169" s="2"/>
    </row>
    <row r="170" ht="12.75" customHeight="1">
      <c r="A170" s="2"/>
      <c r="B170" s="2"/>
      <c r="C170" s="2"/>
      <c r="D170" s="3"/>
      <c r="E170" s="3"/>
      <c r="F170" s="3"/>
      <c r="G170" s="3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2"/>
      <c r="Y170" s="2"/>
      <c r="Z170" s="2"/>
      <c r="AA170" s="2"/>
      <c r="AB170" s="2"/>
    </row>
    <row r="171" ht="12.75" customHeight="1">
      <c r="A171" s="2"/>
      <c r="B171" s="2"/>
      <c r="C171" s="2"/>
      <c r="D171" s="3"/>
      <c r="E171" s="3"/>
      <c r="F171" s="3"/>
      <c r="G171" s="3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2"/>
      <c r="Y171" s="2"/>
      <c r="Z171" s="2"/>
      <c r="AA171" s="2"/>
      <c r="AB171" s="2"/>
    </row>
    <row r="172" ht="12.75" customHeight="1">
      <c r="A172" s="2"/>
      <c r="B172" s="2"/>
      <c r="C172" s="2"/>
      <c r="D172" s="3"/>
      <c r="E172" s="3"/>
      <c r="F172" s="3"/>
      <c r="G172" s="3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"/>
      <c r="Y172" s="2"/>
      <c r="Z172" s="2"/>
      <c r="AA172" s="2"/>
      <c r="AB172" s="2"/>
    </row>
    <row r="173" ht="12.75" customHeight="1">
      <c r="A173" s="2"/>
      <c r="B173" s="2"/>
      <c r="C173" s="2"/>
      <c r="D173" s="3"/>
      <c r="E173" s="3"/>
      <c r="F173" s="3"/>
      <c r="G173" s="3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"/>
      <c r="Y173" s="2"/>
      <c r="Z173" s="2"/>
      <c r="AA173" s="2"/>
      <c r="AB173" s="2"/>
    </row>
    <row r="174" ht="12.75" customHeight="1">
      <c r="A174" s="2"/>
      <c r="B174" s="2"/>
      <c r="C174" s="2"/>
      <c r="D174" s="3"/>
      <c r="E174" s="3"/>
      <c r="F174" s="3"/>
      <c r="G174" s="3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"/>
      <c r="Y174" s="2"/>
      <c r="Z174" s="2"/>
      <c r="AA174" s="2"/>
      <c r="AB174" s="2"/>
    </row>
    <row r="175" ht="12.75" customHeight="1">
      <c r="A175" s="2"/>
      <c r="B175" s="2"/>
      <c r="C175" s="2"/>
      <c r="D175" s="3"/>
      <c r="E175" s="3"/>
      <c r="F175" s="3"/>
      <c r="G175" s="3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"/>
      <c r="Y175" s="2"/>
      <c r="Z175" s="2"/>
      <c r="AA175" s="2"/>
      <c r="AB175" s="2"/>
    </row>
    <row r="176" ht="12.75" customHeight="1">
      <c r="A176" s="2"/>
      <c r="B176" s="2"/>
      <c r="C176" s="2"/>
      <c r="D176" s="3"/>
      <c r="E176" s="3"/>
      <c r="F176" s="3"/>
      <c r="G176" s="3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"/>
      <c r="Y176" s="2"/>
      <c r="Z176" s="2"/>
      <c r="AA176" s="2"/>
      <c r="AB176" s="2"/>
    </row>
    <row r="177" ht="12.75" customHeight="1">
      <c r="A177" s="2"/>
      <c r="B177" s="2"/>
      <c r="C177" s="2"/>
      <c r="D177" s="3"/>
      <c r="E177" s="3"/>
      <c r="F177" s="3"/>
      <c r="G177" s="3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"/>
      <c r="Y177" s="2"/>
      <c r="Z177" s="2"/>
      <c r="AA177" s="2"/>
      <c r="AB177" s="2"/>
    </row>
    <row r="178" ht="12.75" customHeight="1">
      <c r="A178" s="2"/>
      <c r="B178" s="2"/>
      <c r="C178" s="2"/>
      <c r="D178" s="3"/>
      <c r="E178" s="3"/>
      <c r="F178" s="3"/>
      <c r="G178" s="3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2"/>
      <c r="Y178" s="2"/>
      <c r="Z178" s="2"/>
      <c r="AA178" s="2"/>
      <c r="AB178" s="2"/>
    </row>
    <row r="179" ht="12.75" customHeight="1">
      <c r="A179" s="2"/>
      <c r="B179" s="2"/>
      <c r="C179" s="2"/>
      <c r="D179" s="3"/>
      <c r="E179" s="3"/>
      <c r="F179" s="3"/>
      <c r="G179" s="3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2"/>
      <c r="Y179" s="2"/>
      <c r="Z179" s="2"/>
      <c r="AA179" s="2"/>
      <c r="AB179" s="2"/>
    </row>
    <row r="180" ht="12.75" customHeight="1">
      <c r="A180" s="2"/>
      <c r="B180" s="2"/>
      <c r="C180" s="2"/>
      <c r="D180" s="3"/>
      <c r="E180" s="3"/>
      <c r="F180" s="3"/>
      <c r="G180" s="3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2"/>
      <c r="Y180" s="2"/>
      <c r="Z180" s="2"/>
      <c r="AA180" s="2"/>
      <c r="AB180" s="2"/>
    </row>
    <row r="181" ht="12.75" customHeight="1">
      <c r="A181" s="2"/>
      <c r="B181" s="2"/>
      <c r="C181" s="2"/>
      <c r="D181" s="3"/>
      <c r="E181" s="3"/>
      <c r="F181" s="3"/>
      <c r="G181" s="3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2"/>
      <c r="Y181" s="2"/>
      <c r="Z181" s="2"/>
      <c r="AA181" s="2"/>
      <c r="AB181" s="2"/>
    </row>
    <row r="182" ht="12.75" customHeight="1">
      <c r="A182" s="2"/>
      <c r="B182" s="2"/>
      <c r="C182" s="2"/>
      <c r="D182" s="3"/>
      <c r="E182" s="3"/>
      <c r="F182" s="3"/>
      <c r="G182" s="3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2"/>
      <c r="Y182" s="2"/>
      <c r="Z182" s="2"/>
      <c r="AA182" s="2"/>
      <c r="AB182" s="2"/>
    </row>
    <row r="183" ht="12.75" customHeight="1">
      <c r="A183" s="2"/>
      <c r="B183" s="2"/>
      <c r="C183" s="2"/>
      <c r="D183" s="3"/>
      <c r="E183" s="3"/>
      <c r="F183" s="3"/>
      <c r="G183" s="3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2"/>
      <c r="Y183" s="2"/>
      <c r="Z183" s="2"/>
      <c r="AA183" s="2"/>
      <c r="AB183" s="2"/>
    </row>
    <row r="184" ht="12.75" customHeight="1">
      <c r="A184" s="2"/>
      <c r="B184" s="2"/>
      <c r="C184" s="2"/>
      <c r="D184" s="3"/>
      <c r="E184" s="3"/>
      <c r="F184" s="3"/>
      <c r="G184" s="3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2"/>
      <c r="Y184" s="2"/>
      <c r="Z184" s="2"/>
      <c r="AA184" s="2"/>
      <c r="AB184" s="2"/>
    </row>
    <row r="185" ht="12.75" customHeight="1">
      <c r="A185" s="2"/>
      <c r="B185" s="2"/>
      <c r="C185" s="2"/>
      <c r="D185" s="3"/>
      <c r="E185" s="3"/>
      <c r="F185" s="3"/>
      <c r="G185" s="3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2"/>
      <c r="Y185" s="2"/>
      <c r="Z185" s="2"/>
      <c r="AA185" s="2"/>
      <c r="AB185" s="2"/>
    </row>
    <row r="186" ht="12.75" customHeight="1">
      <c r="A186" s="2"/>
      <c r="B186" s="2"/>
      <c r="C186" s="2"/>
      <c r="D186" s="3"/>
      <c r="E186" s="3"/>
      <c r="F186" s="3"/>
      <c r="G186" s="3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2"/>
      <c r="Y186" s="2"/>
      <c r="Z186" s="2"/>
      <c r="AA186" s="2"/>
      <c r="AB186" s="2"/>
    </row>
    <row r="187" ht="12.75" customHeight="1">
      <c r="A187" s="2"/>
      <c r="B187" s="2"/>
      <c r="C187" s="2"/>
      <c r="D187" s="3"/>
      <c r="E187" s="3"/>
      <c r="F187" s="3"/>
      <c r="G187" s="3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2"/>
      <c r="Y187" s="2"/>
      <c r="Z187" s="2"/>
      <c r="AA187" s="2"/>
      <c r="AB187" s="2"/>
    </row>
    <row r="188" ht="12.75" customHeight="1">
      <c r="A188" s="2"/>
      <c r="B188" s="2"/>
      <c r="C188" s="2"/>
      <c r="D188" s="3"/>
      <c r="E188" s="3"/>
      <c r="F188" s="3"/>
      <c r="G188" s="3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2"/>
      <c r="Y188" s="2"/>
      <c r="Z188" s="2"/>
      <c r="AA188" s="2"/>
      <c r="AB188" s="2"/>
    </row>
    <row r="189" ht="12.75" customHeight="1">
      <c r="A189" s="2"/>
      <c r="B189" s="2"/>
      <c r="C189" s="2"/>
      <c r="D189" s="3"/>
      <c r="E189" s="3"/>
      <c r="F189" s="3"/>
      <c r="G189" s="3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2"/>
      <c r="Y189" s="2"/>
      <c r="Z189" s="2"/>
      <c r="AA189" s="2"/>
      <c r="AB189" s="2"/>
    </row>
    <row r="190" ht="12.75" customHeight="1">
      <c r="A190" s="2"/>
      <c r="B190" s="2"/>
      <c r="C190" s="2"/>
      <c r="D190" s="3"/>
      <c r="E190" s="3"/>
      <c r="F190" s="3"/>
      <c r="G190" s="3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2"/>
      <c r="Y190" s="2"/>
      <c r="Z190" s="2"/>
      <c r="AA190" s="2"/>
      <c r="AB190" s="2"/>
    </row>
    <row r="191" ht="12.75" customHeight="1">
      <c r="A191" s="2"/>
      <c r="B191" s="2"/>
      <c r="C191" s="2"/>
      <c r="D191" s="3"/>
      <c r="E191" s="3"/>
      <c r="F191" s="3"/>
      <c r="G191" s="3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2"/>
      <c r="Y191" s="2"/>
      <c r="Z191" s="2"/>
      <c r="AA191" s="2"/>
      <c r="AB191" s="2"/>
    </row>
    <row r="192" ht="12.75" customHeight="1">
      <c r="A192" s="2"/>
      <c r="B192" s="2"/>
      <c r="C192" s="2"/>
      <c r="D192" s="3"/>
      <c r="E192" s="3"/>
      <c r="F192" s="3"/>
      <c r="G192" s="3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2"/>
      <c r="Y192" s="2"/>
      <c r="Z192" s="2"/>
      <c r="AA192" s="2"/>
      <c r="AB192" s="2"/>
    </row>
    <row r="193" ht="12.75" customHeight="1">
      <c r="A193" s="2"/>
      <c r="B193" s="2"/>
      <c r="C193" s="2"/>
      <c r="D193" s="3"/>
      <c r="E193" s="3"/>
      <c r="F193" s="3"/>
      <c r="G193" s="3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2"/>
      <c r="Y193" s="2"/>
      <c r="Z193" s="2"/>
      <c r="AA193" s="2"/>
      <c r="AB193" s="2"/>
    </row>
    <row r="194" ht="12.75" customHeight="1">
      <c r="A194" s="2"/>
      <c r="B194" s="2"/>
      <c r="C194" s="2"/>
      <c r="D194" s="3"/>
      <c r="E194" s="3"/>
      <c r="F194" s="3"/>
      <c r="G194" s="3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2"/>
      <c r="Y194" s="2"/>
      <c r="Z194" s="2"/>
      <c r="AA194" s="2"/>
      <c r="AB194" s="2"/>
    </row>
    <row r="195" ht="12.75" customHeight="1">
      <c r="A195" s="2"/>
      <c r="B195" s="2"/>
      <c r="C195" s="2"/>
      <c r="D195" s="3"/>
      <c r="E195" s="3"/>
      <c r="F195" s="3"/>
      <c r="G195" s="3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2"/>
      <c r="Y195" s="2"/>
      <c r="Z195" s="2"/>
      <c r="AA195" s="2"/>
      <c r="AB195" s="2"/>
    </row>
    <row r="196" ht="12.75" customHeight="1">
      <c r="A196" s="2"/>
      <c r="B196" s="2"/>
      <c r="C196" s="2"/>
      <c r="D196" s="3"/>
      <c r="E196" s="3"/>
      <c r="F196" s="3"/>
      <c r="G196" s="3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2"/>
      <c r="Y196" s="2"/>
      <c r="Z196" s="2"/>
      <c r="AA196" s="2"/>
      <c r="AB196" s="2"/>
    </row>
    <row r="197" ht="12.75" customHeight="1">
      <c r="A197" s="2"/>
      <c r="B197" s="2"/>
      <c r="C197" s="2"/>
      <c r="D197" s="3"/>
      <c r="E197" s="3"/>
      <c r="F197" s="3"/>
      <c r="G197" s="3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2"/>
      <c r="Y197" s="2"/>
      <c r="Z197" s="2"/>
      <c r="AA197" s="2"/>
      <c r="AB197" s="2"/>
    </row>
    <row r="198" ht="12.75" customHeight="1">
      <c r="A198" s="2"/>
      <c r="B198" s="2"/>
      <c r="C198" s="2"/>
      <c r="D198" s="3"/>
      <c r="E198" s="3"/>
      <c r="F198" s="3"/>
      <c r="G198" s="3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2"/>
      <c r="Y198" s="2"/>
      <c r="Z198" s="2"/>
      <c r="AA198" s="2"/>
      <c r="AB198" s="2"/>
    </row>
    <row r="199" ht="12.75" customHeight="1">
      <c r="A199" s="2"/>
      <c r="B199" s="2"/>
      <c r="C199" s="2"/>
      <c r="D199" s="3"/>
      <c r="E199" s="3"/>
      <c r="F199" s="3"/>
      <c r="G199" s="3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2"/>
      <c r="Y199" s="2"/>
      <c r="Z199" s="2"/>
      <c r="AA199" s="2"/>
      <c r="AB199" s="2"/>
    </row>
    <row r="200" ht="12.75" customHeight="1">
      <c r="A200" s="2"/>
      <c r="B200" s="2"/>
      <c r="C200" s="2"/>
      <c r="D200" s="3"/>
      <c r="E200" s="3"/>
      <c r="F200" s="3"/>
      <c r="G200" s="3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2"/>
      <c r="Y200" s="2"/>
      <c r="Z200" s="2"/>
      <c r="AA200" s="2"/>
      <c r="AB200" s="2"/>
    </row>
    <row r="201" ht="12.75" customHeight="1">
      <c r="A201" s="2"/>
      <c r="B201" s="2"/>
      <c r="C201" s="2"/>
      <c r="D201" s="3"/>
      <c r="E201" s="3"/>
      <c r="F201" s="3"/>
      <c r="G201" s="3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2"/>
      <c r="Y201" s="2"/>
      <c r="Z201" s="2"/>
      <c r="AA201" s="2"/>
      <c r="AB201" s="2"/>
    </row>
    <row r="202" ht="12.75" customHeight="1">
      <c r="A202" s="2"/>
      <c r="B202" s="2"/>
      <c r="C202" s="2"/>
      <c r="D202" s="3"/>
      <c r="E202" s="3"/>
      <c r="F202" s="3"/>
      <c r="G202" s="3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2"/>
      <c r="Y202" s="2"/>
      <c r="Z202" s="2"/>
      <c r="AA202" s="2"/>
      <c r="AB202" s="2"/>
    </row>
    <row r="203" ht="12.75" customHeight="1">
      <c r="A203" s="2"/>
      <c r="B203" s="2"/>
      <c r="C203" s="2"/>
      <c r="D203" s="3"/>
      <c r="E203" s="3"/>
      <c r="F203" s="3"/>
      <c r="G203" s="3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2"/>
      <c r="Y203" s="2"/>
      <c r="Z203" s="2"/>
      <c r="AA203" s="2"/>
      <c r="AB203" s="2"/>
    </row>
    <row r="204" ht="12.75" customHeight="1">
      <c r="A204" s="2"/>
      <c r="B204" s="2"/>
      <c r="C204" s="2"/>
      <c r="D204" s="3"/>
      <c r="E204" s="3"/>
      <c r="F204" s="3"/>
      <c r="G204" s="3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2"/>
      <c r="Y204" s="2"/>
      <c r="Z204" s="2"/>
      <c r="AA204" s="2"/>
      <c r="AB204" s="2"/>
    </row>
    <row r="205" ht="12.75" customHeight="1">
      <c r="A205" s="2"/>
      <c r="B205" s="2"/>
      <c r="C205" s="2"/>
      <c r="D205" s="3"/>
      <c r="E205" s="3"/>
      <c r="F205" s="3"/>
      <c r="G205" s="3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2"/>
      <c r="Y205" s="2"/>
      <c r="Z205" s="2"/>
      <c r="AA205" s="2"/>
      <c r="AB205" s="2"/>
    </row>
    <row r="206" ht="12.75" customHeight="1">
      <c r="A206" s="2"/>
      <c r="B206" s="2"/>
      <c r="C206" s="2"/>
      <c r="D206" s="3"/>
      <c r="E206" s="3"/>
      <c r="F206" s="3"/>
      <c r="G206" s="3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2"/>
      <c r="Y206" s="2"/>
      <c r="Z206" s="2"/>
      <c r="AA206" s="2"/>
      <c r="AB206" s="2"/>
    </row>
    <row r="207" ht="12.75" customHeight="1">
      <c r="A207" s="2"/>
      <c r="B207" s="2"/>
      <c r="C207" s="2"/>
      <c r="D207" s="3"/>
      <c r="E207" s="3"/>
      <c r="F207" s="3"/>
      <c r="G207" s="3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2"/>
      <c r="Y207" s="2"/>
      <c r="Z207" s="2"/>
      <c r="AA207" s="2"/>
      <c r="AB207" s="2"/>
    </row>
    <row r="208" ht="12.75" customHeight="1">
      <c r="A208" s="2"/>
      <c r="B208" s="2"/>
      <c r="C208" s="2"/>
      <c r="D208" s="3"/>
      <c r="E208" s="3"/>
      <c r="F208" s="3"/>
      <c r="G208" s="3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2"/>
      <c r="Y208" s="2"/>
      <c r="Z208" s="2"/>
      <c r="AA208" s="2"/>
      <c r="AB208" s="2"/>
    </row>
    <row r="209" ht="12.75" customHeight="1">
      <c r="A209" s="2"/>
      <c r="B209" s="2"/>
      <c r="C209" s="2"/>
      <c r="D209" s="3"/>
      <c r="E209" s="3"/>
      <c r="F209" s="3"/>
      <c r="G209" s="3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2"/>
      <c r="Y209" s="2"/>
      <c r="Z209" s="2"/>
      <c r="AA209" s="2"/>
      <c r="AB209" s="2"/>
    </row>
    <row r="210" ht="12.75" customHeight="1">
      <c r="A210" s="2"/>
      <c r="B210" s="2"/>
      <c r="C210" s="2"/>
      <c r="D210" s="3"/>
      <c r="E210" s="3"/>
      <c r="F210" s="3"/>
      <c r="G210" s="3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2"/>
      <c r="Y210" s="2"/>
      <c r="Z210" s="2"/>
      <c r="AA210" s="2"/>
      <c r="AB210" s="2"/>
    </row>
    <row r="211" ht="12.75" customHeight="1">
      <c r="A211" s="2"/>
      <c r="B211" s="2"/>
      <c r="C211" s="2"/>
      <c r="D211" s="3"/>
      <c r="E211" s="3"/>
      <c r="F211" s="3"/>
      <c r="G211" s="3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2"/>
      <c r="Y211" s="2"/>
      <c r="Z211" s="2"/>
      <c r="AA211" s="2"/>
      <c r="AB211" s="2"/>
    </row>
    <row r="212" ht="12.75" customHeight="1">
      <c r="A212" s="2"/>
      <c r="B212" s="2"/>
      <c r="C212" s="2"/>
      <c r="D212" s="3"/>
      <c r="E212" s="3"/>
      <c r="F212" s="3"/>
      <c r="G212" s="3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2"/>
      <c r="Y212" s="2"/>
      <c r="Z212" s="2"/>
      <c r="AA212" s="2"/>
      <c r="AB212" s="2"/>
    </row>
    <row r="213" ht="12.75" customHeight="1">
      <c r="A213" s="2"/>
      <c r="B213" s="2"/>
      <c r="C213" s="2"/>
      <c r="D213" s="3"/>
      <c r="E213" s="3"/>
      <c r="F213" s="3"/>
      <c r="G213" s="3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2"/>
      <c r="Y213" s="2"/>
      <c r="Z213" s="2"/>
      <c r="AA213" s="2"/>
      <c r="AB213" s="2"/>
    </row>
    <row r="214" ht="12.75" customHeight="1">
      <c r="A214" s="2"/>
      <c r="B214" s="2"/>
      <c r="C214" s="2"/>
      <c r="D214" s="3"/>
      <c r="E214" s="3"/>
      <c r="F214" s="3"/>
      <c r="G214" s="3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2"/>
      <c r="Y214" s="2"/>
      <c r="Z214" s="2"/>
      <c r="AA214" s="2"/>
      <c r="AB214" s="2"/>
    </row>
    <row r="215" ht="12.75" customHeight="1">
      <c r="A215" s="2"/>
      <c r="B215" s="2"/>
      <c r="C215" s="2"/>
      <c r="D215" s="3"/>
      <c r="E215" s="3"/>
      <c r="F215" s="3"/>
      <c r="G215" s="3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2"/>
      <c r="Y215" s="2"/>
      <c r="Z215" s="2"/>
      <c r="AA215" s="2"/>
      <c r="AB215" s="2"/>
    </row>
    <row r="216" ht="12.75" customHeight="1">
      <c r="A216" s="2"/>
      <c r="B216" s="2"/>
      <c r="C216" s="2"/>
      <c r="D216" s="3"/>
      <c r="E216" s="3"/>
      <c r="F216" s="3"/>
      <c r="G216" s="3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2"/>
      <c r="Y216" s="2"/>
      <c r="Z216" s="2"/>
      <c r="AA216" s="2"/>
      <c r="AB216" s="2"/>
    </row>
    <row r="217" ht="12.75" customHeight="1">
      <c r="A217" s="2"/>
      <c r="B217" s="2"/>
      <c r="C217" s="2"/>
      <c r="D217" s="3"/>
      <c r="E217" s="3"/>
      <c r="F217" s="3"/>
      <c r="G217" s="3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"/>
      <c r="Y217" s="2"/>
      <c r="Z217" s="2"/>
      <c r="AA217" s="2"/>
      <c r="AB217" s="2"/>
    </row>
    <row r="218" ht="12.75" customHeight="1">
      <c r="A218" s="2"/>
      <c r="B218" s="2"/>
      <c r="C218" s="2"/>
      <c r="D218" s="3"/>
      <c r="E218" s="3"/>
      <c r="F218" s="3"/>
      <c r="G218" s="3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2"/>
      <c r="Y218" s="2"/>
      <c r="Z218" s="2"/>
      <c r="AA218" s="2"/>
      <c r="AB218" s="2"/>
    </row>
    <row r="219" ht="12.75" customHeight="1">
      <c r="A219" s="2"/>
      <c r="B219" s="2"/>
      <c r="C219" s="2"/>
      <c r="D219" s="3"/>
      <c r="E219" s="3"/>
      <c r="F219" s="3"/>
      <c r="G219" s="3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2"/>
      <c r="Y219" s="2"/>
      <c r="Z219" s="2"/>
      <c r="AA219" s="2"/>
      <c r="AB219" s="2"/>
    </row>
    <row r="220" ht="12.75" customHeight="1">
      <c r="A220" s="2"/>
      <c r="B220" s="2"/>
      <c r="C220" s="2"/>
      <c r="D220" s="3"/>
      <c r="E220" s="3"/>
      <c r="F220" s="3"/>
      <c r="G220" s="3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2"/>
      <c r="Y220" s="2"/>
      <c r="Z220" s="2"/>
      <c r="AA220" s="2"/>
      <c r="AB220" s="2"/>
    </row>
    <row r="221" ht="12.75" customHeight="1">
      <c r="A221" s="2"/>
      <c r="B221" s="2"/>
      <c r="C221" s="2"/>
      <c r="D221" s="3"/>
      <c r="E221" s="3"/>
      <c r="F221" s="3"/>
      <c r="G221" s="3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2"/>
      <c r="Y221" s="2"/>
      <c r="Z221" s="2"/>
      <c r="AA221" s="2"/>
      <c r="AB221" s="2"/>
    </row>
    <row r="222" ht="12.75" customHeight="1">
      <c r="A222" s="2"/>
      <c r="B222" s="2"/>
      <c r="C222" s="2"/>
      <c r="D222" s="3"/>
      <c r="E222" s="3"/>
      <c r="F222" s="3"/>
      <c r="G222" s="3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2"/>
      <c r="Y222" s="2"/>
      <c r="Z222" s="2"/>
      <c r="AA222" s="2"/>
      <c r="AB222" s="2"/>
    </row>
    <row r="223" ht="12.75" customHeight="1">
      <c r="A223" s="2"/>
      <c r="B223" s="2"/>
      <c r="C223" s="2"/>
      <c r="D223" s="3"/>
      <c r="E223" s="3"/>
      <c r="F223" s="3"/>
      <c r="G223" s="3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2"/>
      <c r="Y223" s="2"/>
      <c r="Z223" s="2"/>
      <c r="AA223" s="2"/>
      <c r="AB223" s="2"/>
    </row>
    <row r="224" ht="12.75" customHeight="1">
      <c r="A224" s="2"/>
      <c r="B224" s="2"/>
      <c r="C224" s="2"/>
      <c r="D224" s="3"/>
      <c r="E224" s="3"/>
      <c r="F224" s="3"/>
      <c r="G224" s="3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2"/>
      <c r="Y224" s="2"/>
      <c r="Z224" s="2"/>
      <c r="AA224" s="2"/>
      <c r="AB224" s="2"/>
    </row>
    <row r="225" ht="12.75" customHeight="1">
      <c r="A225" s="2"/>
      <c r="B225" s="2"/>
      <c r="C225" s="2"/>
      <c r="D225" s="3"/>
      <c r="E225" s="3"/>
      <c r="F225" s="3"/>
      <c r="G225" s="3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2"/>
      <c r="Y225" s="2"/>
      <c r="Z225" s="2"/>
      <c r="AA225" s="2"/>
      <c r="AB225" s="2"/>
    </row>
    <row r="226" ht="12.75" customHeight="1">
      <c r="A226" s="2"/>
      <c r="B226" s="2"/>
      <c r="C226" s="2"/>
      <c r="D226" s="3"/>
      <c r="E226" s="3"/>
      <c r="F226" s="3"/>
      <c r="G226" s="3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2"/>
      <c r="Y226" s="2"/>
      <c r="Z226" s="2"/>
      <c r="AA226" s="2"/>
      <c r="AB226" s="2"/>
    </row>
    <row r="227" ht="12.75" customHeight="1">
      <c r="A227" s="2"/>
      <c r="B227" s="2"/>
      <c r="C227" s="2"/>
      <c r="D227" s="3"/>
      <c r="E227" s="3"/>
      <c r="F227" s="3"/>
      <c r="G227" s="3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2"/>
      <c r="Y227" s="2"/>
      <c r="Z227" s="2"/>
      <c r="AA227" s="2"/>
      <c r="AB227" s="2"/>
    </row>
    <row r="228" ht="12.75" customHeight="1">
      <c r="A228" s="2"/>
      <c r="B228" s="2"/>
      <c r="C228" s="2"/>
      <c r="D228" s="3"/>
      <c r="E228" s="3"/>
      <c r="F228" s="3"/>
      <c r="G228" s="3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2"/>
      <c r="Y228" s="2"/>
      <c r="Z228" s="2"/>
      <c r="AA228" s="2"/>
      <c r="AB228" s="2"/>
    </row>
    <row r="229" ht="12.75" customHeight="1">
      <c r="A229" s="2"/>
      <c r="B229" s="2"/>
      <c r="C229" s="2"/>
      <c r="D229" s="3"/>
      <c r="E229" s="3"/>
      <c r="F229" s="3"/>
      <c r="G229" s="3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2"/>
      <c r="Y229" s="2"/>
      <c r="Z229" s="2"/>
      <c r="AA229" s="2"/>
      <c r="AB229" s="2"/>
    </row>
    <row r="230" ht="12.75" customHeight="1">
      <c r="A230" s="2"/>
      <c r="B230" s="2"/>
      <c r="C230" s="2"/>
      <c r="D230" s="3"/>
      <c r="E230" s="3"/>
      <c r="F230" s="3"/>
      <c r="G230" s="3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2"/>
      <c r="Y230" s="2"/>
      <c r="Z230" s="2"/>
      <c r="AA230" s="2"/>
      <c r="AB230" s="2"/>
    </row>
    <row r="231" ht="12.75" customHeight="1">
      <c r="A231" s="2"/>
      <c r="B231" s="2"/>
      <c r="C231" s="2"/>
      <c r="D231" s="3"/>
      <c r="E231" s="3"/>
      <c r="F231" s="3"/>
      <c r="G231" s="3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2"/>
      <c r="Y231" s="2"/>
      <c r="Z231" s="2"/>
      <c r="AA231" s="2"/>
      <c r="AB231" s="2"/>
    </row>
    <row r="232" ht="12.75" customHeight="1">
      <c r="A232" s="2"/>
      <c r="B232" s="2"/>
      <c r="C232" s="2"/>
      <c r="D232" s="3"/>
      <c r="E232" s="3"/>
      <c r="F232" s="3"/>
      <c r="G232" s="3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2"/>
      <c r="Y232" s="2"/>
      <c r="Z232" s="2"/>
      <c r="AA232" s="2"/>
      <c r="AB232" s="2"/>
    </row>
    <row r="233" ht="12.75" customHeight="1">
      <c r="A233" s="2"/>
      <c r="B233" s="2"/>
      <c r="C233" s="2"/>
      <c r="D233" s="3"/>
      <c r="E233" s="3"/>
      <c r="F233" s="3"/>
      <c r="G233" s="3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2"/>
      <c r="Y233" s="2"/>
      <c r="Z233" s="2"/>
      <c r="AA233" s="2"/>
      <c r="AB233" s="2"/>
    </row>
    <row r="234" ht="12.75" customHeight="1">
      <c r="A234" s="2"/>
      <c r="B234" s="2"/>
      <c r="C234" s="2"/>
      <c r="D234" s="3"/>
      <c r="E234" s="3"/>
      <c r="F234" s="3"/>
      <c r="G234" s="3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2"/>
      <c r="Y234" s="2"/>
      <c r="Z234" s="2"/>
      <c r="AA234" s="2"/>
      <c r="AB234" s="2"/>
    </row>
    <row r="235" ht="12.75" customHeight="1">
      <c r="A235" s="2"/>
      <c r="B235" s="2"/>
      <c r="C235" s="2"/>
      <c r="D235" s="3"/>
      <c r="E235" s="3"/>
      <c r="F235" s="3"/>
      <c r="G235" s="3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2"/>
      <c r="Y235" s="2"/>
      <c r="Z235" s="2"/>
      <c r="AA235" s="2"/>
      <c r="AB235" s="2"/>
    </row>
    <row r="236" ht="12.75" customHeight="1">
      <c r="A236" s="2"/>
      <c r="B236" s="2"/>
      <c r="C236" s="2"/>
      <c r="D236" s="3"/>
      <c r="E236" s="3"/>
      <c r="F236" s="3"/>
      <c r="G236" s="3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2"/>
      <c r="Y236" s="2"/>
      <c r="Z236" s="2"/>
      <c r="AA236" s="2"/>
      <c r="AB236" s="2"/>
    </row>
    <row r="237" ht="12.75" customHeight="1">
      <c r="A237" s="2"/>
      <c r="B237" s="2"/>
      <c r="C237" s="2"/>
      <c r="D237" s="3"/>
      <c r="E237" s="3"/>
      <c r="F237" s="3"/>
      <c r="G237" s="3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2"/>
      <c r="Y237" s="2"/>
      <c r="Z237" s="2"/>
      <c r="AA237" s="2"/>
      <c r="AB237" s="2"/>
    </row>
    <row r="238" ht="12.75" customHeight="1">
      <c r="A238" s="2"/>
      <c r="B238" s="2"/>
      <c r="C238" s="2"/>
      <c r="D238" s="3"/>
      <c r="E238" s="3"/>
      <c r="F238" s="3"/>
      <c r="G238" s="3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2"/>
      <c r="Y238" s="2"/>
      <c r="Z238" s="2"/>
      <c r="AA238" s="2"/>
      <c r="AB238" s="2"/>
    </row>
    <row r="239" ht="12.75" customHeight="1">
      <c r="A239" s="2"/>
      <c r="B239" s="2"/>
      <c r="C239" s="2"/>
      <c r="D239" s="3"/>
      <c r="E239" s="3"/>
      <c r="F239" s="3"/>
      <c r="G239" s="3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2"/>
      <c r="Y239" s="2"/>
      <c r="Z239" s="2"/>
      <c r="AA239" s="2"/>
      <c r="AB239" s="2"/>
    </row>
    <row r="240" ht="12.75" customHeight="1">
      <c r="A240" s="2"/>
      <c r="B240" s="2"/>
      <c r="C240" s="2"/>
      <c r="D240" s="3"/>
      <c r="E240" s="3"/>
      <c r="F240" s="3"/>
      <c r="G240" s="3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2"/>
      <c r="Y240" s="2"/>
      <c r="Z240" s="2"/>
      <c r="AA240" s="2"/>
      <c r="AB240" s="2"/>
    </row>
    <row r="241" ht="12.75" customHeight="1">
      <c r="A241" s="2"/>
      <c r="B241" s="2"/>
      <c r="C241" s="2"/>
      <c r="D241" s="3"/>
      <c r="E241" s="3"/>
      <c r="F241" s="3"/>
      <c r="G241" s="3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2"/>
      <c r="Y241" s="2"/>
      <c r="Z241" s="2"/>
      <c r="AA241" s="2"/>
      <c r="AB241" s="2"/>
    </row>
    <row r="242" ht="12.75" customHeight="1">
      <c r="A242" s="2"/>
      <c r="B242" s="2"/>
      <c r="C242" s="2"/>
      <c r="D242" s="3"/>
      <c r="E242" s="3"/>
      <c r="F242" s="3"/>
      <c r="G242" s="3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2"/>
      <c r="Y242" s="2"/>
      <c r="Z242" s="2"/>
      <c r="AA242" s="2"/>
      <c r="AB242" s="2"/>
    </row>
    <row r="243" ht="12.75" customHeight="1">
      <c r="A243" s="2"/>
      <c r="B243" s="2"/>
      <c r="C243" s="2"/>
      <c r="D243" s="3"/>
      <c r="E243" s="3"/>
      <c r="F243" s="3"/>
      <c r="G243" s="3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2"/>
      <c r="Y243" s="2"/>
      <c r="Z243" s="2"/>
      <c r="AA243" s="2"/>
      <c r="AB243" s="2"/>
    </row>
    <row r="244" ht="12.75" customHeight="1">
      <c r="A244" s="2"/>
      <c r="B244" s="2"/>
      <c r="C244" s="2"/>
      <c r="D244" s="3"/>
      <c r="E244" s="3"/>
      <c r="F244" s="3"/>
      <c r="G244" s="3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2"/>
      <c r="Y244" s="2"/>
      <c r="Z244" s="2"/>
      <c r="AA244" s="2"/>
      <c r="AB244" s="2"/>
    </row>
    <row r="245" ht="12.75" customHeight="1">
      <c r="A245" s="2"/>
      <c r="B245" s="2"/>
      <c r="C245" s="2"/>
      <c r="D245" s="3"/>
      <c r="E245" s="3"/>
      <c r="F245" s="3"/>
      <c r="G245" s="3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2"/>
      <c r="Y245" s="2"/>
      <c r="Z245" s="2"/>
      <c r="AA245" s="2"/>
      <c r="AB245" s="2"/>
    </row>
    <row r="246" ht="12.75" customHeight="1">
      <c r="A246" s="2"/>
      <c r="B246" s="2"/>
      <c r="C246" s="2"/>
      <c r="D246" s="3"/>
      <c r="E246" s="3"/>
      <c r="F246" s="3"/>
      <c r="G246" s="3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2"/>
      <c r="Y246" s="2"/>
      <c r="Z246" s="2"/>
      <c r="AA246" s="2"/>
      <c r="AB246" s="2"/>
    </row>
    <row r="247" ht="12.75" customHeight="1">
      <c r="A247" s="2"/>
      <c r="B247" s="2"/>
      <c r="C247" s="2"/>
      <c r="D247" s="3"/>
      <c r="E247" s="3"/>
      <c r="F247" s="3"/>
      <c r="G247" s="3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2"/>
      <c r="Y247" s="2"/>
      <c r="Z247" s="2"/>
      <c r="AA247" s="2"/>
      <c r="AB247" s="2"/>
    </row>
    <row r="248" ht="12.75" customHeight="1">
      <c r="A248" s="2"/>
      <c r="B248" s="2"/>
      <c r="C248" s="2"/>
      <c r="D248" s="3"/>
      <c r="E248" s="3"/>
      <c r="F248" s="3"/>
      <c r="G248" s="3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2"/>
      <c r="Y248" s="2"/>
      <c r="Z248" s="2"/>
      <c r="AA248" s="2"/>
      <c r="AB248" s="2"/>
    </row>
    <row r="249" ht="12.75" customHeight="1">
      <c r="A249" s="2"/>
      <c r="B249" s="2"/>
      <c r="C249" s="2"/>
      <c r="D249" s="3"/>
      <c r="E249" s="3"/>
      <c r="F249" s="3"/>
      <c r="G249" s="3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2"/>
      <c r="Y249" s="2"/>
      <c r="Z249" s="2"/>
      <c r="AA249" s="2"/>
      <c r="AB249" s="2"/>
    </row>
    <row r="250" ht="12.75" customHeight="1">
      <c r="A250" s="2"/>
      <c r="B250" s="2"/>
      <c r="C250" s="2"/>
      <c r="D250" s="3"/>
      <c r="E250" s="3"/>
      <c r="F250" s="3"/>
      <c r="G250" s="3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2"/>
      <c r="Y250" s="2"/>
      <c r="Z250" s="2"/>
      <c r="AA250" s="2"/>
      <c r="AB250" s="2"/>
    </row>
    <row r="251" ht="12.75" customHeight="1">
      <c r="A251" s="2"/>
      <c r="B251" s="2"/>
      <c r="C251" s="2"/>
      <c r="D251" s="3"/>
      <c r="E251" s="3"/>
      <c r="F251" s="3"/>
      <c r="G251" s="3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2"/>
      <c r="Y251" s="2"/>
      <c r="Z251" s="2"/>
      <c r="AA251" s="2"/>
      <c r="AB251" s="2"/>
    </row>
    <row r="252" ht="12.75" customHeight="1">
      <c r="A252" s="2"/>
      <c r="B252" s="2"/>
      <c r="C252" s="2"/>
      <c r="D252" s="3"/>
      <c r="E252" s="3"/>
      <c r="F252" s="3"/>
      <c r="G252" s="3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2"/>
      <c r="Y252" s="2"/>
      <c r="Z252" s="2"/>
      <c r="AA252" s="2"/>
      <c r="AB252" s="2"/>
    </row>
    <row r="253" ht="12.75" customHeight="1">
      <c r="A253" s="2"/>
      <c r="B253" s="2"/>
      <c r="C253" s="2"/>
      <c r="D253" s="3"/>
      <c r="E253" s="3"/>
      <c r="F253" s="3"/>
      <c r="G253" s="3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2"/>
      <c r="Y253" s="2"/>
      <c r="Z253" s="2"/>
      <c r="AA253" s="2"/>
      <c r="AB253" s="2"/>
    </row>
    <row r="254" ht="12.75" customHeight="1">
      <c r="A254" s="2"/>
      <c r="B254" s="2"/>
      <c r="C254" s="2"/>
      <c r="D254" s="3"/>
      <c r="E254" s="3"/>
      <c r="F254" s="3"/>
      <c r="G254" s="3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2"/>
      <c r="Y254" s="2"/>
      <c r="Z254" s="2"/>
      <c r="AA254" s="2"/>
      <c r="AB254" s="2"/>
    </row>
    <row r="255" ht="12.75" customHeight="1">
      <c r="A255" s="2"/>
      <c r="B255" s="2"/>
      <c r="C255" s="2"/>
      <c r="D255" s="3"/>
      <c r="E255" s="3"/>
      <c r="F255" s="3"/>
      <c r="G255" s="3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2"/>
      <c r="Y255" s="2"/>
      <c r="Z255" s="2"/>
      <c r="AA255" s="2"/>
      <c r="AB255" s="2"/>
    </row>
    <row r="256" ht="12.75" customHeight="1">
      <c r="A256" s="2"/>
      <c r="B256" s="2"/>
      <c r="C256" s="2"/>
      <c r="D256" s="3"/>
      <c r="E256" s="3"/>
      <c r="F256" s="3"/>
      <c r="G256" s="3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2"/>
      <c r="Y256" s="2"/>
      <c r="Z256" s="2"/>
      <c r="AA256" s="2"/>
      <c r="AB256" s="2"/>
    </row>
    <row r="257" ht="12.75" customHeight="1">
      <c r="A257" s="2"/>
      <c r="B257" s="2"/>
      <c r="C257" s="2"/>
      <c r="D257" s="3"/>
      <c r="E257" s="3"/>
      <c r="F257" s="3"/>
      <c r="G257" s="3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2"/>
      <c r="Y257" s="2"/>
      <c r="Z257" s="2"/>
      <c r="AA257" s="2"/>
      <c r="AB257" s="2"/>
    </row>
    <row r="258" ht="12.75" customHeight="1">
      <c r="A258" s="2"/>
      <c r="B258" s="2"/>
      <c r="C258" s="2"/>
      <c r="D258" s="3"/>
      <c r="E258" s="3"/>
      <c r="F258" s="3"/>
      <c r="G258" s="3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2"/>
      <c r="Y258" s="2"/>
      <c r="Z258" s="2"/>
      <c r="AA258" s="2"/>
      <c r="AB258" s="2"/>
    </row>
    <row r="259" ht="12.75" customHeight="1">
      <c r="A259" s="2"/>
      <c r="B259" s="2"/>
      <c r="C259" s="2"/>
      <c r="D259" s="3"/>
      <c r="E259" s="3"/>
      <c r="F259" s="3"/>
      <c r="G259" s="3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2"/>
      <c r="Y259" s="2"/>
      <c r="Z259" s="2"/>
      <c r="AA259" s="2"/>
      <c r="AB259" s="2"/>
    </row>
    <row r="260" ht="12.75" customHeight="1">
      <c r="A260" s="2"/>
      <c r="B260" s="2"/>
      <c r="C260" s="2"/>
      <c r="D260" s="3"/>
      <c r="E260" s="3"/>
      <c r="F260" s="3"/>
      <c r="G260" s="3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2"/>
      <c r="Y260" s="2"/>
      <c r="Z260" s="2"/>
      <c r="AA260" s="2"/>
      <c r="AB260" s="2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6.0"/>
    <col customWidth="1" min="3" max="3" width="40.14"/>
    <col customWidth="1" min="4" max="4" width="10.86"/>
    <col customWidth="1" min="5" max="5" width="8.71"/>
    <col customWidth="1" min="6" max="6" width="4.43"/>
    <col customWidth="1" min="7" max="7" width="8.71"/>
    <col customWidth="1" min="8" max="8" width="3.43"/>
    <col customWidth="1" min="9" max="9" width="8.0"/>
    <col customWidth="1" min="10" max="20" width="7.86"/>
    <col customWidth="1" min="21" max="21" width="8.71"/>
    <col customWidth="1" min="22" max="22" width="9.57"/>
    <col customWidth="1" min="23" max="23" width="10.0"/>
    <col customWidth="1" min="24" max="28" width="9.0"/>
  </cols>
  <sheetData>
    <row r="1" ht="12.75" customHeight="1">
      <c r="A1" s="1" t="s">
        <v>0</v>
      </c>
      <c r="B1" s="2"/>
      <c r="C1" s="2"/>
      <c r="D1" s="3"/>
      <c r="E1" s="3"/>
      <c r="F1" s="3"/>
      <c r="G1" s="3"/>
      <c r="H1" s="4"/>
      <c r="I1" s="1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2"/>
      <c r="Y1" s="2"/>
      <c r="Z1" s="6"/>
      <c r="AA1" s="2"/>
      <c r="AB1" s="6"/>
    </row>
    <row r="2" ht="12.75" customHeight="1">
      <c r="A2" s="1"/>
      <c r="B2" s="2"/>
      <c r="C2" s="2"/>
      <c r="D2" s="3"/>
      <c r="E2" s="3"/>
      <c r="F2" s="3"/>
      <c r="G2" s="3"/>
      <c r="H2" s="4"/>
      <c r="I2" s="1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2"/>
      <c r="Y2" s="2"/>
      <c r="Z2" s="6"/>
      <c r="AA2" s="2"/>
      <c r="AB2" s="6"/>
    </row>
    <row r="3" ht="12.75" customHeight="1">
      <c r="A3" s="7" t="s">
        <v>53</v>
      </c>
      <c r="B3" s="2"/>
      <c r="C3" s="2"/>
      <c r="D3" s="3"/>
      <c r="E3" s="3"/>
      <c r="F3" s="3"/>
      <c r="G3" s="3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2"/>
      <c r="Y3" s="2"/>
      <c r="Z3" s="6"/>
      <c r="AA3" s="2"/>
      <c r="AB3" s="6"/>
    </row>
    <row r="4" ht="12.75" customHeight="1">
      <c r="A4" s="29" t="s">
        <v>2</v>
      </c>
      <c r="B4" s="29" t="s">
        <v>3</v>
      </c>
      <c r="C4" s="29" t="s">
        <v>4</v>
      </c>
      <c r="D4" s="30" t="s">
        <v>5</v>
      </c>
      <c r="E4" s="30" t="s">
        <v>6</v>
      </c>
      <c r="F4" s="30" t="s">
        <v>20</v>
      </c>
      <c r="G4" s="30" t="s">
        <v>8</v>
      </c>
      <c r="H4" s="31" t="s">
        <v>9</v>
      </c>
      <c r="I4" s="11">
        <v>46112.0</v>
      </c>
      <c r="J4" s="11">
        <v>46142.0</v>
      </c>
      <c r="K4" s="11">
        <v>46173.0</v>
      </c>
      <c r="L4" s="11">
        <v>46203.0</v>
      </c>
      <c r="M4" s="11">
        <v>46234.0</v>
      </c>
      <c r="N4" s="11">
        <v>46265.0</v>
      </c>
      <c r="O4" s="11">
        <v>46295.0</v>
      </c>
      <c r="P4" s="11">
        <v>46326.0</v>
      </c>
      <c r="Q4" s="11">
        <v>46356.0</v>
      </c>
      <c r="R4" s="11">
        <v>46387.0</v>
      </c>
      <c r="S4" s="11">
        <v>46418.0</v>
      </c>
      <c r="T4" s="11">
        <v>46446.0</v>
      </c>
      <c r="U4" s="26" t="s">
        <v>10</v>
      </c>
      <c r="V4" s="11" t="s">
        <v>11</v>
      </c>
      <c r="W4" s="11" t="s">
        <v>77</v>
      </c>
      <c r="X4" s="2"/>
      <c r="Y4" s="2"/>
      <c r="Z4" s="6"/>
      <c r="AA4" s="2"/>
      <c r="AB4" s="6"/>
    </row>
    <row r="5" ht="12.75" customHeight="1">
      <c r="A5" s="12"/>
      <c r="B5" s="12"/>
      <c r="C5" s="2"/>
      <c r="D5" s="3"/>
      <c r="E5" s="3"/>
      <c r="F5" s="3"/>
      <c r="G5" s="3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2"/>
      <c r="Y5" s="2"/>
      <c r="Z5" s="6"/>
      <c r="AA5" s="2"/>
      <c r="AB5" s="6"/>
    </row>
    <row r="6" ht="12.75" customHeight="1">
      <c r="A6" s="13" t="s">
        <v>13</v>
      </c>
      <c r="B6" s="2"/>
      <c r="C6" s="2"/>
      <c r="D6" s="3"/>
      <c r="E6" s="14"/>
      <c r="F6" s="3"/>
      <c r="G6" s="3"/>
      <c r="H6" s="4"/>
      <c r="I6" s="13" t="str">
        <f>+A6</f>
        <v>6100&gt;020 (Computer Equipment&gt;Cost)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"/>
      <c r="Y6" s="2"/>
      <c r="Z6" s="6"/>
      <c r="AA6" s="2"/>
      <c r="AB6" s="6"/>
    </row>
    <row r="7" ht="12.75" customHeight="1">
      <c r="A7" s="8"/>
      <c r="B7" s="2"/>
      <c r="C7" s="2"/>
      <c r="D7" s="3"/>
      <c r="E7" s="14"/>
      <c r="F7" s="3"/>
      <c r="G7" s="3"/>
      <c r="H7" s="4">
        <v>3.0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2"/>
      <c r="Y7" s="2"/>
      <c r="Z7" s="6"/>
      <c r="AA7" s="2"/>
      <c r="AB7" s="6"/>
    </row>
    <row r="8" ht="12.75" customHeight="1">
      <c r="A8" s="15">
        <v>42825.0</v>
      </c>
      <c r="B8" s="16">
        <v>18431.0</v>
      </c>
      <c r="C8" s="7" t="s">
        <v>14</v>
      </c>
      <c r="D8" s="17">
        <f>'FAR21'!G8</f>
        <v>16077.6</v>
      </c>
      <c r="E8" s="17"/>
      <c r="F8" s="3"/>
      <c r="G8" s="3">
        <f t="shared" ref="G8:G12" si="1">+D8+E8-F8</f>
        <v>16077.6</v>
      </c>
      <c r="H8" s="4"/>
      <c r="I8" s="28">
        <v>0.0</v>
      </c>
      <c r="J8" s="28">
        <v>0.0</v>
      </c>
      <c r="K8" s="28">
        <v>0.0</v>
      </c>
      <c r="L8" s="28">
        <v>0.0</v>
      </c>
      <c r="M8" s="28">
        <v>0.0</v>
      </c>
      <c r="N8" s="28">
        <v>0.0</v>
      </c>
      <c r="O8" s="28">
        <v>0.0</v>
      </c>
      <c r="P8" s="28">
        <v>0.0</v>
      </c>
      <c r="Q8" s="28">
        <v>0.0</v>
      </c>
      <c r="R8" s="28">
        <v>0.0</v>
      </c>
      <c r="S8" s="28">
        <v>0.0</v>
      </c>
      <c r="T8" s="28">
        <v>0.0</v>
      </c>
      <c r="U8" s="28">
        <f t="shared" ref="U8:U16" si="2">SUM(I8:T8)</f>
        <v>0</v>
      </c>
      <c r="V8" s="3">
        <f>'FAR26'!V8+U8</f>
        <v>16077.6</v>
      </c>
      <c r="W8" s="3">
        <f t="shared" ref="W8:W12" si="3">+G8-V8</f>
        <v>0</v>
      </c>
      <c r="X8" s="2"/>
      <c r="Y8" s="2"/>
      <c r="Z8" s="6"/>
      <c r="AA8" s="2"/>
      <c r="AB8" s="6"/>
    </row>
    <row r="9" ht="12.75" customHeight="1">
      <c r="A9" s="15">
        <v>42825.0</v>
      </c>
      <c r="B9" s="16">
        <v>18431.0</v>
      </c>
      <c r="C9" s="7" t="s">
        <v>15</v>
      </c>
      <c r="D9" s="17">
        <f>'FAR21'!G9</f>
        <v>10078.8</v>
      </c>
      <c r="E9" s="17"/>
      <c r="F9" s="3"/>
      <c r="G9" s="3">
        <f t="shared" si="1"/>
        <v>10078.8</v>
      </c>
      <c r="H9" s="4"/>
      <c r="I9" s="28">
        <v>0.0</v>
      </c>
      <c r="J9" s="28">
        <v>0.0</v>
      </c>
      <c r="K9" s="28">
        <v>0.0</v>
      </c>
      <c r="L9" s="28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  <c r="S9" s="28">
        <v>0.0</v>
      </c>
      <c r="T9" s="28">
        <v>0.0</v>
      </c>
      <c r="U9" s="28">
        <f t="shared" si="2"/>
        <v>0</v>
      </c>
      <c r="V9" s="3">
        <f>'FAR25'!V9+U9</f>
        <v>10078.8</v>
      </c>
      <c r="W9" s="3">
        <f t="shared" si="3"/>
        <v>0</v>
      </c>
      <c r="X9" s="2"/>
      <c r="Y9" s="2"/>
      <c r="Z9" s="6"/>
      <c r="AA9" s="2"/>
      <c r="AB9" s="6"/>
    </row>
    <row r="10" ht="12.75" customHeight="1">
      <c r="A10" s="15">
        <v>43046.0</v>
      </c>
      <c r="B10" s="16" t="s">
        <v>16</v>
      </c>
      <c r="C10" s="7" t="s">
        <v>17</v>
      </c>
      <c r="D10" s="17">
        <f>'FAR21'!G10</f>
        <v>52651</v>
      </c>
      <c r="E10" s="17"/>
      <c r="F10" s="3"/>
      <c r="G10" s="3">
        <f t="shared" si="1"/>
        <v>52651</v>
      </c>
      <c r="H10" s="4"/>
      <c r="I10" s="28">
        <v>0.0</v>
      </c>
      <c r="J10" s="28">
        <v>0.0</v>
      </c>
      <c r="K10" s="28">
        <v>0.0</v>
      </c>
      <c r="L10" s="28">
        <v>0.0</v>
      </c>
      <c r="M10" s="28">
        <v>0.0</v>
      </c>
      <c r="N10" s="28">
        <v>0.0</v>
      </c>
      <c r="O10" s="28">
        <v>0.0</v>
      </c>
      <c r="P10" s="28">
        <v>0.0</v>
      </c>
      <c r="Q10" s="28">
        <v>0.0</v>
      </c>
      <c r="R10" s="28">
        <v>0.0</v>
      </c>
      <c r="S10" s="28">
        <v>0.0</v>
      </c>
      <c r="T10" s="28">
        <v>0.0</v>
      </c>
      <c r="U10" s="28">
        <f t="shared" si="2"/>
        <v>0</v>
      </c>
      <c r="V10" s="3">
        <f>'FAR25'!V10+U10</f>
        <v>52651.00364</v>
      </c>
      <c r="W10" s="3">
        <f t="shared" si="3"/>
        <v>-0.003637747337</v>
      </c>
      <c r="X10" s="2"/>
      <c r="Y10" s="2"/>
      <c r="Z10" s="6"/>
      <c r="AA10" s="2"/>
      <c r="AB10" s="6"/>
    </row>
    <row r="11" ht="12.75" customHeight="1">
      <c r="A11" s="15">
        <v>43160.0</v>
      </c>
      <c r="B11" s="16">
        <v>21643.0</v>
      </c>
      <c r="C11" s="7" t="s">
        <v>30</v>
      </c>
      <c r="D11" s="17">
        <f>'FAR21'!G11</f>
        <v>92322.7</v>
      </c>
      <c r="E11" s="17"/>
      <c r="F11" s="3"/>
      <c r="G11" s="3">
        <f t="shared" si="1"/>
        <v>92322.7</v>
      </c>
      <c r="H11" s="4"/>
      <c r="I11" s="28">
        <v>0.0</v>
      </c>
      <c r="J11" s="28">
        <v>0.0</v>
      </c>
      <c r="K11" s="28">
        <v>0.0</v>
      </c>
      <c r="L11" s="28">
        <v>0.0</v>
      </c>
      <c r="M11" s="28">
        <v>0.0</v>
      </c>
      <c r="N11" s="28">
        <v>0.0</v>
      </c>
      <c r="O11" s="28">
        <v>0.0</v>
      </c>
      <c r="P11" s="28">
        <v>0.0</v>
      </c>
      <c r="Q11" s="28">
        <v>0.0</v>
      </c>
      <c r="R11" s="28">
        <v>0.0</v>
      </c>
      <c r="S11" s="28">
        <v>0.0</v>
      </c>
      <c r="T11" s="28">
        <v>0.0</v>
      </c>
      <c r="U11" s="28">
        <f t="shared" si="2"/>
        <v>0</v>
      </c>
      <c r="V11" s="3">
        <f>'FAR25'!V11+U11</f>
        <v>92322.7</v>
      </c>
      <c r="W11" s="3">
        <f t="shared" si="3"/>
        <v>0</v>
      </c>
      <c r="X11" s="2"/>
      <c r="Y11" s="2"/>
      <c r="Z11" s="6"/>
      <c r="AA11" s="2"/>
      <c r="AB11" s="6"/>
    </row>
    <row r="12" ht="12.75" customHeight="1">
      <c r="A12" s="15">
        <v>44144.0</v>
      </c>
      <c r="B12" s="16" t="s">
        <v>45</v>
      </c>
      <c r="C12" s="7" t="s">
        <v>46</v>
      </c>
      <c r="D12" s="17">
        <f>'FAR21'!G12</f>
        <v>92565.27</v>
      </c>
      <c r="E12" s="17"/>
      <c r="F12" s="3"/>
      <c r="G12" s="3">
        <f t="shared" si="1"/>
        <v>92565.27</v>
      </c>
      <c r="H12" s="4"/>
      <c r="I12" s="28">
        <v>0.0</v>
      </c>
      <c r="J12" s="28">
        <v>0.0</v>
      </c>
      <c r="K12" s="28">
        <v>0.0</v>
      </c>
      <c r="L12" s="28">
        <v>0.0</v>
      </c>
      <c r="M12" s="28">
        <v>0.0</v>
      </c>
      <c r="N12" s="28">
        <v>0.0</v>
      </c>
      <c r="O12" s="28">
        <v>0.0</v>
      </c>
      <c r="P12" s="28">
        <v>0.0</v>
      </c>
      <c r="Q12" s="28">
        <v>0.0</v>
      </c>
      <c r="R12" s="28">
        <v>0.0</v>
      </c>
      <c r="S12" s="28">
        <v>0.0</v>
      </c>
      <c r="T12" s="28">
        <v>0.0</v>
      </c>
      <c r="U12" s="28">
        <f t="shared" si="2"/>
        <v>0</v>
      </c>
      <c r="V12" s="3">
        <f>'FAR25'!V12+U12</f>
        <v>92565.27</v>
      </c>
      <c r="W12" s="3">
        <f t="shared" si="3"/>
        <v>0</v>
      </c>
      <c r="X12" s="2"/>
      <c r="Y12" s="2"/>
      <c r="Z12" s="6"/>
      <c r="AA12" s="2"/>
      <c r="AB12" s="6"/>
    </row>
    <row r="13" ht="12.75" customHeight="1">
      <c r="A13" s="62">
        <v>45020.0</v>
      </c>
      <c r="B13" s="63" t="s">
        <v>54</v>
      </c>
      <c r="C13" s="52" t="s">
        <v>66</v>
      </c>
      <c r="D13" s="64">
        <v>12460.87</v>
      </c>
      <c r="E13" s="54"/>
      <c r="F13" s="55"/>
      <c r="G13" s="55">
        <f t="shared" ref="G13:G16" si="4">D13</f>
        <v>12460.87</v>
      </c>
      <c r="H13" s="47"/>
      <c r="I13" s="28">
        <v>0.0</v>
      </c>
      <c r="J13" s="28">
        <v>0.0</v>
      </c>
      <c r="K13" s="28">
        <v>0.0</v>
      </c>
      <c r="L13" s="28">
        <v>0.0</v>
      </c>
      <c r="M13" s="28">
        <v>0.0</v>
      </c>
      <c r="N13" s="28">
        <v>0.0</v>
      </c>
      <c r="O13" s="28">
        <v>0.0</v>
      </c>
      <c r="P13" s="28">
        <v>0.0</v>
      </c>
      <c r="Q13" s="28">
        <v>0.0</v>
      </c>
      <c r="R13" s="28">
        <v>0.0</v>
      </c>
      <c r="S13" s="28">
        <v>0.0</v>
      </c>
      <c r="T13" s="28">
        <v>0.0</v>
      </c>
      <c r="U13" s="28">
        <f t="shared" si="2"/>
        <v>0</v>
      </c>
      <c r="V13" s="46">
        <v>0.0</v>
      </c>
      <c r="W13" s="46">
        <v>0.0</v>
      </c>
      <c r="X13" s="45"/>
      <c r="Y13" s="45"/>
      <c r="Z13" s="49"/>
      <c r="AA13" s="45"/>
      <c r="AB13" s="49"/>
    </row>
    <row r="14" ht="12.75" customHeight="1">
      <c r="A14" s="62">
        <v>45020.0</v>
      </c>
      <c r="B14" s="63" t="s">
        <v>54</v>
      </c>
      <c r="C14" s="52" t="s">
        <v>66</v>
      </c>
      <c r="D14" s="64">
        <v>-12460.87</v>
      </c>
      <c r="E14" s="54"/>
      <c r="F14" s="55"/>
      <c r="G14" s="55">
        <f t="shared" si="4"/>
        <v>-12460.87</v>
      </c>
      <c r="H14" s="47"/>
      <c r="I14" s="28">
        <v>0.0</v>
      </c>
      <c r="J14" s="28">
        <v>0.0</v>
      </c>
      <c r="K14" s="28">
        <v>0.0</v>
      </c>
      <c r="L14" s="28">
        <v>0.0</v>
      </c>
      <c r="M14" s="28">
        <v>0.0</v>
      </c>
      <c r="N14" s="28">
        <v>0.0</v>
      </c>
      <c r="O14" s="28">
        <v>0.0</v>
      </c>
      <c r="P14" s="28">
        <v>0.0</v>
      </c>
      <c r="Q14" s="28">
        <v>0.0</v>
      </c>
      <c r="R14" s="28">
        <v>0.0</v>
      </c>
      <c r="S14" s="28">
        <v>0.0</v>
      </c>
      <c r="T14" s="28">
        <v>0.0</v>
      </c>
      <c r="U14" s="28">
        <f t="shared" si="2"/>
        <v>0</v>
      </c>
      <c r="V14" s="46">
        <v>0.0</v>
      </c>
      <c r="W14" s="46">
        <v>0.0</v>
      </c>
      <c r="X14" s="45"/>
      <c r="Y14" s="45"/>
      <c r="Z14" s="49"/>
      <c r="AA14" s="45"/>
      <c r="AB14" s="49"/>
    </row>
    <row r="15" ht="12.75" customHeight="1">
      <c r="A15" s="50">
        <v>45188.0</v>
      </c>
      <c r="B15" s="51" t="s">
        <v>56</v>
      </c>
      <c r="C15" s="52" t="s">
        <v>57</v>
      </c>
      <c r="D15" s="53">
        <v>7307.41</v>
      </c>
      <c r="E15" s="54"/>
      <c r="F15" s="55"/>
      <c r="G15" s="55">
        <f t="shared" si="4"/>
        <v>7307.41</v>
      </c>
      <c r="H15" s="56"/>
      <c r="I15" s="55">
        <f t="shared" ref="I15:K15" si="5">+$G15/$H$7/12</f>
        <v>202.9836111</v>
      </c>
      <c r="J15" s="55">
        <f t="shared" si="5"/>
        <v>202.9836111</v>
      </c>
      <c r="K15" s="55">
        <f t="shared" si="5"/>
        <v>202.9836111</v>
      </c>
      <c r="L15" s="55"/>
      <c r="M15" s="55"/>
      <c r="N15" s="55"/>
      <c r="O15" s="55"/>
      <c r="P15" s="55"/>
      <c r="Q15" s="55"/>
      <c r="R15" s="55"/>
      <c r="S15" s="55"/>
      <c r="T15" s="55"/>
      <c r="U15" s="57">
        <f t="shared" si="2"/>
        <v>608.9508333</v>
      </c>
      <c r="V15" s="55">
        <f>'FAR26'!V14+U15</f>
        <v>6568.883327</v>
      </c>
      <c r="W15" s="55">
        <f t="shared" ref="W15:W16" si="7">+G15-V15</f>
        <v>738.5266728</v>
      </c>
      <c r="X15" s="54"/>
      <c r="Y15" s="54"/>
      <c r="Z15" s="58"/>
      <c r="AA15" s="54"/>
      <c r="AB15" s="58"/>
    </row>
    <row r="16" ht="12.75" customHeight="1">
      <c r="A16" s="50">
        <v>45848.0</v>
      </c>
      <c r="B16" s="51" t="s">
        <v>67</v>
      </c>
      <c r="C16" s="52" t="s">
        <v>68</v>
      </c>
      <c r="D16" s="53">
        <v>7077.6</v>
      </c>
      <c r="E16" s="54"/>
      <c r="F16" s="55"/>
      <c r="G16" s="55">
        <f t="shared" si="4"/>
        <v>7077.6</v>
      </c>
      <c r="H16" s="56"/>
      <c r="I16" s="55">
        <f t="shared" ref="I16:K16" si="6">+$G16/$H$7/12</f>
        <v>196.6</v>
      </c>
      <c r="J16" s="55">
        <f t="shared" si="6"/>
        <v>196.6</v>
      </c>
      <c r="K16" s="55">
        <f t="shared" si="6"/>
        <v>196.6</v>
      </c>
      <c r="L16" s="55"/>
      <c r="M16" s="55"/>
      <c r="N16" s="55"/>
      <c r="O16" s="55"/>
      <c r="P16" s="55"/>
      <c r="Q16" s="55"/>
      <c r="R16" s="55"/>
      <c r="S16" s="55"/>
      <c r="T16" s="55"/>
      <c r="U16" s="57">
        <f t="shared" si="2"/>
        <v>589.8</v>
      </c>
      <c r="V16" s="55">
        <f>'FAR26'!V15+U16</f>
        <v>2101.734795</v>
      </c>
      <c r="W16" s="55">
        <f t="shared" si="7"/>
        <v>4975.865205</v>
      </c>
      <c r="X16" s="54"/>
      <c r="Y16" s="54"/>
      <c r="Z16" s="58"/>
      <c r="AA16" s="54"/>
      <c r="AB16" s="58"/>
    </row>
    <row r="17" ht="12.75" customHeight="1">
      <c r="A17" s="50"/>
      <c r="B17" s="51"/>
      <c r="C17" s="52"/>
      <c r="D17" s="59"/>
      <c r="E17" s="53"/>
      <c r="F17" s="55"/>
      <c r="G17" s="55"/>
      <c r="H17" s="56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7"/>
      <c r="V17" s="55"/>
      <c r="W17" s="55"/>
      <c r="X17" s="54"/>
      <c r="Y17" s="54"/>
      <c r="Z17" s="58"/>
      <c r="AA17" s="54"/>
      <c r="AB17" s="58"/>
    </row>
    <row r="18" ht="12.75" customHeight="1">
      <c r="A18" s="19"/>
      <c r="B18" s="32"/>
      <c r="C18" s="13"/>
      <c r="D18" s="17"/>
      <c r="E18" s="17"/>
      <c r="F18" s="3"/>
      <c r="G18" s="3"/>
      <c r="H18" s="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28"/>
      <c r="V18" s="3"/>
      <c r="W18" s="3"/>
      <c r="X18" s="2"/>
      <c r="Y18" s="2"/>
      <c r="Z18" s="6"/>
      <c r="AA18" s="2"/>
      <c r="AB18" s="6"/>
    </row>
    <row r="19" ht="12.75" customHeight="1">
      <c r="A19" s="19" t="s">
        <v>50</v>
      </c>
      <c r="B19" s="18"/>
      <c r="C19" s="7"/>
      <c r="D19" s="3"/>
      <c r="E19" s="17"/>
      <c r="F19" s="3"/>
      <c r="G19" s="3"/>
      <c r="H19" s="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2"/>
      <c r="Y19" s="2"/>
      <c r="Z19" s="6"/>
      <c r="AA19" s="2"/>
      <c r="AB19" s="2"/>
    </row>
    <row r="20" ht="12.75" customHeight="1">
      <c r="A20" s="19"/>
      <c r="B20" s="20"/>
      <c r="C20" s="13"/>
      <c r="D20" s="21">
        <f t="shared" ref="D20:E20" si="8">SUM(D6:D19)</f>
        <v>278080.38</v>
      </c>
      <c r="E20" s="21">
        <f t="shared" si="8"/>
        <v>0</v>
      </c>
      <c r="F20" s="22"/>
      <c r="G20" s="22">
        <f>SUM(G8:G19)</f>
        <v>278080.38</v>
      </c>
      <c r="H20" s="4"/>
      <c r="I20" s="22">
        <f t="shared" ref="I20:W20" si="9">SUM(I8:I19)</f>
        <v>399.5836111</v>
      </c>
      <c r="J20" s="22">
        <f t="shared" si="9"/>
        <v>399.5836111</v>
      </c>
      <c r="K20" s="22">
        <f t="shared" si="9"/>
        <v>399.5836111</v>
      </c>
      <c r="L20" s="22">
        <f t="shared" si="9"/>
        <v>0</v>
      </c>
      <c r="M20" s="22">
        <f t="shared" si="9"/>
        <v>0</v>
      </c>
      <c r="N20" s="22">
        <f t="shared" si="9"/>
        <v>0</v>
      </c>
      <c r="O20" s="22">
        <f t="shared" si="9"/>
        <v>0</v>
      </c>
      <c r="P20" s="22">
        <f t="shared" si="9"/>
        <v>0</v>
      </c>
      <c r="Q20" s="22">
        <f t="shared" si="9"/>
        <v>0</v>
      </c>
      <c r="R20" s="22">
        <f t="shared" si="9"/>
        <v>0</v>
      </c>
      <c r="S20" s="22">
        <f t="shared" si="9"/>
        <v>0</v>
      </c>
      <c r="T20" s="22">
        <f t="shared" si="9"/>
        <v>0</v>
      </c>
      <c r="U20" s="22">
        <f t="shared" si="9"/>
        <v>1198.750833</v>
      </c>
      <c r="V20" s="22">
        <f t="shared" si="9"/>
        <v>272365.9918</v>
      </c>
      <c r="W20" s="22">
        <f t="shared" si="9"/>
        <v>5714.38824</v>
      </c>
      <c r="X20" s="2"/>
      <c r="Y20" s="2"/>
      <c r="Z20" s="6"/>
      <c r="AA20" s="23"/>
      <c r="AB20" s="23"/>
    </row>
    <row r="21" ht="12.75" customHeight="1">
      <c r="A21" s="15"/>
      <c r="B21" s="18"/>
      <c r="C21" s="7"/>
      <c r="D21" s="3"/>
      <c r="E21" s="17"/>
      <c r="F21" s="3"/>
      <c r="G21" s="3"/>
      <c r="H21" s="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/>
      <c r="Y21" s="2"/>
      <c r="Z21" s="6"/>
      <c r="AA21" s="2"/>
      <c r="AB21" s="2"/>
    </row>
    <row r="22" ht="12.75" customHeight="1">
      <c r="A22" s="8" t="s">
        <v>2</v>
      </c>
      <c r="B22" s="8" t="s">
        <v>3</v>
      </c>
      <c r="C22" s="8" t="s">
        <v>4</v>
      </c>
      <c r="D22" s="9" t="s">
        <v>18</v>
      </c>
      <c r="E22" s="9" t="s">
        <v>6</v>
      </c>
      <c r="F22" s="9" t="s">
        <v>20</v>
      </c>
      <c r="G22" s="9" t="s">
        <v>8</v>
      </c>
      <c r="H22" s="10" t="s">
        <v>9</v>
      </c>
      <c r="I22" s="11">
        <v>46112.0</v>
      </c>
      <c r="J22" s="11">
        <v>46142.0</v>
      </c>
      <c r="K22" s="11">
        <v>46173.0</v>
      </c>
      <c r="L22" s="11">
        <v>46203.0</v>
      </c>
      <c r="M22" s="11">
        <v>46234.0</v>
      </c>
      <c r="N22" s="11">
        <v>46265.0</v>
      </c>
      <c r="O22" s="11">
        <v>46295.0</v>
      </c>
      <c r="P22" s="11">
        <v>46326.0</v>
      </c>
      <c r="Q22" s="11">
        <v>46356.0</v>
      </c>
      <c r="R22" s="11">
        <v>46387.0</v>
      </c>
      <c r="S22" s="11">
        <v>46418.0</v>
      </c>
      <c r="T22" s="11">
        <v>46446.0</v>
      </c>
      <c r="U22" s="11" t="s">
        <v>10</v>
      </c>
      <c r="V22" s="11" t="s">
        <v>11</v>
      </c>
      <c r="W22" s="11" t="s">
        <v>77</v>
      </c>
      <c r="X22" s="2"/>
      <c r="Y22" s="2"/>
      <c r="Z22" s="6"/>
      <c r="AA22" s="2"/>
      <c r="AB22" s="6"/>
    </row>
    <row r="23" ht="12.75" customHeight="1">
      <c r="A23" s="13" t="s">
        <v>21</v>
      </c>
      <c r="B23" s="2"/>
      <c r="C23" s="2"/>
      <c r="D23" s="14"/>
      <c r="E23" s="3"/>
      <c r="F23" s="3"/>
      <c r="G23" s="3"/>
      <c r="H23" s="4" t="s">
        <v>22</v>
      </c>
      <c r="I23" s="13" t="str">
        <f>+A23</f>
        <v>6200&gt;020 (Furniture &amp; Fittings&gt;Cost)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/>
      <c r="Y23" s="2"/>
      <c r="Z23" s="2"/>
      <c r="AA23" s="2"/>
      <c r="AB23" s="2"/>
    </row>
    <row r="24" ht="12.75" customHeight="1">
      <c r="A24" s="8"/>
      <c r="B24" s="2"/>
      <c r="C24" s="2"/>
      <c r="D24" s="14"/>
      <c r="E24" s="3"/>
      <c r="F24" s="3"/>
      <c r="G24" s="3"/>
      <c r="H24" s="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"/>
      <c r="Y24" s="2"/>
      <c r="Z24" s="2"/>
      <c r="AA24" s="2"/>
      <c r="AB24" s="2"/>
    </row>
    <row r="25" ht="12.75" customHeight="1">
      <c r="A25" s="15">
        <v>42836.0</v>
      </c>
      <c r="B25" s="16">
        <v>30110.0</v>
      </c>
      <c r="C25" s="7" t="s">
        <v>23</v>
      </c>
      <c r="D25" s="17">
        <f>'FAR21'!G19</f>
        <v>52250</v>
      </c>
      <c r="E25" s="3"/>
      <c r="F25" s="3"/>
      <c r="G25" s="3">
        <f t="shared" ref="G25:G30" si="10">+D25+E25-F25</f>
        <v>52250</v>
      </c>
      <c r="H25" s="4"/>
      <c r="I25" s="28">
        <v>0.0</v>
      </c>
      <c r="J25" s="28">
        <v>0.0</v>
      </c>
      <c r="K25" s="28">
        <v>0.0</v>
      </c>
      <c r="L25" s="28">
        <v>0.0</v>
      </c>
      <c r="M25" s="28">
        <v>0.0</v>
      </c>
      <c r="N25" s="28">
        <v>0.0</v>
      </c>
      <c r="O25" s="28">
        <v>0.0</v>
      </c>
      <c r="P25" s="28">
        <v>0.0</v>
      </c>
      <c r="Q25" s="28">
        <v>0.0</v>
      </c>
      <c r="R25" s="28">
        <v>0.0</v>
      </c>
      <c r="S25" s="28">
        <v>0.0</v>
      </c>
      <c r="T25" s="28">
        <v>0.0</v>
      </c>
      <c r="U25" s="3">
        <f t="shared" ref="U25:U32" si="11">SUM(I25:T25)</f>
        <v>0</v>
      </c>
      <c r="V25" s="3">
        <f>'FAR25'!V22+U25</f>
        <v>52249.99606</v>
      </c>
      <c r="W25" s="3">
        <f t="shared" ref="W25:W30" si="12">+G25-V25</f>
        <v>0.003942161333</v>
      </c>
      <c r="X25" s="2"/>
      <c r="Y25" s="2"/>
      <c r="Z25" s="2"/>
      <c r="AA25" s="2"/>
      <c r="AB25" s="2"/>
    </row>
    <row r="26" ht="12.75" customHeight="1">
      <c r="A26" s="15">
        <v>43165.0</v>
      </c>
      <c r="B26" s="16" t="s">
        <v>31</v>
      </c>
      <c r="C26" s="7" t="s">
        <v>32</v>
      </c>
      <c r="D26" s="17">
        <f>'FAR21'!G20</f>
        <v>44144</v>
      </c>
      <c r="E26" s="3"/>
      <c r="F26" s="3"/>
      <c r="G26" s="3">
        <f t="shared" si="10"/>
        <v>44144</v>
      </c>
      <c r="H26" s="4"/>
      <c r="I26" s="28">
        <v>0.0</v>
      </c>
      <c r="J26" s="28">
        <v>0.0</v>
      </c>
      <c r="K26" s="28">
        <v>0.0</v>
      </c>
      <c r="L26" s="28">
        <v>0.0</v>
      </c>
      <c r="M26" s="28">
        <v>0.0</v>
      </c>
      <c r="N26" s="28">
        <v>0.0</v>
      </c>
      <c r="O26" s="28">
        <v>0.0</v>
      </c>
      <c r="P26" s="28">
        <v>0.0</v>
      </c>
      <c r="Q26" s="28">
        <v>0.0</v>
      </c>
      <c r="R26" s="28">
        <v>0.0</v>
      </c>
      <c r="S26" s="28">
        <v>0.0</v>
      </c>
      <c r="T26" s="28">
        <v>0.0</v>
      </c>
      <c r="U26" s="3">
        <f t="shared" si="11"/>
        <v>0</v>
      </c>
      <c r="V26" s="3">
        <f>'FAR25'!V23+U26</f>
        <v>44143.99583</v>
      </c>
      <c r="W26" s="3">
        <f t="shared" si="12"/>
        <v>0.004170471831</v>
      </c>
      <c r="X26" s="2"/>
      <c r="Y26" s="2"/>
      <c r="Z26" s="2"/>
      <c r="AA26" s="2"/>
      <c r="AB26" s="2"/>
    </row>
    <row r="27" ht="12.75" customHeight="1">
      <c r="A27" s="15">
        <v>43179.0</v>
      </c>
      <c r="B27" s="16">
        <v>32006.0</v>
      </c>
      <c r="C27" s="7" t="s">
        <v>33</v>
      </c>
      <c r="D27" s="17">
        <f>'FAR21'!G21</f>
        <v>19430</v>
      </c>
      <c r="E27" s="3"/>
      <c r="F27" s="3"/>
      <c r="G27" s="3">
        <f t="shared" si="10"/>
        <v>19430</v>
      </c>
      <c r="H27" s="4"/>
      <c r="I27" s="28">
        <v>0.0</v>
      </c>
      <c r="J27" s="28">
        <v>0.0</v>
      </c>
      <c r="K27" s="28">
        <v>0.0</v>
      </c>
      <c r="L27" s="28">
        <v>0.0</v>
      </c>
      <c r="M27" s="28">
        <v>0.0</v>
      </c>
      <c r="N27" s="28">
        <v>0.0</v>
      </c>
      <c r="O27" s="28">
        <v>0.0</v>
      </c>
      <c r="P27" s="28">
        <v>0.0</v>
      </c>
      <c r="Q27" s="28">
        <v>0.0</v>
      </c>
      <c r="R27" s="28">
        <v>0.0</v>
      </c>
      <c r="S27" s="28">
        <v>0.0</v>
      </c>
      <c r="T27" s="28">
        <v>0.0</v>
      </c>
      <c r="U27" s="3">
        <f t="shared" si="11"/>
        <v>0</v>
      </c>
      <c r="V27" s="3">
        <f>'FAR25'!V24+U27</f>
        <v>19430.0025</v>
      </c>
      <c r="W27" s="3">
        <f t="shared" si="12"/>
        <v>-0.002496194829</v>
      </c>
      <c r="X27" s="2"/>
      <c r="Y27" s="2"/>
      <c r="Z27" s="2"/>
      <c r="AA27" s="2"/>
      <c r="AB27" s="2"/>
    </row>
    <row r="28" ht="12.75" customHeight="1">
      <c r="A28" s="15">
        <v>43578.0</v>
      </c>
      <c r="B28" s="16" t="s">
        <v>36</v>
      </c>
      <c r="C28" s="7" t="s">
        <v>37</v>
      </c>
      <c r="D28" s="17">
        <f>'FAR21'!G22</f>
        <v>26544</v>
      </c>
      <c r="E28" s="3"/>
      <c r="F28" s="3"/>
      <c r="G28" s="3">
        <f t="shared" si="10"/>
        <v>26544</v>
      </c>
      <c r="H28" s="4"/>
      <c r="I28" s="28">
        <v>0.0</v>
      </c>
      <c r="J28" s="28">
        <v>0.0</v>
      </c>
      <c r="K28" s="28">
        <v>0.0</v>
      </c>
      <c r="L28" s="28">
        <v>0.0</v>
      </c>
      <c r="M28" s="28">
        <v>0.0</v>
      </c>
      <c r="N28" s="28">
        <v>0.0</v>
      </c>
      <c r="O28" s="28">
        <v>0.0</v>
      </c>
      <c r="P28" s="28">
        <v>0.0</v>
      </c>
      <c r="Q28" s="28">
        <v>0.0</v>
      </c>
      <c r="R28" s="28">
        <v>0.0</v>
      </c>
      <c r="S28" s="28">
        <v>0.0</v>
      </c>
      <c r="T28" s="28">
        <v>0.0</v>
      </c>
      <c r="U28" s="3">
        <f t="shared" si="11"/>
        <v>0</v>
      </c>
      <c r="V28" s="3">
        <f>'FAR26'!V27</f>
        <v>26543.99717</v>
      </c>
      <c r="W28" s="3">
        <f t="shared" si="12"/>
        <v>0.002831050231</v>
      </c>
      <c r="X28" s="2"/>
      <c r="Y28" s="2"/>
      <c r="Z28" s="2"/>
      <c r="AA28" s="2"/>
      <c r="AB28" s="2"/>
    </row>
    <row r="29" ht="12.75" customHeight="1">
      <c r="A29" s="15">
        <v>43710.0</v>
      </c>
      <c r="B29" s="16">
        <v>34825.0</v>
      </c>
      <c r="C29" s="7" t="s">
        <v>38</v>
      </c>
      <c r="D29" s="17">
        <f>'FAR21'!G23</f>
        <v>15767</v>
      </c>
      <c r="E29" s="3"/>
      <c r="F29" s="3"/>
      <c r="G29" s="3">
        <f t="shared" si="10"/>
        <v>15767</v>
      </c>
      <c r="H29" s="4"/>
      <c r="I29" s="28">
        <v>0.0</v>
      </c>
      <c r="J29" s="28">
        <v>0.0</v>
      </c>
      <c r="K29" s="28">
        <v>0.0</v>
      </c>
      <c r="L29" s="28">
        <v>0.0</v>
      </c>
      <c r="M29" s="28">
        <v>0.0</v>
      </c>
      <c r="N29" s="28">
        <v>0.0</v>
      </c>
      <c r="O29" s="28">
        <v>0.0</v>
      </c>
      <c r="P29" s="28">
        <v>0.0</v>
      </c>
      <c r="Q29" s="28">
        <v>0.0</v>
      </c>
      <c r="R29" s="28">
        <v>0.0</v>
      </c>
      <c r="S29" s="28">
        <v>0.0</v>
      </c>
      <c r="T29" s="28">
        <v>0.0</v>
      </c>
      <c r="U29" s="3">
        <f t="shared" si="11"/>
        <v>0</v>
      </c>
      <c r="V29" s="3">
        <f>'FAR26'!V28</f>
        <v>15767</v>
      </c>
      <c r="W29" s="3">
        <f t="shared" si="12"/>
        <v>0</v>
      </c>
      <c r="X29" s="2"/>
      <c r="Y29" s="2"/>
      <c r="Z29" s="2"/>
      <c r="AA29" s="2"/>
      <c r="AB29" s="2"/>
    </row>
    <row r="30" ht="12.75" customHeight="1">
      <c r="A30" s="15">
        <v>43710.0</v>
      </c>
      <c r="B30" s="16">
        <v>34825.0</v>
      </c>
      <c r="C30" s="7" t="s">
        <v>39</v>
      </c>
      <c r="D30" s="17">
        <f>'FAR21'!G24</f>
        <v>25647</v>
      </c>
      <c r="E30" s="17"/>
      <c r="F30" s="3"/>
      <c r="G30" s="3">
        <f t="shared" si="10"/>
        <v>25647</v>
      </c>
      <c r="H30" s="4"/>
      <c r="I30" s="28">
        <v>0.0</v>
      </c>
      <c r="J30" s="28">
        <v>0.0</v>
      </c>
      <c r="K30" s="28">
        <v>0.0</v>
      </c>
      <c r="L30" s="28">
        <v>0.0</v>
      </c>
      <c r="M30" s="28">
        <v>0.0</v>
      </c>
      <c r="N30" s="28">
        <v>0.0</v>
      </c>
      <c r="O30" s="28">
        <v>0.0</v>
      </c>
      <c r="P30" s="28">
        <v>0.0</v>
      </c>
      <c r="Q30" s="28">
        <v>0.0</v>
      </c>
      <c r="R30" s="28">
        <v>0.0</v>
      </c>
      <c r="S30" s="28">
        <v>0.0</v>
      </c>
      <c r="T30" s="28">
        <v>0.0</v>
      </c>
      <c r="U30" s="3">
        <f t="shared" si="11"/>
        <v>0</v>
      </c>
      <c r="V30" s="3">
        <f>'FAR26'!V29</f>
        <v>25647</v>
      </c>
      <c r="W30" s="3">
        <f t="shared" si="12"/>
        <v>0</v>
      </c>
      <c r="X30" s="2"/>
      <c r="Y30" s="2"/>
      <c r="Z30" s="2"/>
      <c r="AA30" s="2"/>
      <c r="AB30" s="2"/>
    </row>
    <row r="31" ht="12.75" customHeight="1">
      <c r="A31" s="15">
        <v>44791.0</v>
      </c>
      <c r="B31" s="16" t="s">
        <v>31</v>
      </c>
      <c r="C31" s="7" t="s">
        <v>52</v>
      </c>
      <c r="D31" s="17">
        <v>13715.0</v>
      </c>
      <c r="E31" s="17"/>
      <c r="F31" s="3"/>
      <c r="G31" s="3">
        <v>13715.0</v>
      </c>
      <c r="H31" s="4"/>
      <c r="I31" s="3">
        <f t="shared" ref="I31:K31" si="13">+$G31/$H$23/12</f>
        <v>190.4861111</v>
      </c>
      <c r="J31" s="3">
        <f t="shared" si="13"/>
        <v>190.4861111</v>
      </c>
      <c r="K31" s="3">
        <f t="shared" si="13"/>
        <v>190.4861111</v>
      </c>
      <c r="L31" s="3"/>
      <c r="M31" s="3"/>
      <c r="N31" s="3"/>
      <c r="O31" s="3"/>
      <c r="P31" s="3"/>
      <c r="Q31" s="3"/>
      <c r="R31" s="3"/>
      <c r="S31" s="3"/>
      <c r="T31" s="3"/>
      <c r="U31" s="3">
        <f t="shared" si="11"/>
        <v>571.4583333</v>
      </c>
      <c r="V31" s="3">
        <f>'FAR26'!V30+U31</f>
        <v>8653.288242</v>
      </c>
      <c r="W31" s="3">
        <f t="shared" ref="W31:W32" si="15">G31-V31</f>
        <v>5061.711758</v>
      </c>
      <c r="X31" s="2"/>
      <c r="Y31" s="2"/>
      <c r="Z31" s="2"/>
      <c r="AA31" s="2"/>
      <c r="AB31" s="2"/>
    </row>
    <row r="32" ht="12.75" customHeight="1">
      <c r="A32" s="15">
        <v>45817.0</v>
      </c>
      <c r="B32" s="16" t="s">
        <v>69</v>
      </c>
      <c r="C32" s="7" t="s">
        <v>70</v>
      </c>
      <c r="D32" s="17">
        <v>38261.41</v>
      </c>
      <c r="E32" s="3"/>
      <c r="F32" s="3"/>
      <c r="G32" s="3">
        <v>38261.41</v>
      </c>
      <c r="H32" s="4"/>
      <c r="I32" s="3">
        <f t="shared" ref="I32:K32" si="14">+$G32/$H$23/12</f>
        <v>531.4084722</v>
      </c>
      <c r="J32" s="3">
        <f t="shared" si="14"/>
        <v>531.4084722</v>
      </c>
      <c r="K32" s="3">
        <f t="shared" si="14"/>
        <v>531.4084722</v>
      </c>
      <c r="L32" s="3"/>
      <c r="M32" s="3"/>
      <c r="N32" s="3"/>
      <c r="O32" s="3"/>
      <c r="P32" s="3"/>
      <c r="Q32" s="3"/>
      <c r="R32" s="3"/>
      <c r="S32" s="3"/>
      <c r="T32" s="3"/>
      <c r="U32" s="3">
        <f t="shared" si="11"/>
        <v>1594.225417</v>
      </c>
      <c r="V32" s="3">
        <f>'FAR26'!V31+U32</f>
        <v>6212.383427</v>
      </c>
      <c r="W32" s="3">
        <f t="shared" si="15"/>
        <v>32049.02657</v>
      </c>
      <c r="X32" s="2"/>
      <c r="Y32" s="2"/>
      <c r="Z32" s="2"/>
      <c r="AA32" s="2"/>
      <c r="AB32" s="2"/>
    </row>
    <row r="33" ht="12.75" customHeight="1">
      <c r="A33" s="15"/>
      <c r="B33" s="16"/>
      <c r="C33" s="7"/>
      <c r="D33" s="3"/>
      <c r="E33" s="17"/>
      <c r="F33" s="3"/>
      <c r="G33" s="3"/>
      <c r="H33" s="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/>
      <c r="Y33" s="2"/>
      <c r="Z33" s="2"/>
      <c r="AA33" s="2"/>
      <c r="AB33" s="2"/>
    </row>
    <row r="34" ht="12.75" customHeight="1">
      <c r="A34" s="23"/>
      <c r="B34" s="23"/>
      <c r="C34" s="23"/>
      <c r="D34" s="22">
        <f t="shared" ref="D34:E34" si="16">SUM(D23:D33)</f>
        <v>235758.41</v>
      </c>
      <c r="E34" s="22">
        <f t="shared" si="16"/>
        <v>0</v>
      </c>
      <c r="F34" s="22">
        <f>SUM(F23:F30)</f>
        <v>0</v>
      </c>
      <c r="G34" s="22">
        <f>SUM(D34:F34)</f>
        <v>235758.41</v>
      </c>
      <c r="H34" s="4"/>
      <c r="I34" s="22">
        <f t="shared" ref="I34:W34" si="17">SUM(I25:I33)</f>
        <v>721.8945833</v>
      </c>
      <c r="J34" s="22">
        <f t="shared" si="17"/>
        <v>721.8945833</v>
      </c>
      <c r="K34" s="22">
        <f t="shared" si="17"/>
        <v>721.8945833</v>
      </c>
      <c r="L34" s="22">
        <f t="shared" si="17"/>
        <v>0</v>
      </c>
      <c r="M34" s="22">
        <f t="shared" si="17"/>
        <v>0</v>
      </c>
      <c r="N34" s="22">
        <f t="shared" si="17"/>
        <v>0</v>
      </c>
      <c r="O34" s="22">
        <f t="shared" si="17"/>
        <v>0</v>
      </c>
      <c r="P34" s="22">
        <f t="shared" si="17"/>
        <v>0</v>
      </c>
      <c r="Q34" s="22">
        <f t="shared" si="17"/>
        <v>0</v>
      </c>
      <c r="R34" s="22">
        <f t="shared" si="17"/>
        <v>0</v>
      </c>
      <c r="S34" s="22">
        <f t="shared" si="17"/>
        <v>0</v>
      </c>
      <c r="T34" s="22">
        <f t="shared" si="17"/>
        <v>0</v>
      </c>
      <c r="U34" s="22">
        <f t="shared" si="17"/>
        <v>2165.68375</v>
      </c>
      <c r="V34" s="22">
        <f t="shared" si="17"/>
        <v>198647.6632</v>
      </c>
      <c r="W34" s="22">
        <f t="shared" si="17"/>
        <v>37110.74678</v>
      </c>
      <c r="X34" s="2"/>
      <c r="Y34" s="23"/>
      <c r="Z34" s="23"/>
      <c r="AA34" s="23"/>
      <c r="AB34" s="23"/>
    </row>
    <row r="35" ht="12.75" customHeight="1">
      <c r="A35" s="23"/>
      <c r="B35" s="23"/>
      <c r="C35" s="23"/>
      <c r="D35" s="24"/>
      <c r="E35" s="24"/>
      <c r="F35" s="24"/>
      <c r="G35" s="24"/>
      <c r="H35" s="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"/>
      <c r="Y35" s="23"/>
      <c r="Z35" s="23"/>
      <c r="AA35" s="23"/>
      <c r="AB35" s="23"/>
    </row>
    <row r="36" ht="12.75" customHeight="1">
      <c r="A36" s="8" t="s">
        <v>2</v>
      </c>
      <c r="B36" s="8" t="s">
        <v>3</v>
      </c>
      <c r="C36" s="8" t="s">
        <v>4</v>
      </c>
      <c r="D36" s="9" t="s">
        <v>18</v>
      </c>
      <c r="E36" s="9" t="s">
        <v>6</v>
      </c>
      <c r="F36" s="9" t="s">
        <v>20</v>
      </c>
      <c r="G36" s="9" t="s">
        <v>8</v>
      </c>
      <c r="H36" s="10" t="s">
        <v>9</v>
      </c>
      <c r="I36" s="11">
        <v>46112.0</v>
      </c>
      <c r="J36" s="11">
        <v>46142.0</v>
      </c>
      <c r="K36" s="11">
        <v>46173.0</v>
      </c>
      <c r="L36" s="11">
        <v>46203.0</v>
      </c>
      <c r="M36" s="11">
        <v>46234.0</v>
      </c>
      <c r="N36" s="11">
        <v>46265.0</v>
      </c>
      <c r="O36" s="11">
        <v>46295.0</v>
      </c>
      <c r="P36" s="11">
        <v>46326.0</v>
      </c>
      <c r="Q36" s="11">
        <v>46356.0</v>
      </c>
      <c r="R36" s="11">
        <v>46387.0</v>
      </c>
      <c r="S36" s="11">
        <v>46418.0</v>
      </c>
      <c r="T36" s="11">
        <v>46446.0</v>
      </c>
      <c r="U36" s="11" t="s">
        <v>10</v>
      </c>
      <c r="V36" s="11" t="s">
        <v>11</v>
      </c>
      <c r="W36" s="11" t="s">
        <v>77</v>
      </c>
      <c r="X36" s="2"/>
      <c r="Y36" s="2"/>
      <c r="Z36" s="6"/>
      <c r="AA36" s="2"/>
      <c r="AB36" s="6"/>
    </row>
    <row r="37" ht="12.75" customHeight="1">
      <c r="A37" s="13" t="s">
        <v>24</v>
      </c>
      <c r="B37" s="2"/>
      <c r="C37" s="2"/>
      <c r="D37" s="3"/>
      <c r="E37" s="14"/>
      <c r="F37" s="3"/>
      <c r="G37" s="3"/>
      <c r="H37" s="4" t="s">
        <v>25</v>
      </c>
      <c r="I37" s="13" t="str">
        <f>+A37</f>
        <v>6300&gt;020 (Motor Vehicles&gt;Cost)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/>
      <c r="Y37" s="2"/>
      <c r="Z37" s="2"/>
      <c r="AA37" s="2"/>
      <c r="AB37" s="2"/>
    </row>
    <row r="38" ht="12.75" customHeight="1">
      <c r="A38" s="8"/>
      <c r="B38" s="2"/>
      <c r="C38" s="2"/>
      <c r="D38" s="3"/>
      <c r="E38" s="14"/>
      <c r="F38" s="3"/>
      <c r="G38" s="3"/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2"/>
      <c r="Y38" s="2"/>
      <c r="Z38" s="2"/>
      <c r="AA38" s="2"/>
      <c r="AB38" s="2"/>
    </row>
    <row r="39" ht="12.75" customHeight="1">
      <c r="A39" s="15">
        <v>42860.0</v>
      </c>
      <c r="B39" s="16">
        <v>8.900964E7</v>
      </c>
      <c r="C39" s="7" t="s">
        <v>26</v>
      </c>
      <c r="D39" s="3">
        <f>'FAR21'!G31</f>
        <v>255969.92</v>
      </c>
      <c r="E39" s="17"/>
      <c r="F39" s="3"/>
      <c r="G39" s="3">
        <f>+D39+E39-F39</f>
        <v>255969.92</v>
      </c>
      <c r="H39" s="4"/>
      <c r="I39" s="28">
        <v>0.0</v>
      </c>
      <c r="J39" s="28">
        <v>0.0</v>
      </c>
      <c r="K39" s="28">
        <v>0.0</v>
      </c>
      <c r="L39" s="28">
        <v>0.0</v>
      </c>
      <c r="M39" s="28">
        <v>0.0</v>
      </c>
      <c r="N39" s="28">
        <v>0.0</v>
      </c>
      <c r="O39" s="28">
        <v>0.0</v>
      </c>
      <c r="P39" s="28">
        <v>0.0</v>
      </c>
      <c r="Q39" s="28">
        <v>0.0</v>
      </c>
      <c r="R39" s="28">
        <v>0.0</v>
      </c>
      <c r="S39" s="28">
        <v>0.0</v>
      </c>
      <c r="T39" s="28">
        <v>0.0</v>
      </c>
      <c r="U39" s="3">
        <f>SUM(I39:T39)</f>
        <v>0</v>
      </c>
      <c r="V39" s="3">
        <f>'FAR25'!V35+U39</f>
        <v>255969.9194</v>
      </c>
      <c r="W39" s="3">
        <f>+G39-V39</f>
        <v>0.0005826484412</v>
      </c>
      <c r="X39" s="2"/>
      <c r="Y39" s="2"/>
      <c r="Z39" s="2"/>
      <c r="AA39" s="2"/>
      <c r="AB39" s="2"/>
    </row>
    <row r="40" ht="12.75" customHeight="1">
      <c r="A40" s="7"/>
      <c r="B40" s="7"/>
      <c r="C40" s="7"/>
      <c r="D40" s="3"/>
      <c r="E40" s="17"/>
      <c r="F40" s="3"/>
      <c r="G40" s="3"/>
      <c r="H40" s="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2"/>
      <c r="Y40" s="2"/>
      <c r="Z40" s="2"/>
      <c r="AA40" s="2"/>
      <c r="AB40" s="2"/>
    </row>
    <row r="41" ht="12.75" customHeight="1">
      <c r="A41" s="23"/>
      <c r="B41" s="23"/>
      <c r="C41" s="23"/>
      <c r="D41" s="22">
        <f t="shared" ref="D41:F41" si="18">SUM(D39)</f>
        <v>255969.92</v>
      </c>
      <c r="E41" s="21">
        <f t="shared" si="18"/>
        <v>0</v>
      </c>
      <c r="F41" s="22">
        <f t="shared" si="18"/>
        <v>0</v>
      </c>
      <c r="G41" s="22">
        <f>SUM(D41:F41)</f>
        <v>255969.92</v>
      </c>
      <c r="H41" s="4"/>
      <c r="I41" s="22">
        <f t="shared" ref="I41:W41" si="19">SUM(I39)</f>
        <v>0</v>
      </c>
      <c r="J41" s="22">
        <f t="shared" si="19"/>
        <v>0</v>
      </c>
      <c r="K41" s="22">
        <f t="shared" si="19"/>
        <v>0</v>
      </c>
      <c r="L41" s="22">
        <f t="shared" si="19"/>
        <v>0</v>
      </c>
      <c r="M41" s="22">
        <f t="shared" si="19"/>
        <v>0</v>
      </c>
      <c r="N41" s="22">
        <f t="shared" si="19"/>
        <v>0</v>
      </c>
      <c r="O41" s="22">
        <f t="shared" si="19"/>
        <v>0</v>
      </c>
      <c r="P41" s="22">
        <f t="shared" si="19"/>
        <v>0</v>
      </c>
      <c r="Q41" s="22">
        <f t="shared" si="19"/>
        <v>0</v>
      </c>
      <c r="R41" s="22">
        <f t="shared" si="19"/>
        <v>0</v>
      </c>
      <c r="S41" s="22">
        <f t="shared" si="19"/>
        <v>0</v>
      </c>
      <c r="T41" s="22">
        <f t="shared" si="19"/>
        <v>0</v>
      </c>
      <c r="U41" s="22">
        <f t="shared" si="19"/>
        <v>0</v>
      </c>
      <c r="V41" s="22">
        <f t="shared" si="19"/>
        <v>255969.9194</v>
      </c>
      <c r="W41" s="22">
        <f t="shared" si="19"/>
        <v>0.0005826484412</v>
      </c>
      <c r="X41" s="23"/>
      <c r="Y41" s="23"/>
      <c r="Z41" s="23"/>
      <c r="AA41" s="23"/>
      <c r="AB41" s="23"/>
    </row>
    <row r="42" ht="12.75" customHeight="1">
      <c r="A42" s="23"/>
      <c r="B42" s="23"/>
      <c r="C42" s="23"/>
      <c r="D42" s="24"/>
      <c r="E42" s="14"/>
      <c r="F42" s="24"/>
      <c r="G42" s="24"/>
      <c r="H42" s="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3"/>
      <c r="Y42" s="23"/>
      <c r="Z42" s="23"/>
      <c r="AA42" s="23"/>
      <c r="AB42" s="23"/>
    </row>
    <row r="43" ht="12.75" customHeight="1">
      <c r="A43" s="23"/>
      <c r="B43" s="23"/>
      <c r="C43" s="23"/>
      <c r="D43" s="24"/>
      <c r="E43" s="14"/>
      <c r="F43" s="24"/>
      <c r="G43" s="24"/>
      <c r="H43" s="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3"/>
      <c r="Y43" s="23"/>
      <c r="Z43" s="23"/>
      <c r="AA43" s="23"/>
      <c r="AB43" s="23"/>
    </row>
    <row r="44" ht="12.75" customHeight="1">
      <c r="A44" s="8" t="s">
        <v>2</v>
      </c>
      <c r="B44" s="8" t="s">
        <v>3</v>
      </c>
      <c r="C44" s="8" t="s">
        <v>4</v>
      </c>
      <c r="D44" s="9" t="s">
        <v>18</v>
      </c>
      <c r="E44" s="9" t="s">
        <v>6</v>
      </c>
      <c r="F44" s="9" t="s">
        <v>20</v>
      </c>
      <c r="G44" s="9" t="s">
        <v>8</v>
      </c>
      <c r="H44" s="10" t="s">
        <v>9</v>
      </c>
      <c r="I44" s="11">
        <v>46112.0</v>
      </c>
      <c r="J44" s="11">
        <v>46142.0</v>
      </c>
      <c r="K44" s="11">
        <v>46173.0</v>
      </c>
      <c r="L44" s="11">
        <v>46203.0</v>
      </c>
      <c r="M44" s="11">
        <v>46234.0</v>
      </c>
      <c r="N44" s="11">
        <v>46265.0</v>
      </c>
      <c r="O44" s="11">
        <v>46295.0</v>
      </c>
      <c r="P44" s="11">
        <v>46326.0</v>
      </c>
      <c r="Q44" s="11">
        <v>46356.0</v>
      </c>
      <c r="R44" s="11">
        <v>46387.0</v>
      </c>
      <c r="S44" s="11">
        <v>46418.0</v>
      </c>
      <c r="T44" s="11">
        <v>46446.0</v>
      </c>
      <c r="U44" s="11" t="s">
        <v>10</v>
      </c>
      <c r="V44" s="11" t="s">
        <v>11</v>
      </c>
      <c r="W44" s="11" t="s">
        <v>77</v>
      </c>
      <c r="X44" s="2"/>
      <c r="Y44" s="2"/>
      <c r="Z44" s="2"/>
      <c r="AA44" s="2"/>
      <c r="AB44" s="2"/>
    </row>
    <row r="45" ht="12.75" customHeight="1">
      <c r="A45" s="13" t="s">
        <v>58</v>
      </c>
      <c r="B45" s="8"/>
      <c r="C45" s="8"/>
      <c r="D45" s="9"/>
      <c r="E45" s="9"/>
      <c r="F45" s="9"/>
      <c r="G45" s="9"/>
      <c r="H45" s="10"/>
      <c r="I45" s="35" t="str">
        <f>+A45</f>
        <v>6400&gt;020 (Office Equipment&gt;Cost)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2"/>
      <c r="Y45" s="2"/>
      <c r="Z45" s="2"/>
      <c r="AA45" s="2"/>
      <c r="AB45" s="2"/>
    </row>
    <row r="46" ht="12.75" customHeight="1">
      <c r="A46" s="2"/>
      <c r="B46" s="2"/>
      <c r="C46" s="2"/>
      <c r="D46" s="14"/>
      <c r="E46" s="3"/>
      <c r="F46" s="3"/>
      <c r="G46" s="3"/>
      <c r="H46" s="4" t="s">
        <v>22</v>
      </c>
      <c r="I46" s="1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2"/>
      <c r="Y46" s="2"/>
      <c r="Z46" s="2"/>
      <c r="AA46" s="2"/>
      <c r="AB46" s="2"/>
    </row>
    <row r="47" ht="12.75" customHeight="1">
      <c r="A47" s="6">
        <v>45139.0</v>
      </c>
      <c r="B47" s="2" t="s">
        <v>59</v>
      </c>
      <c r="C47" s="2" t="s">
        <v>60</v>
      </c>
      <c r="D47" s="3">
        <v>44100.0</v>
      </c>
      <c r="E47" s="2"/>
      <c r="F47" s="3"/>
      <c r="G47" s="3">
        <v>44100.0</v>
      </c>
      <c r="H47" s="4"/>
      <c r="I47" s="3">
        <f t="shared" ref="I47:K47" si="20">+$G47/$H$46/12</f>
        <v>612.5</v>
      </c>
      <c r="J47" s="3">
        <f t="shared" si="20"/>
        <v>612.5</v>
      </c>
      <c r="K47" s="3">
        <f t="shared" si="20"/>
        <v>612.5</v>
      </c>
      <c r="L47" s="3"/>
      <c r="M47" s="3"/>
      <c r="N47" s="3"/>
      <c r="O47" s="3"/>
      <c r="P47" s="3"/>
      <c r="Q47" s="3"/>
      <c r="R47" s="3"/>
      <c r="S47" s="3"/>
      <c r="T47" s="3"/>
      <c r="U47" s="3">
        <f t="shared" ref="U47:U50" si="22">SUM(I47:T47)</f>
        <v>1837.5</v>
      </c>
      <c r="V47" s="3">
        <f>'FAR26'!V46+U47</f>
        <v>20825</v>
      </c>
      <c r="W47" s="3">
        <f t="shared" ref="W47:W50" si="23">G47-V47</f>
        <v>23275</v>
      </c>
      <c r="X47" s="2"/>
      <c r="Y47" s="2"/>
      <c r="Z47" s="2"/>
      <c r="AA47" s="2"/>
      <c r="AB47" s="2"/>
    </row>
    <row r="48" ht="12.75" customHeight="1">
      <c r="A48" s="6">
        <v>45870.0</v>
      </c>
      <c r="B48" s="2" t="s">
        <v>71</v>
      </c>
      <c r="C48" s="2" t="s">
        <v>72</v>
      </c>
      <c r="D48" s="3">
        <v>4021.04</v>
      </c>
      <c r="E48" s="3"/>
      <c r="F48" s="3"/>
      <c r="G48" s="3">
        <v>4021.06</v>
      </c>
      <c r="H48" s="4"/>
      <c r="I48" s="3">
        <f t="shared" ref="I48:K48" si="21">+$G48/$H$46/12</f>
        <v>55.84805556</v>
      </c>
      <c r="J48" s="3">
        <f t="shared" si="21"/>
        <v>55.84805556</v>
      </c>
      <c r="K48" s="3">
        <f t="shared" si="21"/>
        <v>55.84805556</v>
      </c>
      <c r="L48" s="3"/>
      <c r="M48" s="3"/>
      <c r="N48" s="3"/>
      <c r="O48" s="3"/>
      <c r="P48" s="3"/>
      <c r="Q48" s="3"/>
      <c r="R48" s="3"/>
      <c r="S48" s="3"/>
      <c r="T48" s="3"/>
      <c r="U48" s="3">
        <f t="shared" si="22"/>
        <v>167.5441667</v>
      </c>
      <c r="V48" s="3">
        <f>'FAR26'!V47+U48</f>
        <v>558.4805556</v>
      </c>
      <c r="W48" s="3">
        <f t="shared" si="23"/>
        <v>3462.579444</v>
      </c>
      <c r="X48" s="2"/>
      <c r="Y48" s="2"/>
      <c r="Z48" s="2"/>
      <c r="AA48" s="2"/>
      <c r="AB48" s="2"/>
    </row>
    <row r="49" ht="12.75" customHeight="1">
      <c r="A49" s="6">
        <v>45903.0</v>
      </c>
      <c r="B49" s="2" t="s">
        <v>73</v>
      </c>
      <c r="C49" s="2" t="s">
        <v>74</v>
      </c>
      <c r="D49" s="3">
        <v>33677.14</v>
      </c>
      <c r="E49" s="3"/>
      <c r="F49" s="3"/>
      <c r="G49" s="3">
        <v>33677.14</v>
      </c>
      <c r="H49" s="4"/>
      <c r="I49" s="3">
        <f t="shared" ref="I49:K49" si="24">+$G49/$H$46/12</f>
        <v>467.7380556</v>
      </c>
      <c r="J49" s="3">
        <f t="shared" si="24"/>
        <v>467.7380556</v>
      </c>
      <c r="K49" s="3">
        <f t="shared" si="24"/>
        <v>467.7380556</v>
      </c>
      <c r="L49" s="3"/>
      <c r="M49" s="3"/>
      <c r="N49" s="3"/>
      <c r="O49" s="3"/>
      <c r="P49" s="3"/>
      <c r="Q49" s="3"/>
      <c r="R49" s="3"/>
      <c r="S49" s="3"/>
      <c r="T49" s="3"/>
      <c r="U49" s="3">
        <f t="shared" si="22"/>
        <v>1403.214167</v>
      </c>
      <c r="V49" s="3">
        <f>'FAR26'!V48+U49</f>
        <v>4157.102061</v>
      </c>
      <c r="W49" s="3">
        <f t="shared" si="23"/>
        <v>29520.03794</v>
      </c>
      <c r="X49" s="2"/>
      <c r="Y49" s="2"/>
      <c r="Z49" s="2"/>
      <c r="AA49" s="2"/>
      <c r="AB49" s="2"/>
    </row>
    <row r="50" ht="12.75" customHeight="1">
      <c r="A50" s="6">
        <v>45926.0</v>
      </c>
      <c r="B50" s="2" t="s">
        <v>75</v>
      </c>
      <c r="C50" s="2" t="s">
        <v>76</v>
      </c>
      <c r="D50" s="3">
        <v>3353.4</v>
      </c>
      <c r="E50" s="3"/>
      <c r="F50" s="3"/>
      <c r="G50" s="3">
        <f>D50</f>
        <v>3353.4</v>
      </c>
      <c r="H50" s="4"/>
      <c r="I50" s="3">
        <f t="shared" ref="I50:K50" si="25">+$G50/$H$46/12</f>
        <v>46.575</v>
      </c>
      <c r="J50" s="3">
        <f t="shared" si="25"/>
        <v>46.575</v>
      </c>
      <c r="K50" s="3">
        <f t="shared" si="25"/>
        <v>46.575</v>
      </c>
      <c r="L50" s="3"/>
      <c r="M50" s="3"/>
      <c r="N50" s="3"/>
      <c r="O50" s="3"/>
      <c r="P50" s="3"/>
      <c r="Q50" s="3"/>
      <c r="R50" s="3"/>
      <c r="S50" s="3"/>
      <c r="T50" s="3"/>
      <c r="U50" s="3">
        <f t="shared" si="22"/>
        <v>139.725</v>
      </c>
      <c r="V50" s="3">
        <f>'FAR26'!V49+U50</f>
        <v>378.7249315</v>
      </c>
      <c r="W50" s="3">
        <f t="shared" si="23"/>
        <v>2974.675068</v>
      </c>
      <c r="X50" s="2"/>
      <c r="Y50" s="2"/>
      <c r="Z50" s="2"/>
      <c r="AA50" s="2"/>
      <c r="AB50" s="2"/>
    </row>
    <row r="51" ht="12.75" customHeight="1">
      <c r="A51" s="2"/>
      <c r="B51" s="2"/>
      <c r="C51" s="2"/>
      <c r="D51" s="14"/>
      <c r="E51" s="3"/>
      <c r="F51" s="3"/>
      <c r="G51" s="3"/>
      <c r="H51" s="4"/>
      <c r="I51" s="1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2"/>
      <c r="Y51" s="2"/>
      <c r="Z51" s="2"/>
      <c r="AA51" s="2"/>
      <c r="AB51" s="2"/>
    </row>
    <row r="52" ht="12.75" customHeight="1">
      <c r="A52" s="2"/>
      <c r="B52" s="2"/>
      <c r="C52" s="2"/>
      <c r="D52" s="36">
        <f t="shared" ref="D52:E52" si="26">SUM(D47:D51)</f>
        <v>85151.58</v>
      </c>
      <c r="E52" s="36">
        <f t="shared" si="26"/>
        <v>0</v>
      </c>
      <c r="F52" s="36"/>
      <c r="G52" s="36">
        <f>SUM(G47:G51)</f>
        <v>85151.6</v>
      </c>
      <c r="H52" s="4"/>
      <c r="I52" s="21">
        <f t="shared" ref="I52:W52" si="27">SUM(I47:I51)</f>
        <v>1182.661111</v>
      </c>
      <c r="J52" s="21">
        <f t="shared" si="27"/>
        <v>1182.661111</v>
      </c>
      <c r="K52" s="21">
        <f t="shared" si="27"/>
        <v>1182.661111</v>
      </c>
      <c r="L52" s="21">
        <f t="shared" si="27"/>
        <v>0</v>
      </c>
      <c r="M52" s="21">
        <f t="shared" si="27"/>
        <v>0</v>
      </c>
      <c r="N52" s="21">
        <f t="shared" si="27"/>
        <v>0</v>
      </c>
      <c r="O52" s="21">
        <f t="shared" si="27"/>
        <v>0</v>
      </c>
      <c r="P52" s="21">
        <f t="shared" si="27"/>
        <v>0</v>
      </c>
      <c r="Q52" s="21">
        <f t="shared" si="27"/>
        <v>0</v>
      </c>
      <c r="R52" s="21">
        <f t="shared" si="27"/>
        <v>0</v>
      </c>
      <c r="S52" s="21">
        <f t="shared" si="27"/>
        <v>0</v>
      </c>
      <c r="T52" s="21">
        <f t="shared" si="27"/>
        <v>0</v>
      </c>
      <c r="U52" s="21">
        <f t="shared" si="27"/>
        <v>3547.983333</v>
      </c>
      <c r="V52" s="21">
        <f t="shared" si="27"/>
        <v>25919.30755</v>
      </c>
      <c r="W52" s="21">
        <f t="shared" si="27"/>
        <v>59232.29245</v>
      </c>
      <c r="X52" s="2"/>
      <c r="Y52" s="2"/>
      <c r="Z52" s="2"/>
      <c r="AA52" s="2"/>
      <c r="AB52" s="2"/>
    </row>
    <row r="53" ht="12.75" customHeight="1">
      <c r="A53" s="2"/>
      <c r="B53" s="2"/>
      <c r="C53" s="2"/>
      <c r="D53" s="14"/>
      <c r="E53" s="3"/>
      <c r="F53" s="3"/>
      <c r="G53" s="3"/>
      <c r="H53" s="4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"/>
      <c r="V53" s="3"/>
      <c r="W53" s="3"/>
      <c r="X53" s="2"/>
      <c r="Y53" s="2"/>
      <c r="Z53" s="2"/>
      <c r="AA53" s="2"/>
      <c r="AB53" s="2"/>
    </row>
    <row r="54" ht="12.75" customHeight="1">
      <c r="A54" s="8" t="s">
        <v>2</v>
      </c>
      <c r="B54" s="8" t="s">
        <v>3</v>
      </c>
      <c r="C54" s="8" t="s">
        <v>4</v>
      </c>
      <c r="D54" s="9" t="s">
        <v>18</v>
      </c>
      <c r="E54" s="9" t="s">
        <v>6</v>
      </c>
      <c r="F54" s="9" t="s">
        <v>20</v>
      </c>
      <c r="G54" s="9" t="s">
        <v>8</v>
      </c>
      <c r="H54" s="10" t="s">
        <v>9</v>
      </c>
      <c r="I54" s="11">
        <v>46112.0</v>
      </c>
      <c r="J54" s="11">
        <v>46142.0</v>
      </c>
      <c r="K54" s="11">
        <v>46173.0</v>
      </c>
      <c r="L54" s="11">
        <v>46203.0</v>
      </c>
      <c r="M54" s="11">
        <v>46234.0</v>
      </c>
      <c r="N54" s="11">
        <v>46265.0</v>
      </c>
      <c r="O54" s="11">
        <v>46295.0</v>
      </c>
      <c r="P54" s="11">
        <v>46326.0</v>
      </c>
      <c r="Q54" s="11">
        <v>46356.0</v>
      </c>
      <c r="R54" s="11">
        <v>46387.0</v>
      </c>
      <c r="S54" s="11">
        <v>46418.0</v>
      </c>
      <c r="T54" s="11">
        <v>46446.0</v>
      </c>
      <c r="U54" s="11" t="s">
        <v>10</v>
      </c>
      <c r="V54" s="11" t="s">
        <v>11</v>
      </c>
      <c r="W54" s="11" t="s">
        <v>77</v>
      </c>
      <c r="X54" s="2"/>
      <c r="Y54" s="2"/>
      <c r="Z54" s="2"/>
      <c r="AA54" s="2"/>
      <c r="AB54" s="2"/>
    </row>
    <row r="55" ht="12.75" customHeight="1">
      <c r="A55" s="13" t="s">
        <v>62</v>
      </c>
      <c r="B55" s="8"/>
      <c r="C55" s="8"/>
      <c r="D55" s="9"/>
      <c r="E55" s="9"/>
      <c r="F55" s="9"/>
      <c r="G55" s="9"/>
      <c r="H55" s="10"/>
      <c r="I55" s="35" t="str">
        <f>+A55</f>
        <v>6150&gt;020 (Computer Software&gt;Cost)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2"/>
      <c r="Y55" s="2"/>
      <c r="Z55" s="2"/>
      <c r="AA55" s="2"/>
      <c r="AB55" s="2"/>
    </row>
    <row r="56" ht="12.75" customHeight="1">
      <c r="A56" s="2"/>
      <c r="B56" s="2"/>
      <c r="C56" s="2"/>
      <c r="D56" s="14"/>
      <c r="E56" s="3"/>
      <c r="F56" s="3"/>
      <c r="G56" s="3"/>
      <c r="H56" s="4" t="s">
        <v>63</v>
      </c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"/>
      <c r="V56" s="3"/>
      <c r="W56" s="3"/>
      <c r="X56" s="2"/>
      <c r="Y56" s="2"/>
      <c r="Z56" s="2"/>
      <c r="AA56" s="2"/>
      <c r="AB56" s="2"/>
    </row>
    <row r="57" ht="12.75" customHeight="1">
      <c r="A57" s="6">
        <v>45371.0</v>
      </c>
      <c r="B57" s="2" t="s">
        <v>64</v>
      </c>
      <c r="C57" s="2" t="s">
        <v>65</v>
      </c>
      <c r="D57" s="60">
        <v>27173.91</v>
      </c>
      <c r="E57" s="3"/>
      <c r="F57" s="3"/>
      <c r="G57" s="3">
        <v>27173.91</v>
      </c>
      <c r="H57" s="61"/>
      <c r="I57" s="60">
        <f t="shared" ref="I57:K57" si="28">+$G57/$H$56/12</f>
        <v>754.8308333</v>
      </c>
      <c r="J57" s="60">
        <f t="shared" si="28"/>
        <v>754.8308333</v>
      </c>
      <c r="K57" s="60">
        <f t="shared" si="28"/>
        <v>754.8308333</v>
      </c>
      <c r="L57" s="60"/>
      <c r="M57" s="60"/>
      <c r="N57" s="60"/>
      <c r="O57" s="60"/>
      <c r="P57" s="60"/>
      <c r="Q57" s="60"/>
      <c r="R57" s="60"/>
      <c r="S57" s="60"/>
      <c r="T57" s="60"/>
      <c r="U57" s="60">
        <f>SUM(I57:T57)</f>
        <v>2264.4925</v>
      </c>
      <c r="V57" s="60">
        <f>'FAR26'!V56+U57</f>
        <v>19873.76523</v>
      </c>
      <c r="W57" s="60">
        <f>G57-V57</f>
        <v>7300.144772</v>
      </c>
      <c r="X57" s="2"/>
      <c r="Y57" s="2"/>
      <c r="Z57" s="2"/>
      <c r="AA57" s="2"/>
      <c r="AB57" s="2"/>
    </row>
    <row r="58" ht="12.75" customHeight="1">
      <c r="A58" s="6"/>
      <c r="B58" s="2"/>
      <c r="C58" s="2"/>
      <c r="D58" s="17"/>
      <c r="E58" s="3"/>
      <c r="F58" s="3"/>
      <c r="G58" s="3"/>
      <c r="H58" s="4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"/>
      <c r="V58" s="3"/>
      <c r="W58" s="3"/>
      <c r="X58" s="2"/>
      <c r="Y58" s="2"/>
      <c r="Z58" s="2"/>
      <c r="AA58" s="2"/>
      <c r="AB58" s="2"/>
    </row>
    <row r="59" ht="12.75" customHeight="1">
      <c r="A59" s="6"/>
      <c r="B59" s="2"/>
      <c r="C59" s="2"/>
      <c r="D59" s="40">
        <f t="shared" ref="D59:G59" si="29">D57</f>
        <v>27173.91</v>
      </c>
      <c r="E59" s="40" t="str">
        <f t="shared" si="29"/>
        <v/>
      </c>
      <c r="F59" s="40" t="str">
        <f t="shared" si="29"/>
        <v/>
      </c>
      <c r="G59" s="40">
        <f t="shared" si="29"/>
        <v>27173.91</v>
      </c>
      <c r="H59" s="4"/>
      <c r="I59" s="22">
        <f t="shared" ref="I59:W59" si="30">I57</f>
        <v>754.8308333</v>
      </c>
      <c r="J59" s="22">
        <f t="shared" si="30"/>
        <v>754.8308333</v>
      </c>
      <c r="K59" s="22">
        <f t="shared" si="30"/>
        <v>754.8308333</v>
      </c>
      <c r="L59" s="22" t="str">
        <f t="shared" si="30"/>
        <v/>
      </c>
      <c r="M59" s="22" t="str">
        <f t="shared" si="30"/>
        <v/>
      </c>
      <c r="N59" s="22" t="str">
        <f t="shared" si="30"/>
        <v/>
      </c>
      <c r="O59" s="22" t="str">
        <f t="shared" si="30"/>
        <v/>
      </c>
      <c r="P59" s="22" t="str">
        <f t="shared" si="30"/>
        <v/>
      </c>
      <c r="Q59" s="22" t="str">
        <f t="shared" si="30"/>
        <v/>
      </c>
      <c r="R59" s="22" t="str">
        <f t="shared" si="30"/>
        <v/>
      </c>
      <c r="S59" s="22" t="str">
        <f t="shared" si="30"/>
        <v/>
      </c>
      <c r="T59" s="22" t="str">
        <f t="shared" si="30"/>
        <v/>
      </c>
      <c r="U59" s="22">
        <f t="shared" si="30"/>
        <v>2264.4925</v>
      </c>
      <c r="V59" s="22">
        <f t="shared" si="30"/>
        <v>19873.76523</v>
      </c>
      <c r="W59" s="22">
        <f t="shared" si="30"/>
        <v>7300.144772</v>
      </c>
      <c r="X59" s="2"/>
      <c r="Y59" s="2"/>
      <c r="Z59" s="2"/>
      <c r="AA59" s="2"/>
      <c r="AB59" s="2"/>
    </row>
    <row r="60" ht="12.75" customHeight="1">
      <c r="A60" s="2"/>
      <c r="B60" s="2"/>
      <c r="C60" s="2"/>
      <c r="D60" s="3"/>
      <c r="E60" s="9"/>
      <c r="F60" s="3"/>
      <c r="G60" s="3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2"/>
      <c r="Y60" s="2"/>
      <c r="Z60" s="2"/>
      <c r="AA60" s="2"/>
      <c r="AB60" s="2"/>
    </row>
    <row r="61" ht="12.75" customHeight="1">
      <c r="A61" s="23" t="s">
        <v>27</v>
      </c>
      <c r="B61" s="2"/>
      <c r="C61" s="2"/>
      <c r="D61" s="22">
        <f>D20+D34+D41+D59</f>
        <v>796982.62</v>
      </c>
      <c r="E61" s="22">
        <f>E20+E34+E41+E52</f>
        <v>0</v>
      </c>
      <c r="F61" s="22">
        <f>F20+F34+F41</f>
        <v>0</v>
      </c>
      <c r="G61" s="22">
        <f>G20+G34+G41+G52+G59</f>
        <v>882134.22</v>
      </c>
      <c r="H61" s="4"/>
      <c r="I61" s="22">
        <f t="shared" ref="I61:T61" si="31">I20+I34+I41+I52+I59</f>
        <v>3058.970139</v>
      </c>
      <c r="J61" s="22">
        <f t="shared" si="31"/>
        <v>3058.970139</v>
      </c>
      <c r="K61" s="22">
        <f t="shared" si="31"/>
        <v>3058.970139</v>
      </c>
      <c r="L61" s="22">
        <f t="shared" si="31"/>
        <v>0</v>
      </c>
      <c r="M61" s="22">
        <f t="shared" si="31"/>
        <v>0</v>
      </c>
      <c r="N61" s="22">
        <f t="shared" si="31"/>
        <v>0</v>
      </c>
      <c r="O61" s="22">
        <f t="shared" si="31"/>
        <v>0</v>
      </c>
      <c r="P61" s="22">
        <f t="shared" si="31"/>
        <v>0</v>
      </c>
      <c r="Q61" s="22">
        <f t="shared" si="31"/>
        <v>0</v>
      </c>
      <c r="R61" s="22">
        <f t="shared" si="31"/>
        <v>0</v>
      </c>
      <c r="S61" s="22">
        <f t="shared" si="31"/>
        <v>0</v>
      </c>
      <c r="T61" s="22">
        <f t="shared" si="31"/>
        <v>0</v>
      </c>
      <c r="U61" s="22">
        <f t="shared" ref="U61:W61" si="32">U20+U34+U41</f>
        <v>3364.434583</v>
      </c>
      <c r="V61" s="22">
        <f t="shared" si="32"/>
        <v>726983.5744</v>
      </c>
      <c r="W61" s="22">
        <f t="shared" si="32"/>
        <v>42825.1356</v>
      </c>
      <c r="X61" s="2"/>
      <c r="Y61" s="2"/>
      <c r="Z61" s="2"/>
      <c r="AA61" s="2"/>
      <c r="AB61" s="2"/>
    </row>
    <row r="62" ht="12.75" customHeight="1">
      <c r="A62" s="2"/>
      <c r="B62" s="2"/>
      <c r="C62" s="2"/>
      <c r="D62" s="3"/>
      <c r="E62" s="3"/>
      <c r="F62" s="3"/>
      <c r="G62" s="3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2"/>
      <c r="Y62" s="2"/>
      <c r="Z62" s="2"/>
      <c r="AA62" s="2"/>
      <c r="AB62" s="2"/>
    </row>
    <row r="63" ht="12.75" customHeight="1">
      <c r="A63" s="2"/>
      <c r="B63" s="2"/>
      <c r="C63" s="2"/>
      <c r="D63" s="3"/>
      <c r="E63" s="3"/>
      <c r="F63" s="3"/>
      <c r="G63" s="3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"/>
      <c r="Y63" s="2"/>
      <c r="Z63" s="2"/>
      <c r="AA63" s="2"/>
      <c r="AB63" s="2"/>
    </row>
    <row r="64" ht="12.75" customHeight="1">
      <c r="A64" s="2"/>
      <c r="B64" s="2"/>
      <c r="C64" s="2"/>
      <c r="D64" s="3"/>
      <c r="E64" s="3"/>
      <c r="F64" s="3"/>
      <c r="G64" s="3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2"/>
      <c r="Y64" s="2"/>
      <c r="Z64" s="2"/>
      <c r="AA64" s="2"/>
      <c r="AB64" s="2"/>
    </row>
    <row r="65" ht="12.75" customHeight="1">
      <c r="A65" s="2"/>
      <c r="B65" s="2"/>
      <c r="C65" s="2"/>
      <c r="D65" s="3"/>
      <c r="E65" s="3"/>
      <c r="F65" s="3"/>
      <c r="G65" s="3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2"/>
      <c r="Y65" s="2"/>
      <c r="Z65" s="2"/>
      <c r="AA65" s="2"/>
      <c r="AB65" s="2"/>
    </row>
    <row r="66" ht="12.75" customHeight="1">
      <c r="A66" s="2"/>
      <c r="B66" s="2"/>
      <c r="C66" s="2"/>
      <c r="D66" s="3"/>
      <c r="E66" s="3"/>
      <c r="F66" s="3"/>
      <c r="G66" s="3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2"/>
      <c r="Y66" s="2"/>
      <c r="Z66" s="2"/>
      <c r="AA66" s="2"/>
      <c r="AB66" s="2"/>
    </row>
    <row r="67" ht="12.75" customHeight="1">
      <c r="A67" s="2"/>
      <c r="B67" s="2"/>
      <c r="C67" s="2"/>
      <c r="D67" s="3"/>
      <c r="E67" s="3"/>
      <c r="F67" s="3"/>
      <c r="G67" s="3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2"/>
      <c r="Y67" s="2"/>
      <c r="Z67" s="2"/>
      <c r="AA67" s="2"/>
      <c r="AB67" s="2"/>
    </row>
    <row r="68" ht="12.75" customHeight="1">
      <c r="A68" s="2"/>
      <c r="B68" s="2"/>
      <c r="C68" s="2"/>
      <c r="D68" s="3"/>
      <c r="E68" s="3"/>
      <c r="F68" s="3"/>
      <c r="G68" s="3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2"/>
      <c r="Y68" s="2"/>
      <c r="Z68" s="2"/>
      <c r="AA68" s="2"/>
      <c r="AB68" s="2"/>
    </row>
    <row r="69" ht="12.75" customHeight="1">
      <c r="A69" s="2"/>
      <c r="B69" s="2"/>
      <c r="C69" s="2"/>
      <c r="D69" s="3"/>
      <c r="E69" s="3"/>
      <c r="F69" s="3"/>
      <c r="G69" s="3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2"/>
      <c r="Y69" s="2"/>
      <c r="Z69" s="2"/>
      <c r="AA69" s="2"/>
      <c r="AB69" s="2"/>
    </row>
    <row r="70" ht="12.75" customHeight="1">
      <c r="A70" s="2"/>
      <c r="B70" s="2"/>
      <c r="C70" s="2"/>
      <c r="D70" s="3"/>
      <c r="E70" s="3"/>
      <c r="F70" s="3"/>
      <c r="G70" s="3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2"/>
      <c r="Y70" s="2"/>
      <c r="Z70" s="2"/>
      <c r="AA70" s="2"/>
      <c r="AB70" s="2"/>
    </row>
    <row r="71" ht="12.75" customHeight="1">
      <c r="A71" s="2"/>
      <c r="B71" s="2"/>
      <c r="C71" s="2"/>
      <c r="D71" s="3"/>
      <c r="E71" s="3"/>
      <c r="F71" s="3"/>
      <c r="G71" s="3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2"/>
      <c r="Y71" s="2"/>
      <c r="Z71" s="2"/>
      <c r="AA71" s="2"/>
      <c r="AB71" s="2"/>
    </row>
    <row r="72" ht="12.75" customHeight="1">
      <c r="A72" s="2"/>
      <c r="B72" s="2"/>
      <c r="C72" s="2"/>
      <c r="D72" s="3"/>
      <c r="E72" s="3"/>
      <c r="F72" s="3"/>
      <c r="G72" s="3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2"/>
      <c r="Y72" s="2"/>
      <c r="Z72" s="2"/>
      <c r="AA72" s="2"/>
      <c r="AB72" s="2"/>
    </row>
    <row r="73" ht="12.75" customHeight="1">
      <c r="A73" s="2"/>
      <c r="B73" s="2"/>
      <c r="C73" s="2"/>
      <c r="D73" s="3"/>
      <c r="E73" s="3"/>
      <c r="F73" s="3"/>
      <c r="G73" s="3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2"/>
      <c r="Y73" s="2"/>
      <c r="Z73" s="2"/>
      <c r="AA73" s="2"/>
      <c r="AB73" s="2"/>
    </row>
    <row r="74" ht="12.75" customHeight="1">
      <c r="A74" s="2"/>
      <c r="B74" s="2"/>
      <c r="C74" s="2"/>
      <c r="D74" s="3"/>
      <c r="E74" s="3"/>
      <c r="F74" s="3"/>
      <c r="G74" s="3"/>
      <c r="H74" s="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2"/>
      <c r="Y74" s="2"/>
      <c r="Z74" s="2"/>
      <c r="AA74" s="2"/>
      <c r="AB74" s="2"/>
    </row>
    <row r="75" ht="12.75" customHeight="1">
      <c r="A75" s="2"/>
      <c r="B75" s="2"/>
      <c r="C75" s="2"/>
      <c r="D75" s="3"/>
      <c r="E75" s="3"/>
      <c r="F75" s="3"/>
      <c r="G75" s="3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2"/>
      <c r="Y75" s="2"/>
      <c r="Z75" s="2"/>
      <c r="AA75" s="2"/>
      <c r="AB75" s="2"/>
    </row>
    <row r="76" ht="12.75" customHeight="1">
      <c r="A76" s="2"/>
      <c r="B76" s="2"/>
      <c r="C76" s="2"/>
      <c r="D76" s="3"/>
      <c r="E76" s="3"/>
      <c r="F76" s="3"/>
      <c r="G76" s="3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2"/>
      <c r="Y76" s="2"/>
      <c r="Z76" s="2"/>
      <c r="AA76" s="2"/>
      <c r="AB76" s="2"/>
    </row>
    <row r="77" ht="12.75" customHeight="1">
      <c r="A77" s="2"/>
      <c r="B77" s="2"/>
      <c r="C77" s="2"/>
      <c r="D77" s="3"/>
      <c r="E77" s="3"/>
      <c r="F77" s="3"/>
      <c r="G77" s="3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2"/>
      <c r="Y77" s="2"/>
      <c r="Z77" s="2"/>
      <c r="AA77" s="2"/>
      <c r="AB77" s="2"/>
    </row>
    <row r="78" ht="12.75" customHeight="1">
      <c r="A78" s="2"/>
      <c r="B78" s="2"/>
      <c r="C78" s="2"/>
      <c r="D78" s="3"/>
      <c r="E78" s="3"/>
      <c r="F78" s="3"/>
      <c r="G78" s="3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2"/>
      <c r="Y78" s="2"/>
      <c r="Z78" s="2"/>
      <c r="AA78" s="2"/>
      <c r="AB78" s="2"/>
    </row>
    <row r="79" ht="12.75" customHeight="1">
      <c r="A79" s="2"/>
      <c r="B79" s="2"/>
      <c r="C79" s="2"/>
      <c r="D79" s="3"/>
      <c r="E79" s="3"/>
      <c r="F79" s="3"/>
      <c r="G79" s="3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2"/>
      <c r="Y79" s="2"/>
      <c r="Z79" s="2"/>
      <c r="AA79" s="2"/>
      <c r="AB79" s="2"/>
    </row>
    <row r="80" ht="12.75" customHeight="1">
      <c r="A80" s="2"/>
      <c r="B80" s="2"/>
      <c r="C80" s="2"/>
      <c r="D80" s="3"/>
      <c r="E80" s="3"/>
      <c r="F80" s="3"/>
      <c r="G80" s="3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2"/>
      <c r="Y80" s="2"/>
      <c r="Z80" s="2"/>
      <c r="AA80" s="2"/>
      <c r="AB80" s="2"/>
    </row>
    <row r="81" ht="12.75" customHeight="1">
      <c r="A81" s="2"/>
      <c r="B81" s="2"/>
      <c r="C81" s="2"/>
      <c r="D81" s="3"/>
      <c r="E81" s="3"/>
      <c r="F81" s="3"/>
      <c r="G81" s="3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2"/>
      <c r="Y81" s="2"/>
      <c r="Z81" s="2"/>
      <c r="AA81" s="2"/>
      <c r="AB81" s="2"/>
    </row>
    <row r="82" ht="12.75" customHeight="1">
      <c r="A82" s="2"/>
      <c r="B82" s="2"/>
      <c r="C82" s="2"/>
      <c r="D82" s="3"/>
      <c r="E82" s="3"/>
      <c r="F82" s="3"/>
      <c r="G82" s="3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2"/>
      <c r="Y82" s="2"/>
      <c r="Z82" s="2"/>
      <c r="AA82" s="2"/>
      <c r="AB82" s="2"/>
    </row>
    <row r="83" ht="12.75" customHeight="1">
      <c r="A83" s="2"/>
      <c r="B83" s="2"/>
      <c r="C83" s="2"/>
      <c r="D83" s="3"/>
      <c r="E83" s="3"/>
      <c r="F83" s="3"/>
      <c r="G83" s="3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2"/>
      <c r="Y83" s="2"/>
      <c r="Z83" s="2"/>
      <c r="AA83" s="2"/>
      <c r="AB83" s="2"/>
    </row>
    <row r="84" ht="12.75" customHeight="1">
      <c r="A84" s="2"/>
      <c r="B84" s="2"/>
      <c r="C84" s="2"/>
      <c r="D84" s="3"/>
      <c r="E84" s="3"/>
      <c r="F84" s="3"/>
      <c r="G84" s="3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2"/>
      <c r="Y84" s="2"/>
      <c r="Z84" s="2"/>
      <c r="AA84" s="2"/>
      <c r="AB84" s="2"/>
    </row>
    <row r="85" ht="12.75" customHeight="1">
      <c r="A85" s="2"/>
      <c r="B85" s="2"/>
      <c r="C85" s="2"/>
      <c r="D85" s="3"/>
      <c r="E85" s="3"/>
      <c r="F85" s="3"/>
      <c r="G85" s="3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2"/>
      <c r="Y85" s="2"/>
      <c r="Z85" s="2"/>
      <c r="AA85" s="2"/>
      <c r="AB85" s="2"/>
    </row>
    <row r="86" ht="12.75" customHeight="1">
      <c r="A86" s="2"/>
      <c r="B86" s="2"/>
      <c r="C86" s="2"/>
      <c r="D86" s="3"/>
      <c r="E86" s="3"/>
      <c r="F86" s="3"/>
      <c r="G86" s="3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2"/>
      <c r="Y86" s="2"/>
      <c r="Z86" s="2"/>
      <c r="AA86" s="2"/>
      <c r="AB86" s="2"/>
    </row>
    <row r="87" ht="12.75" customHeight="1">
      <c r="A87" s="2"/>
      <c r="B87" s="2"/>
      <c r="C87" s="2"/>
      <c r="D87" s="3"/>
      <c r="E87" s="3"/>
      <c r="F87" s="3"/>
      <c r="G87" s="3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2"/>
      <c r="Y87" s="2"/>
      <c r="Z87" s="2"/>
      <c r="AA87" s="2"/>
      <c r="AB87" s="2"/>
    </row>
    <row r="88" ht="12.75" customHeight="1">
      <c r="A88" s="2"/>
      <c r="B88" s="2"/>
      <c r="C88" s="2"/>
      <c r="D88" s="3"/>
      <c r="E88" s="3"/>
      <c r="F88" s="3"/>
      <c r="G88" s="3"/>
      <c r="H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2"/>
      <c r="Y88" s="2"/>
      <c r="Z88" s="2"/>
      <c r="AA88" s="2"/>
      <c r="AB88" s="2"/>
    </row>
    <row r="89" ht="12.75" customHeight="1">
      <c r="A89" s="2"/>
      <c r="B89" s="2"/>
      <c r="C89" s="2"/>
      <c r="D89" s="3"/>
      <c r="E89" s="3"/>
      <c r="F89" s="3"/>
      <c r="G89" s="3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2"/>
      <c r="Y89" s="2"/>
      <c r="Z89" s="2"/>
      <c r="AA89" s="2"/>
      <c r="AB89" s="2"/>
    </row>
    <row r="90" ht="12.75" customHeight="1">
      <c r="A90" s="2"/>
      <c r="B90" s="2"/>
      <c r="C90" s="2"/>
      <c r="D90" s="3"/>
      <c r="E90" s="3"/>
      <c r="F90" s="3"/>
      <c r="G90" s="3"/>
      <c r="H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2"/>
      <c r="Y90" s="2"/>
      <c r="Z90" s="2"/>
      <c r="AA90" s="2"/>
      <c r="AB90" s="2"/>
    </row>
    <row r="91" ht="12.75" customHeight="1">
      <c r="A91" s="2"/>
      <c r="B91" s="2"/>
      <c r="C91" s="2"/>
      <c r="D91" s="3"/>
      <c r="E91" s="3"/>
      <c r="F91" s="3"/>
      <c r="G91" s="3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2"/>
      <c r="Y91" s="2"/>
      <c r="Z91" s="2"/>
      <c r="AA91" s="2"/>
      <c r="AB91" s="2"/>
    </row>
    <row r="92" ht="12.75" customHeight="1">
      <c r="A92" s="2"/>
      <c r="B92" s="2"/>
      <c r="C92" s="2"/>
      <c r="D92" s="3"/>
      <c r="E92" s="3"/>
      <c r="F92" s="3"/>
      <c r="G92" s="3"/>
      <c r="H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2"/>
      <c r="Y92" s="2"/>
      <c r="Z92" s="2"/>
      <c r="AA92" s="2"/>
      <c r="AB92" s="2"/>
    </row>
    <row r="93" ht="12.75" customHeight="1">
      <c r="A93" s="2"/>
      <c r="B93" s="2"/>
      <c r="C93" s="2"/>
      <c r="D93" s="3"/>
      <c r="E93" s="3"/>
      <c r="F93" s="3"/>
      <c r="G93" s="3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2"/>
      <c r="Y93" s="2"/>
      <c r="Z93" s="2"/>
      <c r="AA93" s="2"/>
      <c r="AB93" s="2"/>
    </row>
    <row r="94" ht="12.75" customHeight="1">
      <c r="A94" s="2"/>
      <c r="B94" s="2"/>
      <c r="C94" s="2"/>
      <c r="D94" s="3"/>
      <c r="E94" s="3"/>
      <c r="F94" s="3"/>
      <c r="G94" s="3"/>
      <c r="H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2"/>
      <c r="Y94" s="2"/>
      <c r="Z94" s="2"/>
      <c r="AA94" s="2"/>
      <c r="AB94" s="2"/>
    </row>
    <row r="95" ht="12.75" customHeight="1">
      <c r="A95" s="2"/>
      <c r="B95" s="2"/>
      <c r="C95" s="2"/>
      <c r="D95" s="3"/>
      <c r="E95" s="3"/>
      <c r="F95" s="3"/>
      <c r="G95" s="3"/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2"/>
      <c r="Y95" s="2"/>
      <c r="Z95" s="2"/>
      <c r="AA95" s="2"/>
      <c r="AB95" s="2"/>
    </row>
    <row r="96" ht="12.75" customHeight="1">
      <c r="A96" s="2"/>
      <c r="B96" s="2"/>
      <c r="C96" s="2"/>
      <c r="D96" s="3"/>
      <c r="E96" s="3"/>
      <c r="F96" s="3"/>
      <c r="G96" s="3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2"/>
      <c r="Y96" s="2"/>
      <c r="Z96" s="2"/>
      <c r="AA96" s="2"/>
      <c r="AB96" s="2"/>
    </row>
    <row r="97" ht="12.75" customHeight="1">
      <c r="A97" s="2"/>
      <c r="B97" s="2"/>
      <c r="C97" s="2"/>
      <c r="D97" s="3"/>
      <c r="E97" s="3"/>
      <c r="F97" s="3"/>
      <c r="G97" s="3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2"/>
      <c r="Y97" s="2"/>
      <c r="Z97" s="2"/>
      <c r="AA97" s="2"/>
      <c r="AB97" s="2"/>
    </row>
    <row r="98" ht="12.75" customHeight="1">
      <c r="A98" s="2"/>
      <c r="B98" s="2"/>
      <c r="C98" s="2"/>
      <c r="D98" s="3"/>
      <c r="E98" s="3"/>
      <c r="F98" s="3"/>
      <c r="G98" s="3"/>
      <c r="H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2"/>
      <c r="Y98" s="2"/>
      <c r="Z98" s="2"/>
      <c r="AA98" s="2"/>
      <c r="AB98" s="2"/>
    </row>
    <row r="99" ht="12.75" customHeight="1">
      <c r="A99" s="2"/>
      <c r="B99" s="2"/>
      <c r="C99" s="2"/>
      <c r="D99" s="3"/>
      <c r="E99" s="3"/>
      <c r="F99" s="3"/>
      <c r="G99" s="3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2"/>
      <c r="Y99" s="2"/>
      <c r="Z99" s="2"/>
      <c r="AA99" s="2"/>
      <c r="AB99" s="2"/>
    </row>
    <row r="100" ht="12.75" customHeight="1">
      <c r="A100" s="2"/>
      <c r="B100" s="2"/>
      <c r="C100" s="2"/>
      <c r="D100" s="3"/>
      <c r="E100" s="3"/>
      <c r="F100" s="3"/>
      <c r="G100" s="3"/>
      <c r="H100" s="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2"/>
      <c r="Y100" s="2"/>
      <c r="Z100" s="2"/>
      <c r="AA100" s="2"/>
      <c r="AB100" s="2"/>
    </row>
    <row r="101" ht="12.75" customHeight="1">
      <c r="A101" s="2"/>
      <c r="B101" s="2"/>
      <c r="C101" s="2"/>
      <c r="D101" s="3"/>
      <c r="E101" s="3"/>
      <c r="F101" s="3"/>
      <c r="G101" s="3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2"/>
      <c r="Y101" s="2"/>
      <c r="Z101" s="2"/>
      <c r="AA101" s="2"/>
      <c r="AB101" s="2"/>
    </row>
    <row r="102" ht="12.75" customHeight="1">
      <c r="A102" s="2"/>
      <c r="B102" s="2"/>
      <c r="C102" s="2"/>
      <c r="D102" s="3"/>
      <c r="E102" s="3"/>
      <c r="F102" s="3"/>
      <c r="G102" s="3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2"/>
      <c r="Y102" s="2"/>
      <c r="Z102" s="2"/>
      <c r="AA102" s="2"/>
      <c r="AB102" s="2"/>
    </row>
    <row r="103" ht="12.75" customHeight="1">
      <c r="A103" s="2"/>
      <c r="B103" s="2"/>
      <c r="C103" s="2"/>
      <c r="D103" s="3"/>
      <c r="E103" s="3"/>
      <c r="F103" s="3"/>
      <c r="G103" s="3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2"/>
      <c r="Y103" s="2"/>
      <c r="Z103" s="2"/>
      <c r="AA103" s="2"/>
      <c r="AB103" s="2"/>
    </row>
    <row r="104" ht="12.75" customHeight="1">
      <c r="A104" s="2"/>
      <c r="B104" s="2"/>
      <c r="C104" s="2"/>
      <c r="D104" s="3"/>
      <c r="E104" s="3"/>
      <c r="F104" s="3"/>
      <c r="G104" s="3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2"/>
      <c r="Y104" s="2"/>
      <c r="Z104" s="2"/>
      <c r="AA104" s="2"/>
      <c r="AB104" s="2"/>
    </row>
    <row r="105" ht="12.75" customHeight="1">
      <c r="A105" s="2"/>
      <c r="B105" s="2"/>
      <c r="C105" s="2"/>
      <c r="D105" s="3"/>
      <c r="E105" s="3"/>
      <c r="F105" s="3"/>
      <c r="G105" s="3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2"/>
      <c r="Y105" s="2"/>
      <c r="Z105" s="2"/>
      <c r="AA105" s="2"/>
      <c r="AB105" s="2"/>
    </row>
    <row r="106" ht="12.75" customHeight="1">
      <c r="A106" s="2"/>
      <c r="B106" s="2"/>
      <c r="C106" s="2"/>
      <c r="D106" s="3"/>
      <c r="E106" s="3"/>
      <c r="F106" s="3"/>
      <c r="G106" s="3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2"/>
      <c r="Y106" s="2"/>
      <c r="Z106" s="2"/>
      <c r="AA106" s="2"/>
      <c r="AB106" s="2"/>
    </row>
    <row r="107" ht="12.75" customHeight="1">
      <c r="A107" s="2"/>
      <c r="B107" s="2"/>
      <c r="C107" s="2"/>
      <c r="D107" s="3"/>
      <c r="E107" s="3"/>
      <c r="F107" s="3"/>
      <c r="G107" s="3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2"/>
      <c r="Y107" s="2"/>
      <c r="Z107" s="2"/>
      <c r="AA107" s="2"/>
      <c r="AB107" s="2"/>
    </row>
    <row r="108" ht="12.75" customHeight="1">
      <c r="A108" s="2"/>
      <c r="B108" s="2"/>
      <c r="C108" s="2"/>
      <c r="D108" s="3"/>
      <c r="E108" s="3"/>
      <c r="F108" s="3"/>
      <c r="G108" s="3"/>
      <c r="H108" s="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2"/>
      <c r="Y108" s="2"/>
      <c r="Z108" s="2"/>
      <c r="AA108" s="2"/>
      <c r="AB108" s="2"/>
    </row>
    <row r="109" ht="12.75" customHeight="1">
      <c r="A109" s="2"/>
      <c r="B109" s="2"/>
      <c r="C109" s="2"/>
      <c r="D109" s="3"/>
      <c r="E109" s="3"/>
      <c r="F109" s="3"/>
      <c r="G109" s="3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2"/>
      <c r="Y109" s="2"/>
      <c r="Z109" s="2"/>
      <c r="AA109" s="2"/>
      <c r="AB109" s="2"/>
    </row>
    <row r="110" ht="12.75" customHeight="1">
      <c r="A110" s="2"/>
      <c r="B110" s="2"/>
      <c r="C110" s="2"/>
      <c r="D110" s="3"/>
      <c r="E110" s="3"/>
      <c r="F110" s="3"/>
      <c r="G110" s="3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2"/>
      <c r="Y110" s="2"/>
      <c r="Z110" s="2"/>
      <c r="AA110" s="2"/>
      <c r="AB110" s="2"/>
    </row>
    <row r="111" ht="12.75" customHeight="1">
      <c r="A111" s="2"/>
      <c r="B111" s="2"/>
      <c r="C111" s="2"/>
      <c r="D111" s="3"/>
      <c r="E111" s="3"/>
      <c r="F111" s="3"/>
      <c r="G111" s="3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2"/>
      <c r="Y111" s="2"/>
      <c r="Z111" s="2"/>
      <c r="AA111" s="2"/>
      <c r="AB111" s="2"/>
    </row>
    <row r="112" ht="12.75" customHeight="1">
      <c r="A112" s="2"/>
      <c r="B112" s="2"/>
      <c r="C112" s="2"/>
      <c r="D112" s="3"/>
      <c r="E112" s="3"/>
      <c r="F112" s="3"/>
      <c r="G112" s="3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2"/>
      <c r="Y112" s="2"/>
      <c r="Z112" s="2"/>
      <c r="AA112" s="2"/>
      <c r="AB112" s="2"/>
    </row>
    <row r="113" ht="12.75" customHeight="1">
      <c r="A113" s="2"/>
      <c r="B113" s="2"/>
      <c r="C113" s="2"/>
      <c r="D113" s="3"/>
      <c r="E113" s="3"/>
      <c r="F113" s="3"/>
      <c r="G113" s="3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2"/>
      <c r="Y113" s="2"/>
      <c r="Z113" s="2"/>
      <c r="AA113" s="2"/>
      <c r="AB113" s="2"/>
    </row>
    <row r="114" ht="12.75" customHeight="1">
      <c r="A114" s="2"/>
      <c r="B114" s="2"/>
      <c r="C114" s="2"/>
      <c r="D114" s="3"/>
      <c r="E114" s="3"/>
      <c r="F114" s="3"/>
      <c r="G114" s="3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2"/>
      <c r="Y114" s="2"/>
      <c r="Z114" s="2"/>
      <c r="AA114" s="2"/>
      <c r="AB114" s="2"/>
    </row>
    <row r="115" ht="12.75" customHeight="1">
      <c r="A115" s="2"/>
      <c r="B115" s="2"/>
      <c r="C115" s="2"/>
      <c r="D115" s="3"/>
      <c r="E115" s="3"/>
      <c r="F115" s="3"/>
      <c r="G115" s="3"/>
      <c r="H115" s="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2"/>
      <c r="Y115" s="2"/>
      <c r="Z115" s="2"/>
      <c r="AA115" s="2"/>
      <c r="AB115" s="2"/>
    </row>
    <row r="116" ht="12.75" customHeight="1">
      <c r="A116" s="2"/>
      <c r="B116" s="2"/>
      <c r="C116" s="2"/>
      <c r="D116" s="3"/>
      <c r="E116" s="3"/>
      <c r="F116" s="3"/>
      <c r="G116" s="3"/>
      <c r="H116" s="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2"/>
      <c r="Y116" s="2"/>
      <c r="Z116" s="2"/>
      <c r="AA116" s="2"/>
      <c r="AB116" s="2"/>
    </row>
    <row r="117" ht="12.75" customHeight="1">
      <c r="A117" s="2"/>
      <c r="B117" s="2"/>
      <c r="C117" s="2"/>
      <c r="D117" s="3"/>
      <c r="E117" s="3"/>
      <c r="F117" s="3"/>
      <c r="G117" s="3"/>
      <c r="H117" s="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2"/>
      <c r="Y117" s="2"/>
      <c r="Z117" s="2"/>
      <c r="AA117" s="2"/>
      <c r="AB117" s="2"/>
    </row>
    <row r="118" ht="12.75" customHeight="1">
      <c r="A118" s="2"/>
      <c r="B118" s="2"/>
      <c r="C118" s="2"/>
      <c r="D118" s="3"/>
      <c r="E118" s="3"/>
      <c r="F118" s="3"/>
      <c r="G118" s="3"/>
      <c r="H118" s="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2"/>
      <c r="Y118" s="2"/>
      <c r="Z118" s="2"/>
      <c r="AA118" s="2"/>
      <c r="AB118" s="2"/>
    </row>
    <row r="119" ht="12.75" customHeight="1">
      <c r="A119" s="2"/>
      <c r="B119" s="2"/>
      <c r="C119" s="2"/>
      <c r="D119" s="3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2"/>
      <c r="Y119" s="2"/>
      <c r="Z119" s="2"/>
      <c r="AA119" s="2"/>
      <c r="AB119" s="2"/>
    </row>
    <row r="120" ht="12.75" customHeight="1">
      <c r="A120" s="2"/>
      <c r="B120" s="2"/>
      <c r="C120" s="2"/>
      <c r="D120" s="3"/>
      <c r="E120" s="3"/>
      <c r="F120" s="3"/>
      <c r="G120" s="3"/>
      <c r="H120" s="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2"/>
      <c r="Y120" s="2"/>
      <c r="Z120" s="2"/>
      <c r="AA120" s="2"/>
      <c r="AB120" s="2"/>
    </row>
    <row r="121" ht="12.75" customHeight="1">
      <c r="A121" s="2"/>
      <c r="B121" s="2"/>
      <c r="C121" s="2"/>
      <c r="D121" s="3"/>
      <c r="E121" s="3"/>
      <c r="F121" s="3"/>
      <c r="G121" s="3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2"/>
      <c r="Y121" s="2"/>
      <c r="Z121" s="2"/>
      <c r="AA121" s="2"/>
      <c r="AB121" s="2"/>
    </row>
    <row r="122" ht="12.75" customHeight="1">
      <c r="A122" s="2"/>
      <c r="B122" s="2"/>
      <c r="C122" s="2"/>
      <c r="D122" s="3"/>
      <c r="E122" s="3"/>
      <c r="F122" s="3"/>
      <c r="G122" s="3"/>
      <c r="H122" s="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2"/>
      <c r="Y122" s="2"/>
      <c r="Z122" s="2"/>
      <c r="AA122" s="2"/>
      <c r="AB122" s="2"/>
    </row>
    <row r="123" ht="12.75" customHeight="1">
      <c r="A123" s="2"/>
      <c r="B123" s="2"/>
      <c r="C123" s="2"/>
      <c r="D123" s="3"/>
      <c r="E123" s="3"/>
      <c r="F123" s="3"/>
      <c r="G123" s="3"/>
      <c r="H123" s="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2"/>
      <c r="Y123" s="2"/>
      <c r="Z123" s="2"/>
      <c r="AA123" s="2"/>
      <c r="AB123" s="2"/>
    </row>
    <row r="124" ht="12.75" customHeight="1">
      <c r="A124" s="2"/>
      <c r="B124" s="2"/>
      <c r="C124" s="2"/>
      <c r="D124" s="3"/>
      <c r="E124" s="3"/>
      <c r="F124" s="3"/>
      <c r="G124" s="3"/>
      <c r="H124" s="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2"/>
      <c r="Y124" s="2"/>
      <c r="Z124" s="2"/>
      <c r="AA124" s="2"/>
      <c r="AB124" s="2"/>
    </row>
    <row r="125" ht="12.75" customHeight="1">
      <c r="A125" s="2"/>
      <c r="B125" s="2"/>
      <c r="C125" s="2"/>
      <c r="D125" s="3"/>
      <c r="E125" s="3"/>
      <c r="F125" s="3"/>
      <c r="G125" s="3"/>
      <c r="H125" s="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2"/>
      <c r="Y125" s="2"/>
      <c r="Z125" s="2"/>
      <c r="AA125" s="2"/>
      <c r="AB125" s="2"/>
    </row>
    <row r="126" ht="12.75" customHeight="1">
      <c r="A126" s="2"/>
      <c r="B126" s="2"/>
      <c r="C126" s="2"/>
      <c r="D126" s="3"/>
      <c r="E126" s="3"/>
      <c r="F126" s="3"/>
      <c r="G126" s="3"/>
      <c r="H126" s="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2"/>
      <c r="Y126" s="2"/>
      <c r="Z126" s="2"/>
      <c r="AA126" s="2"/>
      <c r="AB126" s="2"/>
    </row>
    <row r="127" ht="12.75" customHeight="1">
      <c r="A127" s="2"/>
      <c r="B127" s="2"/>
      <c r="C127" s="2"/>
      <c r="D127" s="3"/>
      <c r="E127" s="3"/>
      <c r="F127" s="3"/>
      <c r="G127" s="3"/>
      <c r="H127" s="4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2"/>
      <c r="Y127" s="2"/>
      <c r="Z127" s="2"/>
      <c r="AA127" s="2"/>
      <c r="AB127" s="2"/>
    </row>
    <row r="128" ht="12.75" customHeight="1">
      <c r="A128" s="2"/>
      <c r="B128" s="2"/>
      <c r="C128" s="2"/>
      <c r="D128" s="3"/>
      <c r="E128" s="3"/>
      <c r="F128" s="3"/>
      <c r="G128" s="3"/>
      <c r="H128" s="4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2"/>
      <c r="Y128" s="2"/>
      <c r="Z128" s="2"/>
      <c r="AA128" s="2"/>
      <c r="AB128" s="2"/>
    </row>
    <row r="129" ht="12.75" customHeight="1">
      <c r="A129" s="2"/>
      <c r="B129" s="2"/>
      <c r="C129" s="2"/>
      <c r="D129" s="3"/>
      <c r="E129" s="3"/>
      <c r="F129" s="3"/>
      <c r="G129" s="3"/>
      <c r="H129" s="4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2"/>
      <c r="Y129" s="2"/>
      <c r="Z129" s="2"/>
      <c r="AA129" s="2"/>
      <c r="AB129" s="2"/>
    </row>
    <row r="130" ht="12.75" customHeight="1">
      <c r="A130" s="2"/>
      <c r="B130" s="2"/>
      <c r="C130" s="2"/>
      <c r="D130" s="3"/>
      <c r="E130" s="3"/>
      <c r="F130" s="3"/>
      <c r="G130" s="3"/>
      <c r="H130" s="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2"/>
      <c r="Y130" s="2"/>
      <c r="Z130" s="2"/>
      <c r="AA130" s="2"/>
      <c r="AB130" s="2"/>
    </row>
    <row r="131" ht="12.75" customHeight="1">
      <c r="A131" s="2"/>
      <c r="B131" s="2"/>
      <c r="C131" s="2"/>
      <c r="D131" s="3"/>
      <c r="E131" s="3"/>
      <c r="F131" s="3"/>
      <c r="G131" s="3"/>
      <c r="H131" s="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2"/>
      <c r="Y131" s="2"/>
      <c r="Z131" s="2"/>
      <c r="AA131" s="2"/>
      <c r="AB131" s="2"/>
    </row>
    <row r="132" ht="12.75" customHeight="1">
      <c r="A132" s="2"/>
      <c r="B132" s="2"/>
      <c r="C132" s="2"/>
      <c r="D132" s="3"/>
      <c r="E132" s="3"/>
      <c r="F132" s="3"/>
      <c r="G132" s="3"/>
      <c r="H132" s="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2"/>
      <c r="Y132" s="2"/>
      <c r="Z132" s="2"/>
      <c r="AA132" s="2"/>
      <c r="AB132" s="2"/>
    </row>
    <row r="133" ht="12.75" customHeight="1">
      <c r="A133" s="2"/>
      <c r="B133" s="2"/>
      <c r="C133" s="2"/>
      <c r="D133" s="3"/>
      <c r="E133" s="3"/>
      <c r="F133" s="3"/>
      <c r="G133" s="3"/>
      <c r="H133" s="4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2"/>
      <c r="Y133" s="2"/>
      <c r="Z133" s="2"/>
      <c r="AA133" s="2"/>
      <c r="AB133" s="2"/>
    </row>
    <row r="134" ht="12.75" customHeight="1">
      <c r="A134" s="2"/>
      <c r="B134" s="2"/>
      <c r="C134" s="2"/>
      <c r="D134" s="3"/>
      <c r="E134" s="3"/>
      <c r="F134" s="3"/>
      <c r="G134" s="3"/>
      <c r="H134" s="4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2"/>
      <c r="Y134" s="2"/>
      <c r="Z134" s="2"/>
      <c r="AA134" s="2"/>
      <c r="AB134" s="2"/>
    </row>
    <row r="135" ht="12.75" customHeight="1">
      <c r="A135" s="2"/>
      <c r="B135" s="2"/>
      <c r="C135" s="2"/>
      <c r="D135" s="3"/>
      <c r="E135" s="3"/>
      <c r="F135" s="3"/>
      <c r="G135" s="3"/>
      <c r="H135" s="4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2"/>
      <c r="Y135" s="2"/>
      <c r="Z135" s="2"/>
      <c r="AA135" s="2"/>
      <c r="AB135" s="2"/>
    </row>
    <row r="136" ht="12.75" customHeight="1">
      <c r="A136" s="2"/>
      <c r="B136" s="2"/>
      <c r="C136" s="2"/>
      <c r="D136" s="3"/>
      <c r="E136" s="3"/>
      <c r="F136" s="3"/>
      <c r="G136" s="3"/>
      <c r="H136" s="4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2"/>
      <c r="Y136" s="2"/>
      <c r="Z136" s="2"/>
      <c r="AA136" s="2"/>
      <c r="AB136" s="2"/>
    </row>
    <row r="137" ht="12.75" customHeight="1">
      <c r="A137" s="2"/>
      <c r="B137" s="2"/>
      <c r="C137" s="2"/>
      <c r="D137" s="3"/>
      <c r="E137" s="3"/>
      <c r="F137" s="3"/>
      <c r="G137" s="3"/>
      <c r="H137" s="4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2"/>
      <c r="Y137" s="2"/>
      <c r="Z137" s="2"/>
      <c r="AA137" s="2"/>
      <c r="AB137" s="2"/>
    </row>
    <row r="138" ht="12.75" customHeight="1">
      <c r="A138" s="2"/>
      <c r="B138" s="2"/>
      <c r="C138" s="2"/>
      <c r="D138" s="3"/>
      <c r="E138" s="3"/>
      <c r="F138" s="3"/>
      <c r="G138" s="3"/>
      <c r="H138" s="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2"/>
      <c r="Y138" s="2"/>
      <c r="Z138" s="2"/>
      <c r="AA138" s="2"/>
      <c r="AB138" s="2"/>
    </row>
    <row r="139" ht="12.75" customHeight="1">
      <c r="A139" s="2"/>
      <c r="B139" s="2"/>
      <c r="C139" s="2"/>
      <c r="D139" s="3"/>
      <c r="E139" s="3"/>
      <c r="F139" s="3"/>
      <c r="G139" s="3"/>
      <c r="H139" s="4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2"/>
      <c r="Y139" s="2"/>
      <c r="Z139" s="2"/>
      <c r="AA139" s="2"/>
      <c r="AB139" s="2"/>
    </row>
    <row r="140" ht="12.75" customHeight="1">
      <c r="A140" s="2"/>
      <c r="B140" s="2"/>
      <c r="C140" s="2"/>
      <c r="D140" s="3"/>
      <c r="E140" s="3"/>
      <c r="F140" s="3"/>
      <c r="G140" s="3"/>
      <c r="H140" s="4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2"/>
      <c r="Y140" s="2"/>
      <c r="Z140" s="2"/>
      <c r="AA140" s="2"/>
      <c r="AB140" s="2"/>
    </row>
    <row r="141" ht="12.75" customHeight="1">
      <c r="A141" s="2"/>
      <c r="B141" s="2"/>
      <c r="C141" s="2"/>
      <c r="D141" s="3"/>
      <c r="E141" s="3"/>
      <c r="F141" s="3"/>
      <c r="G141" s="3"/>
      <c r="H141" s="4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2"/>
      <c r="Y141" s="2"/>
      <c r="Z141" s="2"/>
      <c r="AA141" s="2"/>
      <c r="AB141" s="2"/>
    </row>
    <row r="142" ht="12.75" customHeight="1">
      <c r="A142" s="2"/>
      <c r="B142" s="2"/>
      <c r="C142" s="2"/>
      <c r="D142" s="3"/>
      <c r="E142" s="3"/>
      <c r="F142" s="3"/>
      <c r="G142" s="3"/>
      <c r="H142" s="4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2"/>
      <c r="Y142" s="2"/>
      <c r="Z142" s="2"/>
      <c r="AA142" s="2"/>
      <c r="AB142" s="2"/>
    </row>
    <row r="143" ht="12.75" customHeight="1">
      <c r="A143" s="2"/>
      <c r="B143" s="2"/>
      <c r="C143" s="2"/>
      <c r="D143" s="3"/>
      <c r="E143" s="3"/>
      <c r="F143" s="3"/>
      <c r="G143" s="3"/>
      <c r="H143" s="4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2"/>
      <c r="Y143" s="2"/>
      <c r="Z143" s="2"/>
      <c r="AA143" s="2"/>
      <c r="AB143" s="2"/>
    </row>
    <row r="144" ht="12.75" customHeight="1">
      <c r="A144" s="2"/>
      <c r="B144" s="2"/>
      <c r="C144" s="2"/>
      <c r="D144" s="3"/>
      <c r="E144" s="3"/>
      <c r="F144" s="3"/>
      <c r="G144" s="3"/>
      <c r="H144" s="4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2"/>
      <c r="Y144" s="2"/>
      <c r="Z144" s="2"/>
      <c r="AA144" s="2"/>
      <c r="AB144" s="2"/>
    </row>
    <row r="145" ht="12.75" customHeight="1">
      <c r="A145" s="2"/>
      <c r="B145" s="2"/>
      <c r="C145" s="2"/>
      <c r="D145" s="3"/>
      <c r="E145" s="3"/>
      <c r="F145" s="3"/>
      <c r="G145" s="3"/>
      <c r="H145" s="4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2"/>
      <c r="Y145" s="2"/>
      <c r="Z145" s="2"/>
      <c r="AA145" s="2"/>
      <c r="AB145" s="2"/>
    </row>
    <row r="146" ht="12.75" customHeight="1">
      <c r="A146" s="2"/>
      <c r="B146" s="2"/>
      <c r="C146" s="2"/>
      <c r="D146" s="3"/>
      <c r="E146" s="3"/>
      <c r="F146" s="3"/>
      <c r="G146" s="3"/>
      <c r="H146" s="4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2"/>
      <c r="Y146" s="2"/>
      <c r="Z146" s="2"/>
      <c r="AA146" s="2"/>
      <c r="AB146" s="2"/>
    </row>
    <row r="147" ht="12.75" customHeight="1">
      <c r="A147" s="2"/>
      <c r="B147" s="2"/>
      <c r="C147" s="2"/>
      <c r="D147" s="3"/>
      <c r="E147" s="3"/>
      <c r="F147" s="3"/>
      <c r="G147" s="3"/>
      <c r="H147" s="4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2"/>
      <c r="Y147" s="2"/>
      <c r="Z147" s="2"/>
      <c r="AA147" s="2"/>
      <c r="AB147" s="2"/>
    </row>
    <row r="148" ht="12.75" customHeight="1">
      <c r="A148" s="2"/>
      <c r="B148" s="2"/>
      <c r="C148" s="2"/>
      <c r="D148" s="3"/>
      <c r="E148" s="3"/>
      <c r="F148" s="3"/>
      <c r="G148" s="3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2"/>
      <c r="Y148" s="2"/>
      <c r="Z148" s="2"/>
      <c r="AA148" s="2"/>
      <c r="AB148" s="2"/>
    </row>
    <row r="149" ht="12.75" customHeight="1">
      <c r="A149" s="2"/>
      <c r="B149" s="2"/>
      <c r="C149" s="2"/>
      <c r="D149" s="3"/>
      <c r="E149" s="3"/>
      <c r="F149" s="3"/>
      <c r="G149" s="3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2"/>
      <c r="Y149" s="2"/>
      <c r="Z149" s="2"/>
      <c r="AA149" s="2"/>
      <c r="AB149" s="2"/>
    </row>
    <row r="150" ht="12.75" customHeight="1">
      <c r="A150" s="2"/>
      <c r="B150" s="2"/>
      <c r="C150" s="2"/>
      <c r="D150" s="3"/>
      <c r="E150" s="3"/>
      <c r="F150" s="3"/>
      <c r="G150" s="3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2"/>
      <c r="Y150" s="2"/>
      <c r="Z150" s="2"/>
      <c r="AA150" s="2"/>
      <c r="AB150" s="2"/>
    </row>
    <row r="151" ht="12.75" customHeight="1">
      <c r="A151" s="2"/>
      <c r="B151" s="2"/>
      <c r="C151" s="2"/>
      <c r="D151" s="3"/>
      <c r="E151" s="3"/>
      <c r="F151" s="3"/>
      <c r="G151" s="3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2"/>
      <c r="Y151" s="2"/>
      <c r="Z151" s="2"/>
      <c r="AA151" s="2"/>
      <c r="AB151" s="2"/>
    </row>
    <row r="152" ht="12.75" customHeight="1">
      <c r="A152" s="2"/>
      <c r="B152" s="2"/>
      <c r="C152" s="2"/>
      <c r="D152" s="3"/>
      <c r="E152" s="3"/>
      <c r="F152" s="3"/>
      <c r="G152" s="3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2"/>
      <c r="Y152" s="2"/>
      <c r="Z152" s="2"/>
      <c r="AA152" s="2"/>
      <c r="AB152" s="2"/>
    </row>
    <row r="153" ht="12.75" customHeight="1">
      <c r="A153" s="2"/>
      <c r="B153" s="2"/>
      <c r="C153" s="2"/>
      <c r="D153" s="3"/>
      <c r="E153" s="3"/>
      <c r="F153" s="3"/>
      <c r="G153" s="3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2"/>
      <c r="Y153" s="2"/>
      <c r="Z153" s="2"/>
      <c r="AA153" s="2"/>
      <c r="AB153" s="2"/>
    </row>
    <row r="154" ht="12.75" customHeight="1">
      <c r="A154" s="2"/>
      <c r="B154" s="2"/>
      <c r="C154" s="2"/>
      <c r="D154" s="3"/>
      <c r="E154" s="3"/>
      <c r="F154" s="3"/>
      <c r="G154" s="3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2"/>
      <c r="Y154" s="2"/>
      <c r="Z154" s="2"/>
      <c r="AA154" s="2"/>
      <c r="AB154" s="2"/>
    </row>
    <row r="155" ht="12.75" customHeight="1">
      <c r="A155" s="2"/>
      <c r="B155" s="2"/>
      <c r="C155" s="2"/>
      <c r="D155" s="3"/>
      <c r="E155" s="3"/>
      <c r="F155" s="3"/>
      <c r="G155" s="3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2"/>
      <c r="Y155" s="2"/>
      <c r="Z155" s="2"/>
      <c r="AA155" s="2"/>
      <c r="AB155" s="2"/>
    </row>
    <row r="156" ht="12.75" customHeight="1">
      <c r="A156" s="2"/>
      <c r="B156" s="2"/>
      <c r="C156" s="2"/>
      <c r="D156" s="3"/>
      <c r="E156" s="3"/>
      <c r="F156" s="3"/>
      <c r="G156" s="3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2"/>
      <c r="Y156" s="2"/>
      <c r="Z156" s="2"/>
      <c r="AA156" s="2"/>
      <c r="AB156" s="2"/>
    </row>
    <row r="157" ht="12.75" customHeight="1">
      <c r="A157" s="2"/>
      <c r="B157" s="2"/>
      <c r="C157" s="2"/>
      <c r="D157" s="3"/>
      <c r="E157" s="3"/>
      <c r="F157" s="3"/>
      <c r="G157" s="3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2"/>
      <c r="Y157" s="2"/>
      <c r="Z157" s="2"/>
      <c r="AA157" s="2"/>
      <c r="AB157" s="2"/>
    </row>
    <row r="158" ht="12.75" customHeight="1">
      <c r="A158" s="2"/>
      <c r="B158" s="2"/>
      <c r="C158" s="2"/>
      <c r="D158" s="3"/>
      <c r="E158" s="3"/>
      <c r="F158" s="3"/>
      <c r="G158" s="3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2"/>
      <c r="Y158" s="2"/>
      <c r="Z158" s="2"/>
      <c r="AA158" s="2"/>
      <c r="AB158" s="2"/>
    </row>
    <row r="159" ht="12.75" customHeight="1">
      <c r="A159" s="2"/>
      <c r="B159" s="2"/>
      <c r="C159" s="2"/>
      <c r="D159" s="3"/>
      <c r="E159" s="3"/>
      <c r="F159" s="3"/>
      <c r="G159" s="3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2"/>
      <c r="Y159" s="2"/>
      <c r="Z159" s="2"/>
      <c r="AA159" s="2"/>
      <c r="AB159" s="2"/>
    </row>
    <row r="160" ht="12.75" customHeight="1">
      <c r="A160" s="2"/>
      <c r="B160" s="2"/>
      <c r="C160" s="2"/>
      <c r="D160" s="3"/>
      <c r="E160" s="3"/>
      <c r="F160" s="3"/>
      <c r="G160" s="3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2"/>
      <c r="Y160" s="2"/>
      <c r="Z160" s="2"/>
      <c r="AA160" s="2"/>
      <c r="AB160" s="2"/>
    </row>
    <row r="161" ht="12.75" customHeight="1">
      <c r="A161" s="2"/>
      <c r="B161" s="2"/>
      <c r="C161" s="2"/>
      <c r="D161" s="3"/>
      <c r="E161" s="3"/>
      <c r="F161" s="3"/>
      <c r="G161" s="3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2"/>
      <c r="Y161" s="2"/>
      <c r="Z161" s="2"/>
      <c r="AA161" s="2"/>
      <c r="AB161" s="2"/>
    </row>
    <row r="162" ht="12.75" customHeight="1">
      <c r="A162" s="2"/>
      <c r="B162" s="2"/>
      <c r="C162" s="2"/>
      <c r="D162" s="3"/>
      <c r="E162" s="3"/>
      <c r="F162" s="3"/>
      <c r="G162" s="3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2"/>
      <c r="Y162" s="2"/>
      <c r="Z162" s="2"/>
      <c r="AA162" s="2"/>
      <c r="AB162" s="2"/>
    </row>
    <row r="163" ht="12.75" customHeight="1">
      <c r="A163" s="2"/>
      <c r="B163" s="2"/>
      <c r="C163" s="2"/>
      <c r="D163" s="3"/>
      <c r="E163" s="3"/>
      <c r="F163" s="3"/>
      <c r="G163" s="3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2"/>
      <c r="Y163" s="2"/>
      <c r="Z163" s="2"/>
      <c r="AA163" s="2"/>
      <c r="AB163" s="2"/>
    </row>
    <row r="164" ht="12.75" customHeight="1">
      <c r="A164" s="2"/>
      <c r="B164" s="2"/>
      <c r="C164" s="2"/>
      <c r="D164" s="3"/>
      <c r="E164" s="3"/>
      <c r="F164" s="3"/>
      <c r="G164" s="3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2"/>
      <c r="Y164" s="2"/>
      <c r="Z164" s="2"/>
      <c r="AA164" s="2"/>
      <c r="AB164" s="2"/>
    </row>
    <row r="165" ht="12.75" customHeight="1">
      <c r="A165" s="2"/>
      <c r="B165" s="2"/>
      <c r="C165" s="2"/>
      <c r="D165" s="3"/>
      <c r="E165" s="3"/>
      <c r="F165" s="3"/>
      <c r="G165" s="3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2"/>
      <c r="Y165" s="2"/>
      <c r="Z165" s="2"/>
      <c r="AA165" s="2"/>
      <c r="AB165" s="2"/>
    </row>
    <row r="166" ht="12.75" customHeight="1">
      <c r="A166" s="2"/>
      <c r="B166" s="2"/>
      <c r="C166" s="2"/>
      <c r="D166" s="3"/>
      <c r="E166" s="3"/>
      <c r="F166" s="3"/>
      <c r="G166" s="3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2"/>
      <c r="Y166" s="2"/>
      <c r="Z166" s="2"/>
      <c r="AA166" s="2"/>
      <c r="AB166" s="2"/>
    </row>
    <row r="167" ht="12.75" customHeight="1">
      <c r="A167" s="2"/>
      <c r="B167" s="2"/>
      <c r="C167" s="2"/>
      <c r="D167" s="3"/>
      <c r="E167" s="3"/>
      <c r="F167" s="3"/>
      <c r="G167" s="3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2"/>
      <c r="Y167" s="2"/>
      <c r="Z167" s="2"/>
      <c r="AA167" s="2"/>
      <c r="AB167" s="2"/>
    </row>
    <row r="168" ht="12.75" customHeight="1">
      <c r="A168" s="2"/>
      <c r="B168" s="2"/>
      <c r="C168" s="2"/>
      <c r="D168" s="3"/>
      <c r="E168" s="3"/>
      <c r="F168" s="3"/>
      <c r="G168" s="3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2"/>
      <c r="Y168" s="2"/>
      <c r="Z168" s="2"/>
      <c r="AA168" s="2"/>
      <c r="AB168" s="2"/>
    </row>
    <row r="169" ht="12.75" customHeight="1">
      <c r="A169" s="2"/>
      <c r="B169" s="2"/>
      <c r="C169" s="2"/>
      <c r="D169" s="3"/>
      <c r="E169" s="3"/>
      <c r="F169" s="3"/>
      <c r="G169" s="3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2"/>
      <c r="Y169" s="2"/>
      <c r="Z169" s="2"/>
      <c r="AA169" s="2"/>
      <c r="AB169" s="2"/>
    </row>
    <row r="170" ht="12.75" customHeight="1">
      <c r="A170" s="2"/>
      <c r="B170" s="2"/>
      <c r="C170" s="2"/>
      <c r="D170" s="3"/>
      <c r="E170" s="3"/>
      <c r="F170" s="3"/>
      <c r="G170" s="3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2"/>
      <c r="Y170" s="2"/>
      <c r="Z170" s="2"/>
      <c r="AA170" s="2"/>
      <c r="AB170" s="2"/>
    </row>
    <row r="171" ht="12.75" customHeight="1">
      <c r="A171" s="2"/>
      <c r="B171" s="2"/>
      <c r="C171" s="2"/>
      <c r="D171" s="3"/>
      <c r="E171" s="3"/>
      <c r="F171" s="3"/>
      <c r="G171" s="3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2"/>
      <c r="Y171" s="2"/>
      <c r="Z171" s="2"/>
      <c r="AA171" s="2"/>
      <c r="AB171" s="2"/>
    </row>
    <row r="172" ht="12.75" customHeight="1">
      <c r="A172" s="2"/>
      <c r="B172" s="2"/>
      <c r="C172" s="2"/>
      <c r="D172" s="3"/>
      <c r="E172" s="3"/>
      <c r="F172" s="3"/>
      <c r="G172" s="3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"/>
      <c r="Y172" s="2"/>
      <c r="Z172" s="2"/>
      <c r="AA172" s="2"/>
      <c r="AB172" s="2"/>
    </row>
    <row r="173" ht="12.75" customHeight="1">
      <c r="A173" s="2"/>
      <c r="B173" s="2"/>
      <c r="C173" s="2"/>
      <c r="D173" s="3"/>
      <c r="E173" s="3"/>
      <c r="F173" s="3"/>
      <c r="G173" s="3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"/>
      <c r="Y173" s="2"/>
      <c r="Z173" s="2"/>
      <c r="AA173" s="2"/>
      <c r="AB173" s="2"/>
    </row>
    <row r="174" ht="12.75" customHeight="1">
      <c r="A174" s="2"/>
      <c r="B174" s="2"/>
      <c r="C174" s="2"/>
      <c r="D174" s="3"/>
      <c r="E174" s="3"/>
      <c r="F174" s="3"/>
      <c r="G174" s="3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"/>
      <c r="Y174" s="2"/>
      <c r="Z174" s="2"/>
      <c r="AA174" s="2"/>
      <c r="AB174" s="2"/>
    </row>
    <row r="175" ht="12.75" customHeight="1">
      <c r="A175" s="2"/>
      <c r="B175" s="2"/>
      <c r="C175" s="2"/>
      <c r="D175" s="3"/>
      <c r="E175" s="3"/>
      <c r="F175" s="3"/>
      <c r="G175" s="3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"/>
      <c r="Y175" s="2"/>
      <c r="Z175" s="2"/>
      <c r="AA175" s="2"/>
      <c r="AB175" s="2"/>
    </row>
    <row r="176" ht="12.75" customHeight="1">
      <c r="A176" s="2"/>
      <c r="B176" s="2"/>
      <c r="C176" s="2"/>
      <c r="D176" s="3"/>
      <c r="E176" s="3"/>
      <c r="F176" s="3"/>
      <c r="G176" s="3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"/>
      <c r="Y176" s="2"/>
      <c r="Z176" s="2"/>
      <c r="AA176" s="2"/>
      <c r="AB176" s="2"/>
    </row>
    <row r="177" ht="12.75" customHeight="1">
      <c r="A177" s="2"/>
      <c r="B177" s="2"/>
      <c r="C177" s="2"/>
      <c r="D177" s="3"/>
      <c r="E177" s="3"/>
      <c r="F177" s="3"/>
      <c r="G177" s="3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"/>
      <c r="Y177" s="2"/>
      <c r="Z177" s="2"/>
      <c r="AA177" s="2"/>
      <c r="AB177" s="2"/>
    </row>
    <row r="178" ht="12.75" customHeight="1">
      <c r="A178" s="2"/>
      <c r="B178" s="2"/>
      <c r="C178" s="2"/>
      <c r="D178" s="3"/>
      <c r="E178" s="3"/>
      <c r="F178" s="3"/>
      <c r="G178" s="3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2"/>
      <c r="Y178" s="2"/>
      <c r="Z178" s="2"/>
      <c r="AA178" s="2"/>
      <c r="AB178" s="2"/>
    </row>
    <row r="179" ht="12.75" customHeight="1">
      <c r="A179" s="2"/>
      <c r="B179" s="2"/>
      <c r="C179" s="2"/>
      <c r="D179" s="3"/>
      <c r="E179" s="3"/>
      <c r="F179" s="3"/>
      <c r="G179" s="3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2"/>
      <c r="Y179" s="2"/>
      <c r="Z179" s="2"/>
      <c r="AA179" s="2"/>
      <c r="AB179" s="2"/>
    </row>
    <row r="180" ht="12.75" customHeight="1">
      <c r="A180" s="2"/>
      <c r="B180" s="2"/>
      <c r="C180" s="2"/>
      <c r="D180" s="3"/>
      <c r="E180" s="3"/>
      <c r="F180" s="3"/>
      <c r="G180" s="3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2"/>
      <c r="Y180" s="2"/>
      <c r="Z180" s="2"/>
      <c r="AA180" s="2"/>
      <c r="AB180" s="2"/>
    </row>
    <row r="181" ht="12.75" customHeight="1">
      <c r="A181" s="2"/>
      <c r="B181" s="2"/>
      <c r="C181" s="2"/>
      <c r="D181" s="3"/>
      <c r="E181" s="3"/>
      <c r="F181" s="3"/>
      <c r="G181" s="3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2"/>
      <c r="Y181" s="2"/>
      <c r="Z181" s="2"/>
      <c r="AA181" s="2"/>
      <c r="AB181" s="2"/>
    </row>
    <row r="182" ht="12.75" customHeight="1">
      <c r="A182" s="2"/>
      <c r="B182" s="2"/>
      <c r="C182" s="2"/>
      <c r="D182" s="3"/>
      <c r="E182" s="3"/>
      <c r="F182" s="3"/>
      <c r="G182" s="3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2"/>
      <c r="Y182" s="2"/>
      <c r="Z182" s="2"/>
      <c r="AA182" s="2"/>
      <c r="AB182" s="2"/>
    </row>
    <row r="183" ht="12.75" customHeight="1">
      <c r="A183" s="2"/>
      <c r="B183" s="2"/>
      <c r="C183" s="2"/>
      <c r="D183" s="3"/>
      <c r="E183" s="3"/>
      <c r="F183" s="3"/>
      <c r="G183" s="3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2"/>
      <c r="Y183" s="2"/>
      <c r="Z183" s="2"/>
      <c r="AA183" s="2"/>
      <c r="AB183" s="2"/>
    </row>
    <row r="184" ht="12.75" customHeight="1">
      <c r="A184" s="2"/>
      <c r="B184" s="2"/>
      <c r="C184" s="2"/>
      <c r="D184" s="3"/>
      <c r="E184" s="3"/>
      <c r="F184" s="3"/>
      <c r="G184" s="3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2"/>
      <c r="Y184" s="2"/>
      <c r="Z184" s="2"/>
      <c r="AA184" s="2"/>
      <c r="AB184" s="2"/>
    </row>
    <row r="185" ht="12.75" customHeight="1">
      <c r="A185" s="2"/>
      <c r="B185" s="2"/>
      <c r="C185" s="2"/>
      <c r="D185" s="3"/>
      <c r="E185" s="3"/>
      <c r="F185" s="3"/>
      <c r="G185" s="3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2"/>
      <c r="Y185" s="2"/>
      <c r="Z185" s="2"/>
      <c r="AA185" s="2"/>
      <c r="AB185" s="2"/>
    </row>
    <row r="186" ht="12.75" customHeight="1">
      <c r="A186" s="2"/>
      <c r="B186" s="2"/>
      <c r="C186" s="2"/>
      <c r="D186" s="3"/>
      <c r="E186" s="3"/>
      <c r="F186" s="3"/>
      <c r="G186" s="3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2"/>
      <c r="Y186" s="2"/>
      <c r="Z186" s="2"/>
      <c r="AA186" s="2"/>
      <c r="AB186" s="2"/>
    </row>
    <row r="187" ht="12.75" customHeight="1">
      <c r="A187" s="2"/>
      <c r="B187" s="2"/>
      <c r="C187" s="2"/>
      <c r="D187" s="3"/>
      <c r="E187" s="3"/>
      <c r="F187" s="3"/>
      <c r="G187" s="3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2"/>
      <c r="Y187" s="2"/>
      <c r="Z187" s="2"/>
      <c r="AA187" s="2"/>
      <c r="AB187" s="2"/>
    </row>
    <row r="188" ht="12.75" customHeight="1">
      <c r="A188" s="2"/>
      <c r="B188" s="2"/>
      <c r="C188" s="2"/>
      <c r="D188" s="3"/>
      <c r="E188" s="3"/>
      <c r="F188" s="3"/>
      <c r="G188" s="3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2"/>
      <c r="Y188" s="2"/>
      <c r="Z188" s="2"/>
      <c r="AA188" s="2"/>
      <c r="AB188" s="2"/>
    </row>
    <row r="189" ht="12.75" customHeight="1">
      <c r="A189" s="2"/>
      <c r="B189" s="2"/>
      <c r="C189" s="2"/>
      <c r="D189" s="3"/>
      <c r="E189" s="3"/>
      <c r="F189" s="3"/>
      <c r="G189" s="3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2"/>
      <c r="Y189" s="2"/>
      <c r="Z189" s="2"/>
      <c r="AA189" s="2"/>
      <c r="AB189" s="2"/>
    </row>
    <row r="190" ht="12.75" customHeight="1">
      <c r="A190" s="2"/>
      <c r="B190" s="2"/>
      <c r="C190" s="2"/>
      <c r="D190" s="3"/>
      <c r="E190" s="3"/>
      <c r="F190" s="3"/>
      <c r="G190" s="3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2"/>
      <c r="Y190" s="2"/>
      <c r="Z190" s="2"/>
      <c r="AA190" s="2"/>
      <c r="AB190" s="2"/>
    </row>
    <row r="191" ht="12.75" customHeight="1">
      <c r="A191" s="2"/>
      <c r="B191" s="2"/>
      <c r="C191" s="2"/>
      <c r="D191" s="3"/>
      <c r="E191" s="3"/>
      <c r="F191" s="3"/>
      <c r="G191" s="3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2"/>
      <c r="Y191" s="2"/>
      <c r="Z191" s="2"/>
      <c r="AA191" s="2"/>
      <c r="AB191" s="2"/>
    </row>
    <row r="192" ht="12.75" customHeight="1">
      <c r="A192" s="2"/>
      <c r="B192" s="2"/>
      <c r="C192" s="2"/>
      <c r="D192" s="3"/>
      <c r="E192" s="3"/>
      <c r="F192" s="3"/>
      <c r="G192" s="3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2"/>
      <c r="Y192" s="2"/>
      <c r="Z192" s="2"/>
      <c r="AA192" s="2"/>
      <c r="AB192" s="2"/>
    </row>
    <row r="193" ht="12.75" customHeight="1">
      <c r="A193" s="2"/>
      <c r="B193" s="2"/>
      <c r="C193" s="2"/>
      <c r="D193" s="3"/>
      <c r="E193" s="3"/>
      <c r="F193" s="3"/>
      <c r="G193" s="3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2"/>
      <c r="Y193" s="2"/>
      <c r="Z193" s="2"/>
      <c r="AA193" s="2"/>
      <c r="AB193" s="2"/>
    </row>
    <row r="194" ht="12.75" customHeight="1">
      <c r="A194" s="2"/>
      <c r="B194" s="2"/>
      <c r="C194" s="2"/>
      <c r="D194" s="3"/>
      <c r="E194" s="3"/>
      <c r="F194" s="3"/>
      <c r="G194" s="3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2"/>
      <c r="Y194" s="2"/>
      <c r="Z194" s="2"/>
      <c r="AA194" s="2"/>
      <c r="AB194" s="2"/>
    </row>
    <row r="195" ht="12.75" customHeight="1">
      <c r="A195" s="2"/>
      <c r="B195" s="2"/>
      <c r="C195" s="2"/>
      <c r="D195" s="3"/>
      <c r="E195" s="3"/>
      <c r="F195" s="3"/>
      <c r="G195" s="3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2"/>
      <c r="Y195" s="2"/>
      <c r="Z195" s="2"/>
      <c r="AA195" s="2"/>
      <c r="AB195" s="2"/>
    </row>
    <row r="196" ht="12.75" customHeight="1">
      <c r="A196" s="2"/>
      <c r="B196" s="2"/>
      <c r="C196" s="2"/>
      <c r="D196" s="3"/>
      <c r="E196" s="3"/>
      <c r="F196" s="3"/>
      <c r="G196" s="3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2"/>
      <c r="Y196" s="2"/>
      <c r="Z196" s="2"/>
      <c r="AA196" s="2"/>
      <c r="AB196" s="2"/>
    </row>
    <row r="197" ht="12.75" customHeight="1">
      <c r="A197" s="2"/>
      <c r="B197" s="2"/>
      <c r="C197" s="2"/>
      <c r="D197" s="3"/>
      <c r="E197" s="3"/>
      <c r="F197" s="3"/>
      <c r="G197" s="3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2"/>
      <c r="Y197" s="2"/>
      <c r="Z197" s="2"/>
      <c r="AA197" s="2"/>
      <c r="AB197" s="2"/>
    </row>
    <row r="198" ht="12.75" customHeight="1">
      <c r="A198" s="2"/>
      <c r="B198" s="2"/>
      <c r="C198" s="2"/>
      <c r="D198" s="3"/>
      <c r="E198" s="3"/>
      <c r="F198" s="3"/>
      <c r="G198" s="3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2"/>
      <c r="Y198" s="2"/>
      <c r="Z198" s="2"/>
      <c r="AA198" s="2"/>
      <c r="AB198" s="2"/>
    </row>
    <row r="199" ht="12.75" customHeight="1">
      <c r="A199" s="2"/>
      <c r="B199" s="2"/>
      <c r="C199" s="2"/>
      <c r="D199" s="3"/>
      <c r="E199" s="3"/>
      <c r="F199" s="3"/>
      <c r="G199" s="3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2"/>
      <c r="Y199" s="2"/>
      <c r="Z199" s="2"/>
      <c r="AA199" s="2"/>
      <c r="AB199" s="2"/>
    </row>
    <row r="200" ht="12.75" customHeight="1">
      <c r="A200" s="2"/>
      <c r="B200" s="2"/>
      <c r="C200" s="2"/>
      <c r="D200" s="3"/>
      <c r="E200" s="3"/>
      <c r="F200" s="3"/>
      <c r="G200" s="3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2"/>
      <c r="Y200" s="2"/>
      <c r="Z200" s="2"/>
      <c r="AA200" s="2"/>
      <c r="AB200" s="2"/>
    </row>
    <row r="201" ht="12.75" customHeight="1">
      <c r="A201" s="2"/>
      <c r="B201" s="2"/>
      <c r="C201" s="2"/>
      <c r="D201" s="3"/>
      <c r="E201" s="3"/>
      <c r="F201" s="3"/>
      <c r="G201" s="3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2"/>
      <c r="Y201" s="2"/>
      <c r="Z201" s="2"/>
      <c r="AA201" s="2"/>
      <c r="AB201" s="2"/>
    </row>
    <row r="202" ht="12.75" customHeight="1">
      <c r="A202" s="2"/>
      <c r="B202" s="2"/>
      <c r="C202" s="2"/>
      <c r="D202" s="3"/>
      <c r="E202" s="3"/>
      <c r="F202" s="3"/>
      <c r="G202" s="3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2"/>
      <c r="Y202" s="2"/>
      <c r="Z202" s="2"/>
      <c r="AA202" s="2"/>
      <c r="AB202" s="2"/>
    </row>
    <row r="203" ht="12.75" customHeight="1">
      <c r="A203" s="2"/>
      <c r="B203" s="2"/>
      <c r="C203" s="2"/>
      <c r="D203" s="3"/>
      <c r="E203" s="3"/>
      <c r="F203" s="3"/>
      <c r="G203" s="3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2"/>
      <c r="Y203" s="2"/>
      <c r="Z203" s="2"/>
      <c r="AA203" s="2"/>
      <c r="AB203" s="2"/>
    </row>
    <row r="204" ht="12.75" customHeight="1">
      <c r="A204" s="2"/>
      <c r="B204" s="2"/>
      <c r="C204" s="2"/>
      <c r="D204" s="3"/>
      <c r="E204" s="3"/>
      <c r="F204" s="3"/>
      <c r="G204" s="3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2"/>
      <c r="Y204" s="2"/>
      <c r="Z204" s="2"/>
      <c r="AA204" s="2"/>
      <c r="AB204" s="2"/>
    </row>
    <row r="205" ht="12.75" customHeight="1">
      <c r="A205" s="2"/>
      <c r="B205" s="2"/>
      <c r="C205" s="2"/>
      <c r="D205" s="3"/>
      <c r="E205" s="3"/>
      <c r="F205" s="3"/>
      <c r="G205" s="3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2"/>
      <c r="Y205" s="2"/>
      <c r="Z205" s="2"/>
      <c r="AA205" s="2"/>
      <c r="AB205" s="2"/>
    </row>
    <row r="206" ht="12.75" customHeight="1">
      <c r="A206" s="2"/>
      <c r="B206" s="2"/>
      <c r="C206" s="2"/>
      <c r="D206" s="3"/>
      <c r="E206" s="3"/>
      <c r="F206" s="3"/>
      <c r="G206" s="3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2"/>
      <c r="Y206" s="2"/>
      <c r="Z206" s="2"/>
      <c r="AA206" s="2"/>
      <c r="AB206" s="2"/>
    </row>
    <row r="207" ht="12.75" customHeight="1">
      <c r="A207" s="2"/>
      <c r="B207" s="2"/>
      <c r="C207" s="2"/>
      <c r="D207" s="3"/>
      <c r="E207" s="3"/>
      <c r="F207" s="3"/>
      <c r="G207" s="3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2"/>
      <c r="Y207" s="2"/>
      <c r="Z207" s="2"/>
      <c r="AA207" s="2"/>
      <c r="AB207" s="2"/>
    </row>
    <row r="208" ht="12.75" customHeight="1">
      <c r="A208" s="2"/>
      <c r="B208" s="2"/>
      <c r="C208" s="2"/>
      <c r="D208" s="3"/>
      <c r="E208" s="3"/>
      <c r="F208" s="3"/>
      <c r="G208" s="3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2"/>
      <c r="Y208" s="2"/>
      <c r="Z208" s="2"/>
      <c r="AA208" s="2"/>
      <c r="AB208" s="2"/>
    </row>
    <row r="209" ht="12.75" customHeight="1">
      <c r="A209" s="2"/>
      <c r="B209" s="2"/>
      <c r="C209" s="2"/>
      <c r="D209" s="3"/>
      <c r="E209" s="3"/>
      <c r="F209" s="3"/>
      <c r="G209" s="3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2"/>
      <c r="Y209" s="2"/>
      <c r="Z209" s="2"/>
      <c r="AA209" s="2"/>
      <c r="AB209" s="2"/>
    </row>
    <row r="210" ht="12.75" customHeight="1">
      <c r="A210" s="2"/>
      <c r="B210" s="2"/>
      <c r="C210" s="2"/>
      <c r="D210" s="3"/>
      <c r="E210" s="3"/>
      <c r="F210" s="3"/>
      <c r="G210" s="3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2"/>
      <c r="Y210" s="2"/>
      <c r="Z210" s="2"/>
      <c r="AA210" s="2"/>
      <c r="AB210" s="2"/>
    </row>
    <row r="211" ht="12.75" customHeight="1">
      <c r="A211" s="2"/>
      <c r="B211" s="2"/>
      <c r="C211" s="2"/>
      <c r="D211" s="3"/>
      <c r="E211" s="3"/>
      <c r="F211" s="3"/>
      <c r="G211" s="3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2"/>
      <c r="Y211" s="2"/>
      <c r="Z211" s="2"/>
      <c r="AA211" s="2"/>
      <c r="AB211" s="2"/>
    </row>
    <row r="212" ht="12.75" customHeight="1">
      <c r="A212" s="2"/>
      <c r="B212" s="2"/>
      <c r="C212" s="2"/>
      <c r="D212" s="3"/>
      <c r="E212" s="3"/>
      <c r="F212" s="3"/>
      <c r="G212" s="3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2"/>
      <c r="Y212" s="2"/>
      <c r="Z212" s="2"/>
      <c r="AA212" s="2"/>
      <c r="AB212" s="2"/>
    </row>
    <row r="213" ht="12.75" customHeight="1">
      <c r="A213" s="2"/>
      <c r="B213" s="2"/>
      <c r="C213" s="2"/>
      <c r="D213" s="3"/>
      <c r="E213" s="3"/>
      <c r="F213" s="3"/>
      <c r="G213" s="3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2"/>
      <c r="Y213" s="2"/>
      <c r="Z213" s="2"/>
      <c r="AA213" s="2"/>
      <c r="AB213" s="2"/>
    </row>
    <row r="214" ht="12.75" customHeight="1">
      <c r="A214" s="2"/>
      <c r="B214" s="2"/>
      <c r="C214" s="2"/>
      <c r="D214" s="3"/>
      <c r="E214" s="3"/>
      <c r="F214" s="3"/>
      <c r="G214" s="3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2"/>
      <c r="Y214" s="2"/>
      <c r="Z214" s="2"/>
      <c r="AA214" s="2"/>
      <c r="AB214" s="2"/>
    </row>
    <row r="215" ht="12.75" customHeight="1">
      <c r="A215" s="2"/>
      <c r="B215" s="2"/>
      <c r="C215" s="2"/>
      <c r="D215" s="3"/>
      <c r="E215" s="3"/>
      <c r="F215" s="3"/>
      <c r="G215" s="3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2"/>
      <c r="Y215" s="2"/>
      <c r="Z215" s="2"/>
      <c r="AA215" s="2"/>
      <c r="AB215" s="2"/>
    </row>
    <row r="216" ht="12.75" customHeight="1">
      <c r="A216" s="2"/>
      <c r="B216" s="2"/>
      <c r="C216" s="2"/>
      <c r="D216" s="3"/>
      <c r="E216" s="3"/>
      <c r="F216" s="3"/>
      <c r="G216" s="3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2"/>
      <c r="Y216" s="2"/>
      <c r="Z216" s="2"/>
      <c r="AA216" s="2"/>
      <c r="AB216" s="2"/>
    </row>
    <row r="217" ht="12.75" customHeight="1">
      <c r="A217" s="2"/>
      <c r="B217" s="2"/>
      <c r="C217" s="2"/>
      <c r="D217" s="3"/>
      <c r="E217" s="3"/>
      <c r="F217" s="3"/>
      <c r="G217" s="3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"/>
      <c r="Y217" s="2"/>
      <c r="Z217" s="2"/>
      <c r="AA217" s="2"/>
      <c r="AB217" s="2"/>
    </row>
    <row r="218" ht="12.75" customHeight="1">
      <c r="A218" s="2"/>
      <c r="B218" s="2"/>
      <c r="C218" s="2"/>
      <c r="D218" s="3"/>
      <c r="E218" s="3"/>
      <c r="F218" s="3"/>
      <c r="G218" s="3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2"/>
      <c r="Y218" s="2"/>
      <c r="Z218" s="2"/>
      <c r="AA218" s="2"/>
      <c r="AB218" s="2"/>
    </row>
    <row r="219" ht="12.75" customHeight="1">
      <c r="A219" s="2"/>
      <c r="B219" s="2"/>
      <c r="C219" s="2"/>
      <c r="D219" s="3"/>
      <c r="E219" s="3"/>
      <c r="F219" s="3"/>
      <c r="G219" s="3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2"/>
      <c r="Y219" s="2"/>
      <c r="Z219" s="2"/>
      <c r="AA219" s="2"/>
      <c r="AB219" s="2"/>
    </row>
    <row r="220" ht="12.75" customHeight="1">
      <c r="A220" s="2"/>
      <c r="B220" s="2"/>
      <c r="C220" s="2"/>
      <c r="D220" s="3"/>
      <c r="E220" s="3"/>
      <c r="F220" s="3"/>
      <c r="G220" s="3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2"/>
      <c r="Y220" s="2"/>
      <c r="Z220" s="2"/>
      <c r="AA220" s="2"/>
      <c r="AB220" s="2"/>
    </row>
    <row r="221" ht="12.75" customHeight="1">
      <c r="A221" s="2"/>
      <c r="B221" s="2"/>
      <c r="C221" s="2"/>
      <c r="D221" s="3"/>
      <c r="E221" s="3"/>
      <c r="F221" s="3"/>
      <c r="G221" s="3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2"/>
      <c r="Y221" s="2"/>
      <c r="Z221" s="2"/>
      <c r="AA221" s="2"/>
      <c r="AB221" s="2"/>
    </row>
    <row r="222" ht="12.75" customHeight="1">
      <c r="A222" s="2"/>
      <c r="B222" s="2"/>
      <c r="C222" s="2"/>
      <c r="D222" s="3"/>
      <c r="E222" s="3"/>
      <c r="F222" s="3"/>
      <c r="G222" s="3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2"/>
      <c r="Y222" s="2"/>
      <c r="Z222" s="2"/>
      <c r="AA222" s="2"/>
      <c r="AB222" s="2"/>
    </row>
    <row r="223" ht="12.75" customHeight="1">
      <c r="A223" s="2"/>
      <c r="B223" s="2"/>
      <c r="C223" s="2"/>
      <c r="D223" s="3"/>
      <c r="E223" s="3"/>
      <c r="F223" s="3"/>
      <c r="G223" s="3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2"/>
      <c r="Y223" s="2"/>
      <c r="Z223" s="2"/>
      <c r="AA223" s="2"/>
      <c r="AB223" s="2"/>
    </row>
    <row r="224" ht="12.75" customHeight="1">
      <c r="A224" s="2"/>
      <c r="B224" s="2"/>
      <c r="C224" s="2"/>
      <c r="D224" s="3"/>
      <c r="E224" s="3"/>
      <c r="F224" s="3"/>
      <c r="G224" s="3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2"/>
      <c r="Y224" s="2"/>
      <c r="Z224" s="2"/>
      <c r="AA224" s="2"/>
      <c r="AB224" s="2"/>
    </row>
    <row r="225" ht="12.75" customHeight="1">
      <c r="A225" s="2"/>
      <c r="B225" s="2"/>
      <c r="C225" s="2"/>
      <c r="D225" s="3"/>
      <c r="E225" s="3"/>
      <c r="F225" s="3"/>
      <c r="G225" s="3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2"/>
      <c r="Y225" s="2"/>
      <c r="Z225" s="2"/>
      <c r="AA225" s="2"/>
      <c r="AB225" s="2"/>
    </row>
    <row r="226" ht="12.75" customHeight="1">
      <c r="A226" s="2"/>
      <c r="B226" s="2"/>
      <c r="C226" s="2"/>
      <c r="D226" s="3"/>
      <c r="E226" s="3"/>
      <c r="F226" s="3"/>
      <c r="G226" s="3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2"/>
      <c r="Y226" s="2"/>
      <c r="Z226" s="2"/>
      <c r="AA226" s="2"/>
      <c r="AB226" s="2"/>
    </row>
    <row r="227" ht="12.75" customHeight="1">
      <c r="A227" s="2"/>
      <c r="B227" s="2"/>
      <c r="C227" s="2"/>
      <c r="D227" s="3"/>
      <c r="E227" s="3"/>
      <c r="F227" s="3"/>
      <c r="G227" s="3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2"/>
      <c r="Y227" s="2"/>
      <c r="Z227" s="2"/>
      <c r="AA227" s="2"/>
      <c r="AB227" s="2"/>
    </row>
    <row r="228" ht="12.75" customHeight="1">
      <c r="A228" s="2"/>
      <c r="B228" s="2"/>
      <c r="C228" s="2"/>
      <c r="D228" s="3"/>
      <c r="E228" s="3"/>
      <c r="F228" s="3"/>
      <c r="G228" s="3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2"/>
      <c r="Y228" s="2"/>
      <c r="Z228" s="2"/>
      <c r="AA228" s="2"/>
      <c r="AB228" s="2"/>
    </row>
    <row r="229" ht="12.75" customHeight="1">
      <c r="A229" s="2"/>
      <c r="B229" s="2"/>
      <c r="C229" s="2"/>
      <c r="D229" s="3"/>
      <c r="E229" s="3"/>
      <c r="F229" s="3"/>
      <c r="G229" s="3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2"/>
      <c r="Y229" s="2"/>
      <c r="Z229" s="2"/>
      <c r="AA229" s="2"/>
      <c r="AB229" s="2"/>
    </row>
    <row r="230" ht="12.75" customHeight="1">
      <c r="A230" s="2"/>
      <c r="B230" s="2"/>
      <c r="C230" s="2"/>
      <c r="D230" s="3"/>
      <c r="E230" s="3"/>
      <c r="F230" s="3"/>
      <c r="G230" s="3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2"/>
      <c r="Y230" s="2"/>
      <c r="Z230" s="2"/>
      <c r="AA230" s="2"/>
      <c r="AB230" s="2"/>
    </row>
    <row r="231" ht="12.75" customHeight="1">
      <c r="A231" s="2"/>
      <c r="B231" s="2"/>
      <c r="C231" s="2"/>
      <c r="D231" s="3"/>
      <c r="E231" s="3"/>
      <c r="F231" s="3"/>
      <c r="G231" s="3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2"/>
      <c r="Y231" s="2"/>
      <c r="Z231" s="2"/>
      <c r="AA231" s="2"/>
      <c r="AB231" s="2"/>
    </row>
    <row r="232" ht="12.75" customHeight="1">
      <c r="A232" s="2"/>
      <c r="B232" s="2"/>
      <c r="C232" s="2"/>
      <c r="D232" s="3"/>
      <c r="E232" s="3"/>
      <c r="F232" s="3"/>
      <c r="G232" s="3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2"/>
      <c r="Y232" s="2"/>
      <c r="Z232" s="2"/>
      <c r="AA232" s="2"/>
      <c r="AB232" s="2"/>
    </row>
    <row r="233" ht="12.75" customHeight="1">
      <c r="A233" s="2"/>
      <c r="B233" s="2"/>
      <c r="C233" s="2"/>
      <c r="D233" s="3"/>
      <c r="E233" s="3"/>
      <c r="F233" s="3"/>
      <c r="G233" s="3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2"/>
      <c r="Y233" s="2"/>
      <c r="Z233" s="2"/>
      <c r="AA233" s="2"/>
      <c r="AB233" s="2"/>
    </row>
    <row r="234" ht="12.75" customHeight="1">
      <c r="A234" s="2"/>
      <c r="B234" s="2"/>
      <c r="C234" s="2"/>
      <c r="D234" s="3"/>
      <c r="E234" s="3"/>
      <c r="F234" s="3"/>
      <c r="G234" s="3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2"/>
      <c r="Y234" s="2"/>
      <c r="Z234" s="2"/>
      <c r="AA234" s="2"/>
      <c r="AB234" s="2"/>
    </row>
    <row r="235" ht="12.75" customHeight="1">
      <c r="A235" s="2"/>
      <c r="B235" s="2"/>
      <c r="C235" s="2"/>
      <c r="D235" s="3"/>
      <c r="E235" s="3"/>
      <c r="F235" s="3"/>
      <c r="G235" s="3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2"/>
      <c r="Y235" s="2"/>
      <c r="Z235" s="2"/>
      <c r="AA235" s="2"/>
      <c r="AB235" s="2"/>
    </row>
    <row r="236" ht="12.75" customHeight="1">
      <c r="A236" s="2"/>
      <c r="B236" s="2"/>
      <c r="C236" s="2"/>
      <c r="D236" s="3"/>
      <c r="E236" s="3"/>
      <c r="F236" s="3"/>
      <c r="G236" s="3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2"/>
      <c r="Y236" s="2"/>
      <c r="Z236" s="2"/>
      <c r="AA236" s="2"/>
      <c r="AB236" s="2"/>
    </row>
    <row r="237" ht="12.75" customHeight="1">
      <c r="A237" s="2"/>
      <c r="B237" s="2"/>
      <c r="C237" s="2"/>
      <c r="D237" s="3"/>
      <c r="E237" s="3"/>
      <c r="F237" s="3"/>
      <c r="G237" s="3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2"/>
      <c r="Y237" s="2"/>
      <c r="Z237" s="2"/>
      <c r="AA237" s="2"/>
      <c r="AB237" s="2"/>
    </row>
    <row r="238" ht="12.75" customHeight="1">
      <c r="A238" s="2"/>
      <c r="B238" s="2"/>
      <c r="C238" s="2"/>
      <c r="D238" s="3"/>
      <c r="E238" s="3"/>
      <c r="F238" s="3"/>
      <c r="G238" s="3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2"/>
      <c r="Y238" s="2"/>
      <c r="Z238" s="2"/>
      <c r="AA238" s="2"/>
      <c r="AB238" s="2"/>
    </row>
    <row r="239" ht="12.75" customHeight="1">
      <c r="A239" s="2"/>
      <c r="B239" s="2"/>
      <c r="C239" s="2"/>
      <c r="D239" s="3"/>
      <c r="E239" s="3"/>
      <c r="F239" s="3"/>
      <c r="G239" s="3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2"/>
      <c r="Y239" s="2"/>
      <c r="Z239" s="2"/>
      <c r="AA239" s="2"/>
      <c r="AB239" s="2"/>
    </row>
    <row r="240" ht="12.75" customHeight="1">
      <c r="A240" s="2"/>
      <c r="B240" s="2"/>
      <c r="C240" s="2"/>
      <c r="D240" s="3"/>
      <c r="E240" s="3"/>
      <c r="F240" s="3"/>
      <c r="G240" s="3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2"/>
      <c r="Y240" s="2"/>
      <c r="Z240" s="2"/>
      <c r="AA240" s="2"/>
      <c r="AB240" s="2"/>
    </row>
    <row r="241" ht="12.75" customHeight="1">
      <c r="A241" s="2"/>
      <c r="B241" s="2"/>
      <c r="C241" s="2"/>
      <c r="D241" s="3"/>
      <c r="E241" s="3"/>
      <c r="F241" s="3"/>
      <c r="G241" s="3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2"/>
      <c r="Y241" s="2"/>
      <c r="Z241" s="2"/>
      <c r="AA241" s="2"/>
      <c r="AB241" s="2"/>
    </row>
    <row r="242" ht="12.75" customHeight="1">
      <c r="A242" s="2"/>
      <c r="B242" s="2"/>
      <c r="C242" s="2"/>
      <c r="D242" s="3"/>
      <c r="E242" s="3"/>
      <c r="F242" s="3"/>
      <c r="G242" s="3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2"/>
      <c r="Y242" s="2"/>
      <c r="Z242" s="2"/>
      <c r="AA242" s="2"/>
      <c r="AB242" s="2"/>
    </row>
    <row r="243" ht="12.75" customHeight="1">
      <c r="A243" s="2"/>
      <c r="B243" s="2"/>
      <c r="C243" s="2"/>
      <c r="D243" s="3"/>
      <c r="E243" s="3"/>
      <c r="F243" s="3"/>
      <c r="G243" s="3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2"/>
      <c r="Y243" s="2"/>
      <c r="Z243" s="2"/>
      <c r="AA243" s="2"/>
      <c r="AB243" s="2"/>
    </row>
    <row r="244" ht="12.75" customHeight="1">
      <c r="A244" s="2"/>
      <c r="B244" s="2"/>
      <c r="C244" s="2"/>
      <c r="D244" s="3"/>
      <c r="E244" s="3"/>
      <c r="F244" s="3"/>
      <c r="G244" s="3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2"/>
      <c r="Y244" s="2"/>
      <c r="Z244" s="2"/>
      <c r="AA244" s="2"/>
      <c r="AB244" s="2"/>
    </row>
    <row r="245" ht="12.75" customHeight="1">
      <c r="A245" s="2"/>
      <c r="B245" s="2"/>
      <c r="C245" s="2"/>
      <c r="D245" s="3"/>
      <c r="E245" s="3"/>
      <c r="F245" s="3"/>
      <c r="G245" s="3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2"/>
      <c r="Y245" s="2"/>
      <c r="Z245" s="2"/>
      <c r="AA245" s="2"/>
      <c r="AB245" s="2"/>
    </row>
    <row r="246" ht="12.75" customHeight="1">
      <c r="A246" s="2"/>
      <c r="B246" s="2"/>
      <c r="C246" s="2"/>
      <c r="D246" s="3"/>
      <c r="E246" s="3"/>
      <c r="F246" s="3"/>
      <c r="G246" s="3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2"/>
      <c r="Y246" s="2"/>
      <c r="Z246" s="2"/>
      <c r="AA246" s="2"/>
      <c r="AB246" s="2"/>
    </row>
    <row r="247" ht="12.75" customHeight="1">
      <c r="A247" s="2"/>
      <c r="B247" s="2"/>
      <c r="C247" s="2"/>
      <c r="D247" s="3"/>
      <c r="E247" s="3"/>
      <c r="F247" s="3"/>
      <c r="G247" s="3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2"/>
      <c r="Y247" s="2"/>
      <c r="Z247" s="2"/>
      <c r="AA247" s="2"/>
      <c r="AB247" s="2"/>
    </row>
    <row r="248" ht="12.75" customHeight="1">
      <c r="A248" s="2"/>
      <c r="B248" s="2"/>
      <c r="C248" s="2"/>
      <c r="D248" s="3"/>
      <c r="E248" s="3"/>
      <c r="F248" s="3"/>
      <c r="G248" s="3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2"/>
      <c r="Y248" s="2"/>
      <c r="Z248" s="2"/>
      <c r="AA248" s="2"/>
      <c r="AB248" s="2"/>
    </row>
    <row r="249" ht="12.75" customHeight="1">
      <c r="A249" s="2"/>
      <c r="B249" s="2"/>
      <c r="C249" s="2"/>
      <c r="D249" s="3"/>
      <c r="E249" s="3"/>
      <c r="F249" s="3"/>
      <c r="G249" s="3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2"/>
      <c r="Y249" s="2"/>
      <c r="Z249" s="2"/>
      <c r="AA249" s="2"/>
      <c r="AB249" s="2"/>
    </row>
    <row r="250" ht="12.75" customHeight="1">
      <c r="A250" s="2"/>
      <c r="B250" s="2"/>
      <c r="C250" s="2"/>
      <c r="D250" s="3"/>
      <c r="E250" s="3"/>
      <c r="F250" s="3"/>
      <c r="G250" s="3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2"/>
      <c r="Y250" s="2"/>
      <c r="Z250" s="2"/>
      <c r="AA250" s="2"/>
      <c r="AB250" s="2"/>
    </row>
    <row r="251" ht="12.75" customHeight="1">
      <c r="A251" s="2"/>
      <c r="B251" s="2"/>
      <c r="C251" s="2"/>
      <c r="D251" s="3"/>
      <c r="E251" s="3"/>
      <c r="F251" s="3"/>
      <c r="G251" s="3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2"/>
      <c r="Y251" s="2"/>
      <c r="Z251" s="2"/>
      <c r="AA251" s="2"/>
      <c r="AB251" s="2"/>
    </row>
    <row r="252" ht="12.75" customHeight="1">
      <c r="A252" s="2"/>
      <c r="B252" s="2"/>
      <c r="C252" s="2"/>
      <c r="D252" s="3"/>
      <c r="E252" s="3"/>
      <c r="F252" s="3"/>
      <c r="G252" s="3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2"/>
      <c r="Y252" s="2"/>
      <c r="Z252" s="2"/>
      <c r="AA252" s="2"/>
      <c r="AB252" s="2"/>
    </row>
    <row r="253" ht="12.75" customHeight="1">
      <c r="A253" s="2"/>
      <c r="B253" s="2"/>
      <c r="C253" s="2"/>
      <c r="D253" s="3"/>
      <c r="E253" s="3"/>
      <c r="F253" s="3"/>
      <c r="G253" s="3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2"/>
      <c r="Y253" s="2"/>
      <c r="Z253" s="2"/>
      <c r="AA253" s="2"/>
      <c r="AB253" s="2"/>
    </row>
    <row r="254" ht="12.75" customHeight="1">
      <c r="A254" s="2"/>
      <c r="B254" s="2"/>
      <c r="C254" s="2"/>
      <c r="D254" s="3"/>
      <c r="E254" s="3"/>
      <c r="F254" s="3"/>
      <c r="G254" s="3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2"/>
      <c r="Y254" s="2"/>
      <c r="Z254" s="2"/>
      <c r="AA254" s="2"/>
      <c r="AB254" s="2"/>
    </row>
    <row r="255" ht="12.75" customHeight="1">
      <c r="A255" s="2"/>
      <c r="B255" s="2"/>
      <c r="C255" s="2"/>
      <c r="D255" s="3"/>
      <c r="E255" s="3"/>
      <c r="F255" s="3"/>
      <c r="G255" s="3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2"/>
      <c r="Y255" s="2"/>
      <c r="Z255" s="2"/>
      <c r="AA255" s="2"/>
      <c r="AB255" s="2"/>
    </row>
    <row r="256" ht="12.75" customHeight="1">
      <c r="A256" s="2"/>
      <c r="B256" s="2"/>
      <c r="C256" s="2"/>
      <c r="D256" s="3"/>
      <c r="E256" s="3"/>
      <c r="F256" s="3"/>
      <c r="G256" s="3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2"/>
      <c r="Y256" s="2"/>
      <c r="Z256" s="2"/>
      <c r="AA256" s="2"/>
      <c r="AB256" s="2"/>
    </row>
    <row r="257" ht="12.75" customHeight="1">
      <c r="A257" s="2"/>
      <c r="B257" s="2"/>
      <c r="C257" s="2"/>
      <c r="D257" s="3"/>
      <c r="E257" s="3"/>
      <c r="F257" s="3"/>
      <c r="G257" s="3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2"/>
      <c r="Y257" s="2"/>
      <c r="Z257" s="2"/>
      <c r="AA257" s="2"/>
      <c r="AB257" s="2"/>
    </row>
    <row r="258" ht="12.75" customHeight="1">
      <c r="A258" s="2"/>
      <c r="B258" s="2"/>
      <c r="C258" s="2"/>
      <c r="D258" s="3"/>
      <c r="E258" s="3"/>
      <c r="F258" s="3"/>
      <c r="G258" s="3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2"/>
      <c r="Y258" s="2"/>
      <c r="Z258" s="2"/>
      <c r="AA258" s="2"/>
      <c r="AB258" s="2"/>
    </row>
    <row r="259" ht="12.75" customHeight="1">
      <c r="A259" s="2"/>
      <c r="B259" s="2"/>
      <c r="C259" s="2"/>
      <c r="D259" s="3"/>
      <c r="E259" s="3"/>
      <c r="F259" s="3"/>
      <c r="G259" s="3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2"/>
      <c r="Y259" s="2"/>
      <c r="Z259" s="2"/>
      <c r="AA259" s="2"/>
      <c r="AB259" s="2"/>
    </row>
    <row r="260" ht="12.75" customHeight="1">
      <c r="A260" s="2"/>
      <c r="B260" s="2"/>
      <c r="C260" s="2"/>
      <c r="D260" s="3"/>
      <c r="E260" s="3"/>
      <c r="F260" s="3"/>
      <c r="G260" s="3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2"/>
      <c r="Y260" s="2"/>
      <c r="Z260" s="2"/>
      <c r="AA260" s="2"/>
      <c r="AB260" s="2"/>
    </row>
    <row r="261" ht="12.75" customHeight="1">
      <c r="A261" s="2"/>
      <c r="B261" s="2"/>
      <c r="C261" s="2"/>
      <c r="D261" s="3"/>
      <c r="E261" s="3"/>
      <c r="F261" s="3"/>
      <c r="G261" s="3"/>
      <c r="H261" s="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2"/>
      <c r="Y261" s="2"/>
      <c r="Z261" s="2"/>
      <c r="AA261" s="2"/>
      <c r="AB261" s="2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3" width="16.0"/>
    <col customWidth="1" min="4" max="4" width="40.14"/>
    <col customWidth="1" min="5" max="5" width="10.86"/>
    <col customWidth="1" min="6" max="6" width="8.71"/>
    <col customWidth="1" min="7" max="7" width="4.43"/>
    <col customWidth="1" min="8" max="8" width="8.71"/>
    <col customWidth="1" min="9" max="9" width="0.43"/>
    <col customWidth="1" min="10" max="10" width="8.0"/>
    <col customWidth="1" min="11" max="21" width="7.86"/>
    <col customWidth="1" min="22" max="22" width="8.71"/>
    <col customWidth="1" min="23" max="23" width="9.57"/>
    <col customWidth="1" min="24" max="24" width="10.0"/>
    <col customWidth="1" min="25" max="26" width="9.0"/>
    <col customWidth="1" min="27" max="27" width="26.29"/>
    <col customWidth="1" min="28" max="30" width="9.0"/>
  </cols>
  <sheetData>
    <row r="1" ht="12.75" customHeight="1">
      <c r="A1" s="1" t="s">
        <v>0</v>
      </c>
      <c r="B1" s="2"/>
      <c r="C1" s="65"/>
      <c r="D1" s="2"/>
      <c r="E1" s="3"/>
      <c r="F1" s="3"/>
      <c r="G1" s="3"/>
      <c r="H1" s="3"/>
      <c r="I1" s="4"/>
      <c r="J1" s="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2"/>
      <c r="Z1" s="2"/>
      <c r="AA1" s="6"/>
      <c r="AB1" s="2"/>
      <c r="AC1" s="6"/>
      <c r="AD1" s="2"/>
    </row>
    <row r="2" ht="12.75" customHeight="1">
      <c r="A2" s="1"/>
      <c r="B2" s="2"/>
      <c r="C2" s="65"/>
      <c r="D2" s="2"/>
      <c r="E2" s="3"/>
      <c r="F2" s="3"/>
      <c r="G2" s="3"/>
      <c r="H2" s="3"/>
      <c r="I2" s="4"/>
      <c r="J2" s="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2"/>
      <c r="Z2" s="2"/>
      <c r="AA2" s="6"/>
      <c r="AB2" s="2"/>
      <c r="AC2" s="6"/>
      <c r="AD2" s="2"/>
    </row>
    <row r="3" ht="12.75" customHeight="1">
      <c r="A3" s="7" t="s">
        <v>53</v>
      </c>
      <c r="B3" s="2"/>
      <c r="C3" s="65"/>
      <c r="D3" s="2"/>
      <c r="E3" s="3"/>
      <c r="F3" s="3"/>
      <c r="G3" s="3"/>
      <c r="H3" s="3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2"/>
      <c r="Z3" s="2"/>
      <c r="AA3" s="6"/>
      <c r="AB3" s="2"/>
      <c r="AC3" s="6"/>
      <c r="AD3" s="2"/>
    </row>
    <row r="4" ht="12.75" customHeight="1">
      <c r="A4" s="29" t="s">
        <v>2</v>
      </c>
      <c r="B4" s="29" t="s">
        <v>3</v>
      </c>
      <c r="C4" s="66" t="s">
        <v>78</v>
      </c>
      <c r="D4" s="29" t="s">
        <v>4</v>
      </c>
      <c r="E4" s="30" t="s">
        <v>5</v>
      </c>
      <c r="F4" s="30" t="s">
        <v>6</v>
      </c>
      <c r="G4" s="30" t="s">
        <v>20</v>
      </c>
      <c r="H4" s="30" t="s">
        <v>8</v>
      </c>
      <c r="I4" s="31" t="s">
        <v>9</v>
      </c>
      <c r="J4" s="11">
        <v>45747.0</v>
      </c>
      <c r="K4" s="11">
        <v>45777.0</v>
      </c>
      <c r="L4" s="11">
        <v>45808.0</v>
      </c>
      <c r="M4" s="11">
        <v>45838.0</v>
      </c>
      <c r="N4" s="11">
        <v>45869.0</v>
      </c>
      <c r="O4" s="11">
        <v>45900.0</v>
      </c>
      <c r="P4" s="11">
        <v>45930.0</v>
      </c>
      <c r="Q4" s="11">
        <v>45961.0</v>
      </c>
      <c r="R4" s="11">
        <v>45991.0</v>
      </c>
      <c r="S4" s="11">
        <v>46022.0</v>
      </c>
      <c r="T4" s="11">
        <v>46053.0</v>
      </c>
      <c r="U4" s="11">
        <v>46081.0</v>
      </c>
      <c r="V4" s="26" t="s">
        <v>10</v>
      </c>
      <c r="W4" s="11" t="s">
        <v>11</v>
      </c>
      <c r="X4" s="11" t="s">
        <v>61</v>
      </c>
      <c r="Y4" s="2"/>
      <c r="Z4" s="2"/>
      <c r="AA4" s="6"/>
      <c r="AB4" s="2"/>
      <c r="AC4" s="6"/>
      <c r="AD4" s="2"/>
    </row>
    <row r="5" ht="12.75" customHeight="1">
      <c r="A5" s="12"/>
      <c r="B5" s="12"/>
      <c r="C5" s="67"/>
      <c r="D5" s="2"/>
      <c r="E5" s="3"/>
      <c r="F5" s="3"/>
      <c r="G5" s="3"/>
      <c r="H5" s="3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2"/>
      <c r="Z5" s="2"/>
      <c r="AA5" s="6"/>
      <c r="AB5" s="2"/>
      <c r="AC5" s="6"/>
      <c r="AD5" s="2"/>
    </row>
    <row r="6" ht="12.75" customHeight="1">
      <c r="A6" s="13" t="s">
        <v>13</v>
      </c>
      <c r="B6" s="2"/>
      <c r="C6" s="65"/>
      <c r="D6" s="2"/>
      <c r="E6" s="3"/>
      <c r="F6" s="14"/>
      <c r="G6" s="3"/>
      <c r="H6" s="3"/>
      <c r="I6" s="4"/>
      <c r="J6" s="13" t="str">
        <f>+A6</f>
        <v>6100&gt;020 (Computer Equipment&gt;Cost)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2"/>
      <c r="Z6" s="2"/>
      <c r="AA6" s="6"/>
      <c r="AB6" s="2"/>
      <c r="AC6" s="6"/>
      <c r="AD6" s="2"/>
    </row>
    <row r="7" ht="12.75" customHeight="1">
      <c r="A7" s="8"/>
      <c r="B7" s="2"/>
      <c r="C7" s="65"/>
      <c r="D7" s="2"/>
      <c r="E7" s="3"/>
      <c r="F7" s="14"/>
      <c r="G7" s="3"/>
      <c r="H7" s="3"/>
      <c r="I7" s="4">
        <v>3.0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2"/>
      <c r="Z7" s="2"/>
      <c r="AA7" s="6"/>
      <c r="AB7" s="2"/>
      <c r="AC7" s="6"/>
      <c r="AD7" s="2"/>
    </row>
    <row r="8" ht="12.75" customHeight="1">
      <c r="A8" s="15">
        <v>42825.0</v>
      </c>
      <c r="B8" s="16">
        <v>18431.0</v>
      </c>
      <c r="C8" s="68" t="s">
        <v>79</v>
      </c>
      <c r="D8" s="7" t="s">
        <v>80</v>
      </c>
      <c r="E8" s="17">
        <v>8038.8</v>
      </c>
      <c r="F8" s="17"/>
      <c r="G8" s="3"/>
      <c r="H8" s="3">
        <f t="shared" ref="H8:H18" si="1">+E8+F8-G8</f>
        <v>8038.8</v>
      </c>
      <c r="I8" s="4"/>
      <c r="J8" s="28">
        <v>0.0</v>
      </c>
      <c r="K8" s="28">
        <v>0.0</v>
      </c>
      <c r="L8" s="28">
        <v>0.0</v>
      </c>
      <c r="M8" s="28"/>
      <c r="N8" s="28"/>
      <c r="O8" s="28"/>
      <c r="P8" s="28"/>
      <c r="Q8" s="28"/>
      <c r="R8" s="28"/>
      <c r="S8" s="28"/>
      <c r="T8" s="28"/>
      <c r="U8" s="28"/>
      <c r="V8" s="28">
        <f>SUM(J8:U8)</f>
        <v>0</v>
      </c>
      <c r="W8" s="3">
        <v>8038.8</v>
      </c>
      <c r="X8" s="3">
        <f t="shared" ref="X8:X21" si="2">+H8-W8</f>
        <v>0</v>
      </c>
      <c r="Y8" s="2"/>
      <c r="Z8" s="2"/>
      <c r="AA8" s="6"/>
      <c r="AB8" s="2"/>
      <c r="AC8" s="6"/>
      <c r="AD8" s="2"/>
    </row>
    <row r="9" ht="12.75" customHeight="1">
      <c r="A9" s="15">
        <v>42825.0</v>
      </c>
      <c r="B9" s="16">
        <v>18431.0</v>
      </c>
      <c r="C9" s="68" t="s">
        <v>81</v>
      </c>
      <c r="D9" s="7" t="s">
        <v>80</v>
      </c>
      <c r="E9" s="17">
        <v>8038.8</v>
      </c>
      <c r="F9" s="17"/>
      <c r="G9" s="3"/>
      <c r="H9" s="3">
        <f t="shared" si="1"/>
        <v>8038.8</v>
      </c>
      <c r="I9" s="4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3">
        <v>8038.8</v>
      </c>
      <c r="X9" s="3">
        <f t="shared" si="2"/>
        <v>0</v>
      </c>
      <c r="Y9" s="2"/>
      <c r="Z9" s="2"/>
      <c r="AA9" s="6"/>
      <c r="AB9" s="2"/>
      <c r="AC9" s="6"/>
      <c r="AD9" s="2"/>
    </row>
    <row r="10" ht="12.75" customHeight="1">
      <c r="A10" s="15">
        <v>42825.0</v>
      </c>
      <c r="B10" s="16">
        <v>18431.0</v>
      </c>
      <c r="C10" s="68" t="s">
        <v>82</v>
      </c>
      <c r="D10" s="7" t="s">
        <v>15</v>
      </c>
      <c r="E10" s="17">
        <f>'FAR21'!G9</f>
        <v>10078.8</v>
      </c>
      <c r="F10" s="17"/>
      <c r="G10" s="3"/>
      <c r="H10" s="3">
        <f t="shared" si="1"/>
        <v>10078.8</v>
      </c>
      <c r="I10" s="4"/>
      <c r="J10" s="28">
        <v>0.0</v>
      </c>
      <c r="K10" s="28">
        <v>0.0</v>
      </c>
      <c r="L10" s="28">
        <v>0.0</v>
      </c>
      <c r="M10" s="28"/>
      <c r="N10" s="28"/>
      <c r="O10" s="28"/>
      <c r="P10" s="28"/>
      <c r="Q10" s="28"/>
      <c r="R10" s="28"/>
      <c r="S10" s="28"/>
      <c r="T10" s="28"/>
      <c r="U10" s="28"/>
      <c r="V10" s="28">
        <f t="shared" ref="V10:V12" si="3">SUM(J10:U10)</f>
        <v>0</v>
      </c>
      <c r="W10" s="3">
        <f>'FAR25'!V9+V10</f>
        <v>10078.8</v>
      </c>
      <c r="X10" s="3">
        <f t="shared" si="2"/>
        <v>0</v>
      </c>
      <c r="Y10" s="2"/>
      <c r="Z10" s="2"/>
      <c r="AA10" s="6"/>
      <c r="AB10" s="2"/>
      <c r="AC10" s="6"/>
      <c r="AD10" s="2"/>
    </row>
    <row r="11" ht="12.75" customHeight="1">
      <c r="A11" s="15">
        <v>43046.0</v>
      </c>
      <c r="B11" s="16" t="s">
        <v>16</v>
      </c>
      <c r="C11" s="68" t="s">
        <v>83</v>
      </c>
      <c r="D11" s="7" t="s">
        <v>17</v>
      </c>
      <c r="E11" s="17">
        <f>'FAR21'!G10</f>
        <v>52651</v>
      </c>
      <c r="F11" s="17"/>
      <c r="G11" s="3"/>
      <c r="H11" s="3">
        <f t="shared" si="1"/>
        <v>52651</v>
      </c>
      <c r="I11" s="4"/>
      <c r="J11" s="28">
        <v>0.0</v>
      </c>
      <c r="K11" s="28">
        <v>0.0</v>
      </c>
      <c r="L11" s="28">
        <v>0.0</v>
      </c>
      <c r="M11" s="28"/>
      <c r="N11" s="28"/>
      <c r="O11" s="28"/>
      <c r="P11" s="28"/>
      <c r="Q11" s="28"/>
      <c r="R11" s="28"/>
      <c r="S11" s="28"/>
      <c r="T11" s="28"/>
      <c r="U11" s="28"/>
      <c r="V11" s="28">
        <f t="shared" si="3"/>
        <v>0</v>
      </c>
      <c r="W11" s="3">
        <f>'FAR25'!V10+V11</f>
        <v>52651.00364</v>
      </c>
      <c r="X11" s="3">
        <f t="shared" si="2"/>
        <v>-0.003637747337</v>
      </c>
      <c r="Y11" s="2"/>
      <c r="Z11" s="2"/>
      <c r="AA11" s="6"/>
      <c r="AB11" s="2"/>
      <c r="AC11" s="6"/>
      <c r="AD11" s="2"/>
    </row>
    <row r="12" ht="12.75" customHeight="1">
      <c r="A12" s="15">
        <v>43160.0</v>
      </c>
      <c r="B12" s="16">
        <v>21643.0</v>
      </c>
      <c r="C12" s="68" t="s">
        <v>84</v>
      </c>
      <c r="D12" s="7" t="s">
        <v>85</v>
      </c>
      <c r="E12" s="17">
        <v>15387.11666666667</v>
      </c>
      <c r="F12" s="17"/>
      <c r="G12" s="3"/>
      <c r="H12" s="3">
        <f t="shared" si="1"/>
        <v>15387.11667</v>
      </c>
      <c r="I12" s="4"/>
      <c r="J12" s="28">
        <v>0.0</v>
      </c>
      <c r="K12" s="28">
        <v>0.0</v>
      </c>
      <c r="L12" s="28">
        <v>0.0</v>
      </c>
      <c r="M12" s="28"/>
      <c r="N12" s="28"/>
      <c r="O12" s="28"/>
      <c r="P12" s="28"/>
      <c r="Q12" s="28"/>
      <c r="R12" s="28"/>
      <c r="S12" s="28"/>
      <c r="T12" s="28"/>
      <c r="U12" s="28"/>
      <c r="V12" s="28">
        <f t="shared" si="3"/>
        <v>0</v>
      </c>
      <c r="W12" s="3">
        <v>15387.11666666667</v>
      </c>
      <c r="X12" s="3">
        <f t="shared" si="2"/>
        <v>0</v>
      </c>
      <c r="Y12" s="2"/>
      <c r="Z12" s="28"/>
      <c r="AA12" s="6"/>
      <c r="AB12" s="2"/>
      <c r="AC12" s="6"/>
      <c r="AD12" s="2"/>
    </row>
    <row r="13" ht="12.75" customHeight="1">
      <c r="A13" s="15">
        <v>43160.0</v>
      </c>
      <c r="B13" s="16">
        <v>21643.0</v>
      </c>
      <c r="C13" s="68" t="s">
        <v>86</v>
      </c>
      <c r="D13" s="7" t="s">
        <v>85</v>
      </c>
      <c r="E13" s="17">
        <v>15387.11666666667</v>
      </c>
      <c r="F13" s="17"/>
      <c r="G13" s="3"/>
      <c r="H13" s="3">
        <f t="shared" si="1"/>
        <v>15387.11667</v>
      </c>
      <c r="I13" s="4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3">
        <v>15387.11666666667</v>
      </c>
      <c r="X13" s="3">
        <f t="shared" si="2"/>
        <v>0</v>
      </c>
      <c r="Y13" s="2"/>
      <c r="Z13" s="28"/>
      <c r="AA13" s="6"/>
      <c r="AB13" s="2"/>
      <c r="AC13" s="6"/>
      <c r="AD13" s="2"/>
    </row>
    <row r="14" ht="12.75" customHeight="1">
      <c r="A14" s="15">
        <v>43160.0</v>
      </c>
      <c r="B14" s="16">
        <v>21643.0</v>
      </c>
      <c r="C14" s="68" t="s">
        <v>87</v>
      </c>
      <c r="D14" s="7" t="s">
        <v>85</v>
      </c>
      <c r="E14" s="17">
        <v>15387.11666666667</v>
      </c>
      <c r="F14" s="17"/>
      <c r="G14" s="3"/>
      <c r="H14" s="3">
        <f t="shared" si="1"/>
        <v>15387.11667</v>
      </c>
      <c r="I14" s="4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3">
        <v>15387.1166666667</v>
      </c>
      <c r="X14" s="3">
        <f t="shared" si="2"/>
        <v>0</v>
      </c>
      <c r="Y14" s="2"/>
      <c r="Z14" s="28"/>
      <c r="AA14" s="28"/>
      <c r="AB14" s="2"/>
      <c r="AC14" s="6"/>
      <c r="AD14" s="2"/>
    </row>
    <row r="15" ht="12.75" customHeight="1">
      <c r="A15" s="15">
        <v>43160.0</v>
      </c>
      <c r="B15" s="16">
        <v>21643.0</v>
      </c>
      <c r="C15" s="68" t="s">
        <v>88</v>
      </c>
      <c r="D15" s="7" t="s">
        <v>85</v>
      </c>
      <c r="E15" s="17">
        <v>15387.11666666667</v>
      </c>
      <c r="F15" s="17"/>
      <c r="G15" s="3"/>
      <c r="H15" s="3">
        <f t="shared" si="1"/>
        <v>15387.11667</v>
      </c>
      <c r="I15" s="4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3">
        <v>15387.11666666667</v>
      </c>
      <c r="X15" s="3">
        <f t="shared" si="2"/>
        <v>0</v>
      </c>
      <c r="Y15" s="2"/>
      <c r="Z15" s="28"/>
      <c r="AA15" s="28"/>
      <c r="AB15" s="2"/>
      <c r="AC15" s="6"/>
      <c r="AD15" s="2"/>
    </row>
    <row r="16" ht="12.75" customHeight="1">
      <c r="A16" s="15">
        <v>43160.0</v>
      </c>
      <c r="B16" s="16">
        <v>21643.0</v>
      </c>
      <c r="C16" s="68" t="s">
        <v>89</v>
      </c>
      <c r="D16" s="7" t="s">
        <v>85</v>
      </c>
      <c r="E16" s="17">
        <v>15387.11666666667</v>
      </c>
      <c r="F16" s="17"/>
      <c r="G16" s="3"/>
      <c r="H16" s="3">
        <f t="shared" si="1"/>
        <v>15387.11667</v>
      </c>
      <c r="I16" s="4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3">
        <v>15387.11666666667</v>
      </c>
      <c r="X16" s="3">
        <f t="shared" si="2"/>
        <v>0</v>
      </c>
      <c r="Y16" s="2"/>
      <c r="Z16" s="28"/>
      <c r="AA16" s="6"/>
      <c r="AB16" s="2"/>
      <c r="AC16" s="6"/>
      <c r="AD16" s="2"/>
    </row>
    <row r="17" ht="12.75" customHeight="1">
      <c r="A17" s="15">
        <v>43160.0</v>
      </c>
      <c r="B17" s="16">
        <v>21643.0</v>
      </c>
      <c r="C17" s="68" t="s">
        <v>90</v>
      </c>
      <c r="D17" s="7" t="s">
        <v>85</v>
      </c>
      <c r="E17" s="17">
        <v>15387.11666666667</v>
      </c>
      <c r="F17" s="17"/>
      <c r="G17" s="3"/>
      <c r="H17" s="3">
        <f t="shared" si="1"/>
        <v>15387.11667</v>
      </c>
      <c r="I17" s="4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3">
        <v>15387.11666666667</v>
      </c>
      <c r="X17" s="3">
        <f t="shared" si="2"/>
        <v>0</v>
      </c>
      <c r="Y17" s="2"/>
      <c r="Z17" s="28"/>
      <c r="AA17" s="6"/>
      <c r="AB17" s="2"/>
      <c r="AC17" s="6"/>
      <c r="AD17" s="2"/>
    </row>
    <row r="18" ht="12.75" customHeight="1">
      <c r="A18" s="15">
        <v>44144.0</v>
      </c>
      <c r="B18" s="16" t="s">
        <v>45</v>
      </c>
      <c r="C18" s="68" t="s">
        <v>91</v>
      </c>
      <c r="D18" s="7" t="s">
        <v>46</v>
      </c>
      <c r="E18" s="17">
        <f>'FAR21'!G12</f>
        <v>92565.27</v>
      </c>
      <c r="F18" s="17"/>
      <c r="G18" s="3"/>
      <c r="H18" s="3">
        <f t="shared" si="1"/>
        <v>92565.27</v>
      </c>
      <c r="I18" s="4"/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28">
        <f t="shared" ref="V18:V21" si="5">SUM(J18:U18)</f>
        <v>0</v>
      </c>
      <c r="W18" s="3">
        <f>'FAR25'!V12+V18</f>
        <v>92565.27</v>
      </c>
      <c r="X18" s="3">
        <f t="shared" si="2"/>
        <v>0</v>
      </c>
      <c r="Y18" s="2"/>
      <c r="Z18" s="28"/>
      <c r="AA18" s="6"/>
      <c r="AB18" s="2"/>
      <c r="AC18" s="2"/>
      <c r="AD18" s="6"/>
    </row>
    <row r="19" ht="12.75" customHeight="1">
      <c r="A19" s="41">
        <v>45020.0</v>
      </c>
      <c r="B19" s="42" t="s">
        <v>54</v>
      </c>
      <c r="C19" s="69" t="s">
        <v>92</v>
      </c>
      <c r="D19" s="43" t="s">
        <v>66</v>
      </c>
      <c r="E19" s="70">
        <v>12460.87</v>
      </c>
      <c r="F19" s="45"/>
      <c r="G19" s="46"/>
      <c r="H19" s="46">
        <f t="shared" ref="H19:H20" si="6">E19</f>
        <v>12460.87</v>
      </c>
      <c r="I19" s="47"/>
      <c r="J19" s="46">
        <f t="shared" ref="J19:K19" si="4">+$H19/$I$7/12</f>
        <v>346.1352778</v>
      </c>
      <c r="K19" s="46">
        <f t="shared" si="4"/>
        <v>346.1352778</v>
      </c>
      <c r="L19" s="46">
        <v>0.0</v>
      </c>
      <c r="M19" s="46">
        <v>0.0</v>
      </c>
      <c r="N19" s="46">
        <v>0.0</v>
      </c>
      <c r="O19" s="46">
        <v>0.0</v>
      </c>
      <c r="P19" s="46">
        <v>0.0</v>
      </c>
      <c r="Q19" s="46">
        <v>0.0</v>
      </c>
      <c r="R19" s="46">
        <v>0.0</v>
      </c>
      <c r="S19" s="46">
        <v>0.0</v>
      </c>
      <c r="T19" s="46">
        <v>0.0</v>
      </c>
      <c r="U19" s="46">
        <v>0.0</v>
      </c>
      <c r="V19" s="48">
        <f t="shared" si="5"/>
        <v>692.2705556</v>
      </c>
      <c r="W19" s="46">
        <f>'FAR25'!V13+V19</f>
        <v>8603.121205</v>
      </c>
      <c r="X19" s="46">
        <f t="shared" si="2"/>
        <v>3857.748795</v>
      </c>
      <c r="Y19" s="45"/>
      <c r="Z19" s="45">
        <v>1315.334794520548</v>
      </c>
      <c r="AA19" s="49"/>
      <c r="AB19" s="45"/>
      <c r="AC19" s="49"/>
      <c r="AD19" s="45"/>
    </row>
    <row r="20" ht="12.75" customHeight="1">
      <c r="A20" s="50">
        <v>45188.0</v>
      </c>
      <c r="B20" s="51" t="s">
        <v>56</v>
      </c>
      <c r="C20" s="71" t="s">
        <v>93</v>
      </c>
      <c r="D20" s="52" t="s">
        <v>57</v>
      </c>
      <c r="E20" s="72">
        <v>7307.41</v>
      </c>
      <c r="F20" s="54"/>
      <c r="G20" s="55"/>
      <c r="H20" s="55">
        <f t="shared" si="6"/>
        <v>7307.41</v>
      </c>
      <c r="I20" s="56"/>
      <c r="J20" s="55">
        <f t="shared" ref="J20:U20" si="7">+$H20/$I$7/12</f>
        <v>202.9836111</v>
      </c>
      <c r="K20" s="55">
        <f t="shared" si="7"/>
        <v>202.9836111</v>
      </c>
      <c r="L20" s="55">
        <f t="shared" si="7"/>
        <v>202.9836111</v>
      </c>
      <c r="M20" s="55">
        <f t="shared" si="7"/>
        <v>202.9836111</v>
      </c>
      <c r="N20" s="55">
        <f t="shared" si="7"/>
        <v>202.9836111</v>
      </c>
      <c r="O20" s="55">
        <f t="shared" si="7"/>
        <v>202.9836111</v>
      </c>
      <c r="P20" s="55">
        <f t="shared" si="7"/>
        <v>202.9836111</v>
      </c>
      <c r="Q20" s="55">
        <f t="shared" si="7"/>
        <v>202.9836111</v>
      </c>
      <c r="R20" s="55">
        <f t="shared" si="7"/>
        <v>202.9836111</v>
      </c>
      <c r="S20" s="55">
        <f t="shared" si="7"/>
        <v>202.9836111</v>
      </c>
      <c r="T20" s="55">
        <f t="shared" si="7"/>
        <v>202.9836111</v>
      </c>
      <c r="U20" s="55">
        <f t="shared" si="7"/>
        <v>202.9836111</v>
      </c>
      <c r="V20" s="57">
        <f t="shared" si="5"/>
        <v>2435.803333</v>
      </c>
      <c r="W20" s="55">
        <f>'FAR25'!V14+V20</f>
        <v>5959.932494</v>
      </c>
      <c r="X20" s="55">
        <f t="shared" si="2"/>
        <v>1347.477506</v>
      </c>
      <c r="Y20" s="54"/>
      <c r="Z20" s="54"/>
      <c r="AA20" s="58"/>
      <c r="AB20" s="54"/>
      <c r="AC20" s="58"/>
      <c r="AD20" s="54"/>
    </row>
    <row r="21" ht="12.75" customHeight="1">
      <c r="A21" s="50">
        <v>45848.0</v>
      </c>
      <c r="B21" s="51" t="s">
        <v>67</v>
      </c>
      <c r="C21" s="71" t="s">
        <v>94</v>
      </c>
      <c r="D21" s="52" t="s">
        <v>68</v>
      </c>
      <c r="E21" s="59"/>
      <c r="F21" s="53">
        <v>7077.6</v>
      </c>
      <c r="G21" s="55"/>
      <c r="H21" s="55">
        <f>F21</f>
        <v>7077.6</v>
      </c>
      <c r="I21" s="56"/>
      <c r="J21" s="55">
        <v>0.0</v>
      </c>
      <c r="K21" s="55">
        <v>0.0</v>
      </c>
      <c r="L21" s="55">
        <v>0.0</v>
      </c>
      <c r="M21" s="55">
        <v>0.0</v>
      </c>
      <c r="N21" s="55">
        <f>+$H21/$I$7/365*(31-10)</f>
        <v>135.7347945</v>
      </c>
      <c r="O21" s="55">
        <f t="shared" ref="O21:U21" si="8">+$H21/$I$7/12</f>
        <v>196.6</v>
      </c>
      <c r="P21" s="55">
        <f t="shared" si="8"/>
        <v>196.6</v>
      </c>
      <c r="Q21" s="55">
        <f t="shared" si="8"/>
        <v>196.6</v>
      </c>
      <c r="R21" s="55">
        <f t="shared" si="8"/>
        <v>196.6</v>
      </c>
      <c r="S21" s="55">
        <f t="shared" si="8"/>
        <v>196.6</v>
      </c>
      <c r="T21" s="55">
        <f t="shared" si="8"/>
        <v>196.6</v>
      </c>
      <c r="U21" s="55">
        <f t="shared" si="8"/>
        <v>196.6</v>
      </c>
      <c r="V21" s="57">
        <f t="shared" si="5"/>
        <v>1511.934795</v>
      </c>
      <c r="W21" s="55">
        <f>'FAR25'!V15+V21</f>
        <v>1511.934795</v>
      </c>
      <c r="X21" s="55">
        <f t="shared" si="2"/>
        <v>5565.665205</v>
      </c>
      <c r="Y21" s="54"/>
      <c r="Z21" s="54"/>
      <c r="AA21" s="58"/>
      <c r="AB21" s="54"/>
      <c r="AC21" s="58"/>
      <c r="AD21" s="54"/>
    </row>
    <row r="22" ht="12.75" customHeight="1">
      <c r="A22" s="50"/>
      <c r="B22" s="51"/>
      <c r="C22" s="71"/>
      <c r="D22" s="52"/>
      <c r="E22" s="59"/>
      <c r="F22" s="53"/>
      <c r="G22" s="55"/>
      <c r="H22" s="55"/>
      <c r="I22" s="56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7"/>
      <c r="W22" s="55"/>
      <c r="X22" s="55"/>
      <c r="Y22" s="54"/>
      <c r="Z22" s="54"/>
      <c r="AA22" s="58"/>
      <c r="AB22" s="54"/>
      <c r="AC22" s="58"/>
      <c r="AD22" s="54"/>
    </row>
    <row r="23" ht="12.75" customHeight="1">
      <c r="A23" s="19"/>
      <c r="B23" s="32"/>
      <c r="C23" s="73"/>
      <c r="D23" s="13"/>
      <c r="E23" s="17"/>
      <c r="F23" s="17"/>
      <c r="G23" s="3"/>
      <c r="H23" s="3"/>
      <c r="I23" s="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28"/>
      <c r="W23" s="3"/>
      <c r="X23" s="3"/>
      <c r="Y23" s="2"/>
      <c r="Z23" s="2"/>
      <c r="AA23" s="6"/>
      <c r="AB23" s="2"/>
      <c r="AC23" s="6"/>
      <c r="AD23" s="2"/>
    </row>
    <row r="24" ht="12.75" customHeight="1">
      <c r="A24" s="19" t="s">
        <v>50</v>
      </c>
      <c r="B24" s="18"/>
      <c r="C24" s="74"/>
      <c r="D24" s="7"/>
      <c r="E24" s="3"/>
      <c r="F24" s="17"/>
      <c r="G24" s="3"/>
      <c r="H24" s="3"/>
      <c r="I24" s="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2"/>
      <c r="Z24" s="2"/>
      <c r="AA24" s="6"/>
      <c r="AB24" s="2"/>
      <c r="AC24" s="2"/>
      <c r="AD24" s="2"/>
    </row>
    <row r="25" ht="12.75" customHeight="1">
      <c r="A25" s="19"/>
      <c r="B25" s="20"/>
      <c r="C25" s="75"/>
      <c r="D25" s="13"/>
      <c r="E25" s="21">
        <f t="shared" ref="E25:F25" si="9">SUM(E6:E24)</f>
        <v>283463.65</v>
      </c>
      <c r="F25" s="21">
        <f t="shared" si="9"/>
        <v>7077.6</v>
      </c>
      <c r="G25" s="22"/>
      <c r="H25" s="22">
        <f>SUM(H8:H24)</f>
        <v>290541.25</v>
      </c>
      <c r="I25" s="4"/>
      <c r="J25" s="22">
        <f t="shared" ref="J25:X25" si="10">SUM(J8:J24)</f>
        <v>549.1188889</v>
      </c>
      <c r="K25" s="22">
        <f t="shared" si="10"/>
        <v>549.1188889</v>
      </c>
      <c r="L25" s="22">
        <f t="shared" si="10"/>
        <v>202.9836111</v>
      </c>
      <c r="M25" s="22">
        <f t="shared" si="10"/>
        <v>202.9836111</v>
      </c>
      <c r="N25" s="22">
        <f t="shared" si="10"/>
        <v>338.7184056</v>
      </c>
      <c r="O25" s="22">
        <f t="shared" si="10"/>
        <v>399.5836111</v>
      </c>
      <c r="P25" s="22">
        <f t="shared" si="10"/>
        <v>399.5836111</v>
      </c>
      <c r="Q25" s="22">
        <f t="shared" si="10"/>
        <v>399.5836111</v>
      </c>
      <c r="R25" s="22">
        <f t="shared" si="10"/>
        <v>399.5836111</v>
      </c>
      <c r="S25" s="22">
        <f t="shared" si="10"/>
        <v>399.5836111</v>
      </c>
      <c r="T25" s="22">
        <f t="shared" si="10"/>
        <v>399.5836111</v>
      </c>
      <c r="U25" s="22">
        <f t="shared" si="10"/>
        <v>399.5836111</v>
      </c>
      <c r="V25" s="22">
        <f t="shared" si="10"/>
        <v>4640.008683</v>
      </c>
      <c r="W25" s="22">
        <f t="shared" si="10"/>
        <v>279770.3621</v>
      </c>
      <c r="X25" s="22">
        <f t="shared" si="10"/>
        <v>10770.88787</v>
      </c>
      <c r="Y25" s="2"/>
      <c r="Z25" s="2"/>
      <c r="AA25" s="6"/>
      <c r="AB25" s="23"/>
      <c r="AC25" s="23"/>
      <c r="AD25" s="23"/>
    </row>
    <row r="26" ht="12.75" customHeight="1">
      <c r="A26" s="19"/>
      <c r="B26" s="20"/>
      <c r="C26" s="75"/>
      <c r="D26" s="13"/>
      <c r="E26" s="14"/>
      <c r="F26" s="14"/>
      <c r="G26" s="24"/>
      <c r="H26" s="24"/>
      <c r="I26" s="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"/>
      <c r="Z26" s="2"/>
      <c r="AA26" s="6"/>
      <c r="AB26" s="23"/>
      <c r="AC26" s="23"/>
      <c r="AD26" s="23"/>
    </row>
    <row r="27" ht="12.75" customHeight="1">
      <c r="A27" s="19"/>
      <c r="B27" s="20"/>
      <c r="C27" s="75"/>
      <c r="D27" s="13"/>
      <c r="E27" s="76">
        <v>283463.65</v>
      </c>
      <c r="F27" s="76">
        <v>7077.6</v>
      </c>
      <c r="G27" s="77"/>
      <c r="H27" s="77">
        <v>290541.2499999999</v>
      </c>
      <c r="I27" s="78"/>
      <c r="J27" s="77">
        <v>549.1188888888889</v>
      </c>
      <c r="K27" s="77">
        <v>549.1188888888889</v>
      </c>
      <c r="L27" s="77">
        <v>202.9836111111111</v>
      </c>
      <c r="M27" s="77">
        <v>202.9836111111111</v>
      </c>
      <c r="N27" s="77">
        <v>338.718405631659</v>
      </c>
      <c r="O27" s="77">
        <v>399.5836111111112</v>
      </c>
      <c r="P27" s="77">
        <v>399.5836111111112</v>
      </c>
      <c r="Q27" s="77">
        <v>399.5836111111112</v>
      </c>
      <c r="R27" s="77">
        <v>399.5836111111112</v>
      </c>
      <c r="S27" s="77">
        <v>399.5836111111112</v>
      </c>
      <c r="T27" s="77">
        <v>399.5836111111112</v>
      </c>
      <c r="U27" s="77">
        <v>0.0</v>
      </c>
      <c r="V27" s="77">
        <v>4240.425072298325</v>
      </c>
      <c r="W27" s="77">
        <v>279370.778520548</v>
      </c>
      <c r="X27" s="77">
        <v>11170.47147945205</v>
      </c>
      <c r="Y27" s="2"/>
      <c r="Z27" s="2"/>
      <c r="AA27" s="6">
        <f>+W27-W25</f>
        <v>-399.5836111</v>
      </c>
      <c r="AB27" s="24">
        <f>+W27-W25</f>
        <v>-399.5836111</v>
      </c>
      <c r="AC27" s="23"/>
      <c r="AD27" s="23"/>
    </row>
    <row r="28" ht="12.75" customHeight="1">
      <c r="A28" s="15"/>
      <c r="B28" s="18"/>
      <c r="C28" s="74"/>
      <c r="D28" s="7"/>
      <c r="E28" s="3"/>
      <c r="F28" s="17"/>
      <c r="G28" s="3"/>
      <c r="H28" s="3"/>
      <c r="I28" s="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2"/>
      <c r="Z28" s="2"/>
      <c r="AA28" s="6"/>
      <c r="AB28" s="2"/>
      <c r="AC28" s="2"/>
      <c r="AD28" s="2"/>
    </row>
    <row r="29" ht="12.75" customHeight="1">
      <c r="A29" s="8" t="s">
        <v>2</v>
      </c>
      <c r="B29" s="8" t="s">
        <v>3</v>
      </c>
      <c r="C29" s="79"/>
      <c r="D29" s="8" t="s">
        <v>4</v>
      </c>
      <c r="E29" s="9" t="s">
        <v>18</v>
      </c>
      <c r="F29" s="9" t="s">
        <v>6</v>
      </c>
      <c r="G29" s="9" t="s">
        <v>20</v>
      </c>
      <c r="H29" s="9" t="s">
        <v>8</v>
      </c>
      <c r="I29" s="10" t="s">
        <v>9</v>
      </c>
      <c r="J29" s="11">
        <v>45747.0</v>
      </c>
      <c r="K29" s="11">
        <v>45777.0</v>
      </c>
      <c r="L29" s="11">
        <v>45808.0</v>
      </c>
      <c r="M29" s="11">
        <v>45838.0</v>
      </c>
      <c r="N29" s="11">
        <v>45869.0</v>
      </c>
      <c r="O29" s="11">
        <v>45900.0</v>
      </c>
      <c r="P29" s="11">
        <v>45930.0</v>
      </c>
      <c r="Q29" s="11">
        <v>45961.0</v>
      </c>
      <c r="R29" s="11">
        <v>45991.0</v>
      </c>
      <c r="S29" s="11">
        <v>46022.0</v>
      </c>
      <c r="T29" s="11">
        <v>46053.0</v>
      </c>
      <c r="U29" s="11">
        <v>46081.0</v>
      </c>
      <c r="V29" s="11" t="s">
        <v>10</v>
      </c>
      <c r="W29" s="11" t="s">
        <v>11</v>
      </c>
      <c r="X29" s="11" t="s">
        <v>61</v>
      </c>
      <c r="Y29" s="2"/>
      <c r="Z29" s="2"/>
      <c r="AA29" s="6"/>
      <c r="AB29" s="2"/>
      <c r="AC29" s="6"/>
      <c r="AD29" s="2"/>
    </row>
    <row r="30" ht="12.75" customHeight="1">
      <c r="A30" s="13" t="s">
        <v>21</v>
      </c>
      <c r="B30" s="2"/>
      <c r="C30" s="65"/>
      <c r="D30" s="2"/>
      <c r="E30" s="14"/>
      <c r="F30" s="3"/>
      <c r="G30" s="3"/>
      <c r="H30" s="3"/>
      <c r="I30" s="4" t="s">
        <v>22</v>
      </c>
      <c r="J30" s="13" t="str">
        <f>+A30</f>
        <v>6200&gt;020 (Furniture &amp; Fittings&gt;Cost)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2"/>
      <c r="Z30" s="2"/>
      <c r="AA30" s="2"/>
      <c r="AB30" s="2"/>
      <c r="AC30" s="2"/>
      <c r="AD30" s="2"/>
    </row>
    <row r="31" ht="12.75" customHeight="1">
      <c r="A31" s="8"/>
      <c r="B31" s="2"/>
      <c r="C31" s="65"/>
      <c r="D31" s="2"/>
      <c r="E31" s="14"/>
      <c r="F31" s="3"/>
      <c r="G31" s="3"/>
      <c r="H31" s="3"/>
      <c r="I31" s="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2"/>
      <c r="Z31" s="2"/>
      <c r="AA31" s="2"/>
      <c r="AB31" s="2"/>
      <c r="AC31" s="2"/>
      <c r="AD31" s="2"/>
    </row>
    <row r="32" ht="12.75" customHeight="1">
      <c r="A32" s="15">
        <v>42836.0</v>
      </c>
      <c r="B32" s="16">
        <v>30110.0</v>
      </c>
      <c r="C32" s="68" t="s">
        <v>95</v>
      </c>
      <c r="D32" s="7" t="s">
        <v>96</v>
      </c>
      <c r="E32" s="17">
        <v>3483.333333333333</v>
      </c>
      <c r="F32" s="3"/>
      <c r="G32" s="3"/>
      <c r="H32" s="3">
        <f t="shared" ref="H32:H53" si="11">+E32+F32-G32</f>
        <v>3483.333333</v>
      </c>
      <c r="I32" s="4"/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f>SUM(J32:U32)</f>
        <v>0</v>
      </c>
      <c r="W32" s="3">
        <v>3483.333333333333</v>
      </c>
      <c r="X32" s="3">
        <f t="shared" ref="X32:X56" si="12">+H32-W32</f>
        <v>0</v>
      </c>
      <c r="Y32" s="2"/>
      <c r="Z32" s="2"/>
      <c r="AA32" s="2"/>
      <c r="AB32" s="2"/>
      <c r="AC32" s="2"/>
      <c r="AD32" s="2"/>
    </row>
    <row r="33" ht="12.75" customHeight="1">
      <c r="A33" s="15">
        <v>42836.0</v>
      </c>
      <c r="B33" s="16">
        <v>30110.0</v>
      </c>
      <c r="C33" s="68" t="s">
        <v>97</v>
      </c>
      <c r="D33" s="7" t="s">
        <v>96</v>
      </c>
      <c r="E33" s="17">
        <v>3483.333333333333</v>
      </c>
      <c r="F33" s="3"/>
      <c r="G33" s="3"/>
      <c r="H33" s="3">
        <f t="shared" si="11"/>
        <v>3483.333333</v>
      </c>
      <c r="I33" s="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>
        <v>3483.333333333333</v>
      </c>
      <c r="X33" s="3">
        <f t="shared" si="12"/>
        <v>0</v>
      </c>
      <c r="Y33" s="2"/>
      <c r="Z33" s="2"/>
      <c r="AA33" s="2"/>
      <c r="AB33" s="2"/>
      <c r="AC33" s="2"/>
      <c r="AD33" s="2"/>
    </row>
    <row r="34" ht="12.75" customHeight="1">
      <c r="A34" s="15">
        <v>42836.0</v>
      </c>
      <c r="B34" s="16">
        <v>30110.0</v>
      </c>
      <c r="C34" s="68" t="s">
        <v>98</v>
      </c>
      <c r="D34" s="7" t="s">
        <v>96</v>
      </c>
      <c r="E34" s="17">
        <v>3483.333333333333</v>
      </c>
      <c r="F34" s="3"/>
      <c r="G34" s="3"/>
      <c r="H34" s="3">
        <f t="shared" si="11"/>
        <v>3483.333333</v>
      </c>
      <c r="I34" s="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>
        <v>3483.333333333333</v>
      </c>
      <c r="X34" s="3">
        <f t="shared" si="12"/>
        <v>0</v>
      </c>
      <c r="Y34" s="2"/>
      <c r="Z34" s="2"/>
      <c r="AA34" s="2"/>
      <c r="AB34" s="2"/>
      <c r="AC34" s="2"/>
      <c r="AD34" s="2"/>
    </row>
    <row r="35" ht="12.75" customHeight="1">
      <c r="A35" s="15">
        <v>42836.0</v>
      </c>
      <c r="B35" s="16">
        <v>30110.0</v>
      </c>
      <c r="C35" s="68" t="s">
        <v>99</v>
      </c>
      <c r="D35" s="7" t="s">
        <v>96</v>
      </c>
      <c r="E35" s="17">
        <v>3483.333333333333</v>
      </c>
      <c r="F35" s="3"/>
      <c r="G35" s="3"/>
      <c r="H35" s="3">
        <f t="shared" si="11"/>
        <v>3483.333333</v>
      </c>
      <c r="I35" s="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>
        <v>3483.333333333333</v>
      </c>
      <c r="X35" s="3">
        <f t="shared" si="12"/>
        <v>0</v>
      </c>
      <c r="Y35" s="2"/>
      <c r="Z35" s="2"/>
      <c r="AA35" s="2"/>
      <c r="AB35" s="2"/>
      <c r="AC35" s="2"/>
      <c r="AD35" s="2"/>
    </row>
    <row r="36" ht="12.75" customHeight="1">
      <c r="A36" s="15">
        <v>42836.0</v>
      </c>
      <c r="B36" s="16">
        <v>30110.0</v>
      </c>
      <c r="C36" s="68" t="s">
        <v>100</v>
      </c>
      <c r="D36" s="7" t="s">
        <v>96</v>
      </c>
      <c r="E36" s="17">
        <v>3483.333333333333</v>
      </c>
      <c r="F36" s="3"/>
      <c r="G36" s="3"/>
      <c r="H36" s="3">
        <f t="shared" si="11"/>
        <v>3483.333333</v>
      </c>
      <c r="I36" s="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>
        <v>3483.333333333333</v>
      </c>
      <c r="X36" s="3">
        <f t="shared" si="12"/>
        <v>0</v>
      </c>
      <c r="Y36" s="2"/>
      <c r="Z36" s="2"/>
      <c r="AA36" s="2"/>
      <c r="AB36" s="2"/>
      <c r="AC36" s="2"/>
      <c r="AD36" s="2"/>
    </row>
    <row r="37" ht="12.75" customHeight="1">
      <c r="A37" s="15">
        <v>42836.0</v>
      </c>
      <c r="B37" s="16">
        <v>30110.0</v>
      </c>
      <c r="C37" s="68" t="s">
        <v>101</v>
      </c>
      <c r="D37" s="7" t="s">
        <v>96</v>
      </c>
      <c r="E37" s="17">
        <v>3483.333333333333</v>
      </c>
      <c r="F37" s="3"/>
      <c r="G37" s="3"/>
      <c r="H37" s="3">
        <f t="shared" si="11"/>
        <v>3483.333333</v>
      </c>
      <c r="I37" s="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>
        <v>3483.333333333333</v>
      </c>
      <c r="X37" s="3">
        <f t="shared" si="12"/>
        <v>0</v>
      </c>
      <c r="Y37" s="2"/>
      <c r="Z37" s="2"/>
      <c r="AA37" s="2"/>
      <c r="AB37" s="2"/>
      <c r="AC37" s="2"/>
      <c r="AD37" s="2"/>
    </row>
    <row r="38" ht="12.75" customHeight="1">
      <c r="A38" s="15">
        <v>42836.0</v>
      </c>
      <c r="B38" s="16">
        <v>30110.0</v>
      </c>
      <c r="C38" s="68" t="s">
        <v>102</v>
      </c>
      <c r="D38" s="7" t="s">
        <v>96</v>
      </c>
      <c r="E38" s="17">
        <v>3483.333333333333</v>
      </c>
      <c r="F38" s="3"/>
      <c r="G38" s="3"/>
      <c r="H38" s="3">
        <f t="shared" si="11"/>
        <v>3483.333333</v>
      </c>
      <c r="I38" s="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>
        <v>3483.333333333333</v>
      </c>
      <c r="X38" s="3">
        <f t="shared" si="12"/>
        <v>0</v>
      </c>
      <c r="Y38" s="2"/>
      <c r="Z38" s="2"/>
      <c r="AA38" s="2"/>
      <c r="AB38" s="2"/>
      <c r="AC38" s="2"/>
      <c r="AD38" s="2"/>
    </row>
    <row r="39" ht="12.75" customHeight="1">
      <c r="A39" s="15">
        <v>42836.0</v>
      </c>
      <c r="B39" s="16">
        <v>30110.0</v>
      </c>
      <c r="C39" s="68" t="s">
        <v>103</v>
      </c>
      <c r="D39" s="7" t="s">
        <v>96</v>
      </c>
      <c r="E39" s="17">
        <v>3483.333333333333</v>
      </c>
      <c r="F39" s="3"/>
      <c r="G39" s="3"/>
      <c r="H39" s="3">
        <f t="shared" si="11"/>
        <v>3483.333333</v>
      </c>
      <c r="I39" s="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>
        <v>3483.333333333333</v>
      </c>
      <c r="X39" s="3">
        <f t="shared" si="12"/>
        <v>0</v>
      </c>
      <c r="Y39" s="2"/>
      <c r="Z39" s="2"/>
      <c r="AA39" s="2"/>
      <c r="AB39" s="2"/>
      <c r="AC39" s="2"/>
      <c r="AD39" s="2"/>
    </row>
    <row r="40" ht="12.75" customHeight="1">
      <c r="A40" s="15">
        <v>42836.0</v>
      </c>
      <c r="B40" s="16">
        <v>30110.0</v>
      </c>
      <c r="C40" s="68" t="s">
        <v>104</v>
      </c>
      <c r="D40" s="7" t="s">
        <v>96</v>
      </c>
      <c r="E40" s="17">
        <v>3483.333333333333</v>
      </c>
      <c r="F40" s="3"/>
      <c r="G40" s="3"/>
      <c r="H40" s="3">
        <f t="shared" si="11"/>
        <v>3483.333333</v>
      </c>
      <c r="I40" s="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>
        <v>3483.333333333333</v>
      </c>
      <c r="X40" s="3">
        <f t="shared" si="12"/>
        <v>0</v>
      </c>
      <c r="Y40" s="2"/>
      <c r="Z40" s="2"/>
      <c r="AA40" s="2"/>
      <c r="AB40" s="2"/>
      <c r="AC40" s="2"/>
      <c r="AD40" s="2"/>
    </row>
    <row r="41" ht="12.75" customHeight="1">
      <c r="A41" s="15">
        <v>42836.0</v>
      </c>
      <c r="B41" s="16">
        <v>30110.0</v>
      </c>
      <c r="C41" s="68" t="s">
        <v>105</v>
      </c>
      <c r="D41" s="7" t="s">
        <v>96</v>
      </c>
      <c r="E41" s="17">
        <v>3483.333333333333</v>
      </c>
      <c r="F41" s="3"/>
      <c r="G41" s="3"/>
      <c r="H41" s="3">
        <f t="shared" si="11"/>
        <v>3483.333333</v>
      </c>
      <c r="I41" s="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>
        <v>3483.333333333333</v>
      </c>
      <c r="X41" s="3">
        <f t="shared" si="12"/>
        <v>0</v>
      </c>
      <c r="Y41" s="2"/>
      <c r="Z41" s="2"/>
      <c r="AA41" s="2"/>
      <c r="AB41" s="2"/>
      <c r="AC41" s="2"/>
      <c r="AD41" s="2"/>
    </row>
    <row r="42" ht="12.75" customHeight="1">
      <c r="A42" s="15">
        <v>42836.0</v>
      </c>
      <c r="B42" s="16">
        <v>30110.0</v>
      </c>
      <c r="C42" s="68" t="s">
        <v>106</v>
      </c>
      <c r="D42" s="7" t="s">
        <v>96</v>
      </c>
      <c r="E42" s="17">
        <v>3483.333333333333</v>
      </c>
      <c r="F42" s="3"/>
      <c r="G42" s="3"/>
      <c r="H42" s="3">
        <f t="shared" si="11"/>
        <v>3483.333333</v>
      </c>
      <c r="I42" s="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>
        <v>3483.333333333333</v>
      </c>
      <c r="X42" s="3">
        <f t="shared" si="12"/>
        <v>0</v>
      </c>
      <c r="Y42" s="2"/>
      <c r="Z42" s="2"/>
      <c r="AA42" s="2"/>
      <c r="AB42" s="2"/>
      <c r="AC42" s="2"/>
      <c r="AD42" s="2"/>
    </row>
    <row r="43" ht="12.75" customHeight="1">
      <c r="A43" s="15">
        <v>42836.0</v>
      </c>
      <c r="B43" s="16">
        <v>30110.0</v>
      </c>
      <c r="C43" s="68" t="s">
        <v>107</v>
      </c>
      <c r="D43" s="7" t="s">
        <v>96</v>
      </c>
      <c r="E43" s="17">
        <v>3483.333333333333</v>
      </c>
      <c r="F43" s="3"/>
      <c r="G43" s="3"/>
      <c r="H43" s="3">
        <f t="shared" si="11"/>
        <v>3483.333333</v>
      </c>
      <c r="I43" s="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>
        <v>3483.333333333333</v>
      </c>
      <c r="X43" s="3">
        <f t="shared" si="12"/>
        <v>0</v>
      </c>
      <c r="Y43" s="2"/>
      <c r="Z43" s="2"/>
      <c r="AA43" s="2"/>
      <c r="AB43" s="2"/>
      <c r="AC43" s="2"/>
      <c r="AD43" s="2"/>
    </row>
    <row r="44" ht="12.75" customHeight="1">
      <c r="A44" s="15">
        <v>42836.0</v>
      </c>
      <c r="B44" s="16">
        <v>30110.0</v>
      </c>
      <c r="C44" s="68" t="s">
        <v>108</v>
      </c>
      <c r="D44" s="7" t="s">
        <v>96</v>
      </c>
      <c r="E44" s="17">
        <v>3483.333333333333</v>
      </c>
      <c r="F44" s="3"/>
      <c r="G44" s="3"/>
      <c r="H44" s="3">
        <f t="shared" si="11"/>
        <v>3483.333333</v>
      </c>
      <c r="I44" s="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>
        <v>3483.333333333333</v>
      </c>
      <c r="X44" s="3">
        <f t="shared" si="12"/>
        <v>0</v>
      </c>
      <c r="Y44" s="2"/>
      <c r="Z44" s="2"/>
      <c r="AA44" s="2"/>
      <c r="AB44" s="2"/>
      <c r="AC44" s="2"/>
      <c r="AD44" s="2"/>
    </row>
    <row r="45" ht="12.75" customHeight="1">
      <c r="A45" s="15">
        <v>42836.0</v>
      </c>
      <c r="B45" s="16">
        <v>30110.0</v>
      </c>
      <c r="C45" s="68" t="s">
        <v>109</v>
      </c>
      <c r="D45" s="7" t="s">
        <v>96</v>
      </c>
      <c r="E45" s="17">
        <v>3483.333333333333</v>
      </c>
      <c r="F45" s="3"/>
      <c r="G45" s="3"/>
      <c r="H45" s="3">
        <f t="shared" si="11"/>
        <v>3483.333333</v>
      </c>
      <c r="I45" s="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>
        <v>3483.333333333333</v>
      </c>
      <c r="X45" s="3">
        <f t="shared" si="12"/>
        <v>0</v>
      </c>
      <c r="Y45" s="2"/>
      <c r="Z45" s="2"/>
      <c r="AA45" s="2"/>
      <c r="AB45" s="2"/>
      <c r="AC45" s="2"/>
      <c r="AD45" s="2"/>
    </row>
    <row r="46" ht="12.75" customHeight="1">
      <c r="A46" s="15">
        <v>42836.0</v>
      </c>
      <c r="B46" s="16">
        <v>30110.0</v>
      </c>
      <c r="C46" s="68" t="s">
        <v>110</v>
      </c>
      <c r="D46" s="7" t="s">
        <v>96</v>
      </c>
      <c r="E46" s="17">
        <v>3483.333333333333</v>
      </c>
      <c r="F46" s="3"/>
      <c r="G46" s="3"/>
      <c r="H46" s="3">
        <f t="shared" si="11"/>
        <v>3483.333333</v>
      </c>
      <c r="I46" s="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>
        <v>3483.333333333333</v>
      </c>
      <c r="X46" s="3">
        <f t="shared" si="12"/>
        <v>0</v>
      </c>
      <c r="Y46" s="2"/>
      <c r="Z46" s="2"/>
      <c r="AA46" s="2"/>
      <c r="AB46" s="2"/>
      <c r="AC46" s="2"/>
      <c r="AD46" s="2"/>
    </row>
    <row r="47" ht="12.75" customHeight="1">
      <c r="A47" s="15">
        <v>43165.0</v>
      </c>
      <c r="B47" s="16" t="s">
        <v>31</v>
      </c>
      <c r="C47" s="68" t="s">
        <v>111</v>
      </c>
      <c r="D47" s="7" t="s">
        <v>32</v>
      </c>
      <c r="E47" s="17">
        <f>'FAR21'!G20</f>
        <v>44144</v>
      </c>
      <c r="F47" s="3"/>
      <c r="G47" s="3"/>
      <c r="H47" s="3">
        <f t="shared" si="11"/>
        <v>44144</v>
      </c>
      <c r="I47" s="4"/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f t="shared" ref="V47:V48" si="13">SUM(J47:U47)</f>
        <v>0</v>
      </c>
      <c r="W47" s="3">
        <f>'FAR25'!V23+V47</f>
        <v>44143.99583</v>
      </c>
      <c r="X47" s="3">
        <f t="shared" si="12"/>
        <v>0.004170471831</v>
      </c>
      <c r="Y47" s="2"/>
      <c r="Z47" s="2"/>
      <c r="AA47" s="2"/>
      <c r="AB47" s="2"/>
      <c r="AC47" s="2"/>
      <c r="AD47" s="2"/>
    </row>
    <row r="48" ht="12.75" customHeight="1">
      <c r="A48" s="15">
        <v>43179.0</v>
      </c>
      <c r="B48" s="16">
        <v>32006.0</v>
      </c>
      <c r="C48" s="68" t="s">
        <v>112</v>
      </c>
      <c r="D48" s="7" t="s">
        <v>96</v>
      </c>
      <c r="E48" s="17">
        <f>'FAR21'!G21/5</f>
        <v>3886</v>
      </c>
      <c r="F48" s="3"/>
      <c r="G48" s="3"/>
      <c r="H48" s="3">
        <f t="shared" si="11"/>
        <v>3886</v>
      </c>
      <c r="I48" s="4"/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f t="shared" si="13"/>
        <v>0</v>
      </c>
      <c r="W48" s="3">
        <v>3886.0</v>
      </c>
      <c r="X48" s="3">
        <f t="shared" si="12"/>
        <v>0</v>
      </c>
      <c r="Y48" s="2"/>
      <c r="Z48" s="2"/>
      <c r="AA48" s="2"/>
      <c r="AB48" s="2"/>
      <c r="AC48" s="2"/>
      <c r="AD48" s="2"/>
    </row>
    <row r="49" ht="12.75" customHeight="1">
      <c r="A49" s="15">
        <v>43179.0</v>
      </c>
      <c r="B49" s="16">
        <v>32006.0</v>
      </c>
      <c r="C49" s="68" t="s">
        <v>113</v>
      </c>
      <c r="D49" s="7" t="s">
        <v>96</v>
      </c>
      <c r="E49" s="17">
        <v>3886.0</v>
      </c>
      <c r="F49" s="3"/>
      <c r="G49" s="3"/>
      <c r="H49" s="3">
        <f t="shared" si="11"/>
        <v>3886</v>
      </c>
      <c r="I49" s="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>
        <v>3886.0</v>
      </c>
      <c r="X49" s="3">
        <f t="shared" si="12"/>
        <v>0</v>
      </c>
      <c r="Y49" s="2"/>
      <c r="Z49" s="2"/>
      <c r="AA49" s="2"/>
      <c r="AB49" s="2"/>
      <c r="AC49" s="2"/>
      <c r="AD49" s="2"/>
    </row>
    <row r="50" ht="12.75" customHeight="1">
      <c r="A50" s="15">
        <v>43179.0</v>
      </c>
      <c r="B50" s="16">
        <v>32006.0</v>
      </c>
      <c r="C50" s="68" t="s">
        <v>114</v>
      </c>
      <c r="D50" s="7" t="s">
        <v>96</v>
      </c>
      <c r="E50" s="17">
        <v>3886.0</v>
      </c>
      <c r="F50" s="3"/>
      <c r="G50" s="3"/>
      <c r="H50" s="3">
        <f t="shared" si="11"/>
        <v>3886</v>
      </c>
      <c r="I50" s="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>
        <v>3886.0</v>
      </c>
      <c r="X50" s="3">
        <f t="shared" si="12"/>
        <v>0</v>
      </c>
      <c r="Y50" s="2"/>
      <c r="Z50" s="2"/>
      <c r="AA50" s="2"/>
      <c r="AB50" s="2"/>
      <c r="AC50" s="2"/>
      <c r="AD50" s="2"/>
    </row>
    <row r="51" ht="12.75" customHeight="1">
      <c r="A51" s="15">
        <v>43179.0</v>
      </c>
      <c r="B51" s="16">
        <v>32006.0</v>
      </c>
      <c r="C51" s="68" t="s">
        <v>115</v>
      </c>
      <c r="D51" s="7" t="s">
        <v>96</v>
      </c>
      <c r="E51" s="17">
        <v>3886.0</v>
      </c>
      <c r="F51" s="3"/>
      <c r="G51" s="3"/>
      <c r="H51" s="3">
        <f t="shared" si="11"/>
        <v>3886</v>
      </c>
      <c r="I51" s="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>
        <v>3886.0</v>
      </c>
      <c r="X51" s="3">
        <f t="shared" si="12"/>
        <v>0</v>
      </c>
      <c r="Y51" s="2"/>
      <c r="Z51" s="2"/>
      <c r="AA51" s="2"/>
      <c r="AB51" s="2"/>
      <c r="AC51" s="2"/>
      <c r="AD51" s="2"/>
    </row>
    <row r="52" ht="12.75" customHeight="1">
      <c r="A52" s="15">
        <v>43179.0</v>
      </c>
      <c r="B52" s="16">
        <v>32006.0</v>
      </c>
      <c r="C52" s="68" t="s">
        <v>116</v>
      </c>
      <c r="D52" s="7" t="s">
        <v>96</v>
      </c>
      <c r="E52" s="17">
        <v>3886.0</v>
      </c>
      <c r="F52" s="3"/>
      <c r="G52" s="3"/>
      <c r="H52" s="3">
        <f t="shared" si="11"/>
        <v>3886</v>
      </c>
      <c r="I52" s="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>
        <v>3886.0</v>
      </c>
      <c r="X52" s="3">
        <f t="shared" si="12"/>
        <v>0</v>
      </c>
      <c r="Y52" s="2"/>
      <c r="Z52" s="2"/>
      <c r="AA52" s="2"/>
      <c r="AB52" s="2"/>
      <c r="AC52" s="2"/>
      <c r="AD52" s="2"/>
    </row>
    <row r="53" ht="12.75" customHeight="1">
      <c r="A53" s="15">
        <v>43578.0</v>
      </c>
      <c r="B53" s="16" t="s">
        <v>36</v>
      </c>
      <c r="C53" s="68" t="s">
        <v>117</v>
      </c>
      <c r="D53" s="7" t="s">
        <v>37</v>
      </c>
      <c r="E53" s="17">
        <f>'FAR21'!G22</f>
        <v>26544</v>
      </c>
      <c r="F53" s="3"/>
      <c r="G53" s="3"/>
      <c r="H53" s="3">
        <f t="shared" si="11"/>
        <v>26544</v>
      </c>
      <c r="I53" s="4"/>
      <c r="J53" s="3">
        <f t="shared" ref="J53:J68" si="14">+$H53/$I$30/12</f>
        <v>368.6666667</v>
      </c>
      <c r="K53" s="3">
        <v>283.82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f t="shared" ref="V53:V57" si="16">SUM(J53:U53)</f>
        <v>652.4866667</v>
      </c>
      <c r="W53" s="3">
        <f>'FAR25'!V25+V53</f>
        <v>26543.99717</v>
      </c>
      <c r="X53" s="3">
        <f t="shared" si="12"/>
        <v>0.002831050231</v>
      </c>
      <c r="Y53" s="2"/>
      <c r="Z53" s="2"/>
      <c r="AA53" s="2"/>
      <c r="AB53" s="2"/>
      <c r="AC53" s="2"/>
      <c r="AD53" s="2"/>
    </row>
    <row r="54" ht="12.75" customHeight="1">
      <c r="A54" s="15">
        <v>43711.0</v>
      </c>
      <c r="B54" s="16">
        <v>34825.0</v>
      </c>
      <c r="C54" s="68" t="s">
        <v>118</v>
      </c>
      <c r="D54" s="7" t="s">
        <v>119</v>
      </c>
      <c r="E54" s="55">
        <v>3941.75</v>
      </c>
      <c r="F54" s="55"/>
      <c r="G54" s="55"/>
      <c r="H54" s="55">
        <v>3941.75</v>
      </c>
      <c r="I54" s="4"/>
      <c r="J54" s="3">
        <f t="shared" si="14"/>
        <v>54.74652778</v>
      </c>
      <c r="K54" s="3">
        <f t="shared" ref="K54:O54" si="15">+$H54/$I$30/12</f>
        <v>54.74652778</v>
      </c>
      <c r="L54" s="3">
        <f t="shared" si="15"/>
        <v>54.74652778</v>
      </c>
      <c r="M54" s="3">
        <f t="shared" si="15"/>
        <v>54.74652778</v>
      </c>
      <c r="N54" s="3">
        <f t="shared" si="15"/>
        <v>54.74652778</v>
      </c>
      <c r="O54" s="3">
        <f t="shared" si="15"/>
        <v>54.74652778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f t="shared" si="16"/>
        <v>328.4791667</v>
      </c>
      <c r="W54" s="3">
        <v>3941.75</v>
      </c>
      <c r="X54" s="3">
        <f t="shared" si="12"/>
        <v>0</v>
      </c>
      <c r="Y54" s="2"/>
      <c r="Z54" s="2"/>
      <c r="AA54" s="2"/>
      <c r="AB54" s="2"/>
      <c r="AC54" s="2"/>
      <c r="AD54" s="2"/>
    </row>
    <row r="55" ht="12.75" customHeight="1">
      <c r="A55" s="15">
        <v>43712.0</v>
      </c>
      <c r="B55" s="16">
        <v>34825.0</v>
      </c>
      <c r="C55" s="68" t="s">
        <v>120</v>
      </c>
      <c r="D55" s="7" t="s">
        <v>119</v>
      </c>
      <c r="E55" s="55">
        <v>3941.75</v>
      </c>
      <c r="F55" s="3"/>
      <c r="G55" s="3"/>
      <c r="H55" s="3">
        <f t="shared" ref="H55:H57" si="18">+E55+F55-G55</f>
        <v>3941.75</v>
      </c>
      <c r="I55" s="4"/>
      <c r="J55" s="3">
        <f t="shared" si="14"/>
        <v>54.74652778</v>
      </c>
      <c r="K55" s="3">
        <f t="shared" ref="K55:O55" si="17">+$H55/$I$30/12</f>
        <v>54.74652778</v>
      </c>
      <c r="L55" s="3">
        <f t="shared" si="17"/>
        <v>54.74652778</v>
      </c>
      <c r="M55" s="3">
        <f t="shared" si="17"/>
        <v>54.74652778</v>
      </c>
      <c r="N55" s="3">
        <f t="shared" si="17"/>
        <v>54.74652778</v>
      </c>
      <c r="O55" s="3">
        <f t="shared" si="17"/>
        <v>54.74652778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f t="shared" si="16"/>
        <v>328.4791667</v>
      </c>
      <c r="W55" s="3">
        <v>3941.75</v>
      </c>
      <c r="X55" s="3">
        <f t="shared" si="12"/>
        <v>0</v>
      </c>
      <c r="Y55" s="2"/>
      <c r="Z55" s="2"/>
      <c r="AA55" s="2"/>
      <c r="AB55" s="2"/>
      <c r="AC55" s="2"/>
      <c r="AD55" s="2"/>
    </row>
    <row r="56" ht="12.75" customHeight="1">
      <c r="A56" s="15">
        <v>43713.0</v>
      </c>
      <c r="B56" s="16">
        <v>34825.0</v>
      </c>
      <c r="C56" s="68" t="s">
        <v>121</v>
      </c>
      <c r="D56" s="7" t="s">
        <v>119</v>
      </c>
      <c r="E56" s="55">
        <v>3941.75</v>
      </c>
      <c r="F56" s="3"/>
      <c r="G56" s="3"/>
      <c r="H56" s="3">
        <f t="shared" si="18"/>
        <v>3941.75</v>
      </c>
      <c r="I56" s="4"/>
      <c r="J56" s="3">
        <f t="shared" si="14"/>
        <v>54.74652778</v>
      </c>
      <c r="K56" s="3">
        <f t="shared" ref="K56:O56" si="19">+$H56/$I$30/12</f>
        <v>54.74652778</v>
      </c>
      <c r="L56" s="3">
        <f t="shared" si="19"/>
        <v>54.74652778</v>
      </c>
      <c r="M56" s="3">
        <f t="shared" si="19"/>
        <v>54.74652778</v>
      </c>
      <c r="N56" s="3">
        <f t="shared" si="19"/>
        <v>54.74652778</v>
      </c>
      <c r="O56" s="3">
        <f t="shared" si="19"/>
        <v>54.74652778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f t="shared" si="16"/>
        <v>328.4791667</v>
      </c>
      <c r="W56" s="3">
        <v>3941.75</v>
      </c>
      <c r="X56" s="3">
        <f t="shared" si="12"/>
        <v>0</v>
      </c>
      <c r="Y56" s="2"/>
      <c r="Z56" s="2"/>
      <c r="AA56" s="2"/>
      <c r="AB56" s="2"/>
      <c r="AC56" s="2"/>
      <c r="AD56" s="2"/>
    </row>
    <row r="57" ht="12.75" customHeight="1">
      <c r="A57" s="15">
        <v>43714.0</v>
      </c>
      <c r="B57" s="16">
        <v>34825.0</v>
      </c>
      <c r="C57" s="68" t="s">
        <v>122</v>
      </c>
      <c r="D57" s="7" t="s">
        <v>119</v>
      </c>
      <c r="E57" s="55">
        <v>3941.75</v>
      </c>
      <c r="F57" s="17"/>
      <c r="G57" s="3"/>
      <c r="H57" s="3">
        <f t="shared" si="18"/>
        <v>3941.75</v>
      </c>
      <c r="I57" s="4"/>
      <c r="J57" s="3">
        <f t="shared" si="14"/>
        <v>54.74652778</v>
      </c>
      <c r="K57" s="3">
        <f t="shared" ref="K57:O57" si="20">+$H57/$I$30/12</f>
        <v>54.74652778</v>
      </c>
      <c r="L57" s="3">
        <f t="shared" si="20"/>
        <v>54.74652778</v>
      </c>
      <c r="M57" s="3">
        <f t="shared" si="20"/>
        <v>54.74652778</v>
      </c>
      <c r="N57" s="3">
        <f t="shared" si="20"/>
        <v>54.74652778</v>
      </c>
      <c r="O57" s="3">
        <f t="shared" si="20"/>
        <v>54.74652778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f t="shared" si="16"/>
        <v>328.4791667</v>
      </c>
      <c r="W57" s="3">
        <v>3941.75</v>
      </c>
      <c r="X57" s="3">
        <v>0.0</v>
      </c>
      <c r="Y57" s="2"/>
      <c r="Z57" s="2"/>
      <c r="AA57" s="2"/>
      <c r="AB57" s="2"/>
      <c r="AC57" s="2"/>
      <c r="AD57" s="2"/>
    </row>
    <row r="58" ht="12.75" customHeight="1">
      <c r="A58" s="15">
        <v>43710.0</v>
      </c>
      <c r="B58" s="16">
        <v>34825.0</v>
      </c>
      <c r="C58" s="68" t="s">
        <v>123</v>
      </c>
      <c r="D58" s="7" t="s">
        <v>124</v>
      </c>
      <c r="E58" s="3">
        <v>2564.7</v>
      </c>
      <c r="F58" s="17"/>
      <c r="G58" s="3"/>
      <c r="H58" s="3">
        <v>2564.7</v>
      </c>
      <c r="I58" s="4"/>
      <c r="J58" s="3">
        <f t="shared" si="14"/>
        <v>35.62083333</v>
      </c>
      <c r="K58" s="3">
        <f t="shared" ref="K58:O58" si="21">+$H58/$I$30/12</f>
        <v>35.62083333</v>
      </c>
      <c r="L58" s="3">
        <f t="shared" si="21"/>
        <v>35.62083333</v>
      </c>
      <c r="M58" s="3">
        <f t="shared" si="21"/>
        <v>35.62083333</v>
      </c>
      <c r="N58" s="3">
        <f t="shared" si="21"/>
        <v>35.62083333</v>
      </c>
      <c r="O58" s="3">
        <f t="shared" si="21"/>
        <v>35.62083333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213.73</v>
      </c>
      <c r="W58" s="3">
        <v>2564.7</v>
      </c>
      <c r="X58" s="3">
        <f t="shared" ref="X58:X67" si="23">+H58-W58</f>
        <v>0</v>
      </c>
      <c r="Y58" s="2"/>
      <c r="Z58" s="2"/>
      <c r="AA58" s="2"/>
      <c r="AB58" s="2"/>
      <c r="AC58" s="2"/>
      <c r="AD58" s="2"/>
    </row>
    <row r="59" ht="12.75" customHeight="1">
      <c r="A59" s="15">
        <v>43710.0</v>
      </c>
      <c r="B59" s="16">
        <v>34825.0</v>
      </c>
      <c r="C59" s="68" t="s">
        <v>125</v>
      </c>
      <c r="D59" s="7" t="s">
        <v>124</v>
      </c>
      <c r="E59" s="3">
        <v>2564.7</v>
      </c>
      <c r="F59" s="17"/>
      <c r="G59" s="3"/>
      <c r="H59" s="3">
        <v>2564.7</v>
      </c>
      <c r="I59" s="4"/>
      <c r="J59" s="3">
        <f t="shared" si="14"/>
        <v>35.62083333</v>
      </c>
      <c r="K59" s="3">
        <f t="shared" ref="K59:O59" si="22">+$H59/$I$30/12</f>
        <v>35.62083333</v>
      </c>
      <c r="L59" s="3">
        <f t="shared" si="22"/>
        <v>35.62083333</v>
      </c>
      <c r="M59" s="3">
        <f t="shared" si="22"/>
        <v>35.62083333</v>
      </c>
      <c r="N59" s="3">
        <f t="shared" si="22"/>
        <v>35.62083333</v>
      </c>
      <c r="O59" s="3">
        <f t="shared" si="22"/>
        <v>35.62083333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213.73</v>
      </c>
      <c r="W59" s="3">
        <v>2564.7</v>
      </c>
      <c r="X59" s="3">
        <f t="shared" si="23"/>
        <v>0</v>
      </c>
      <c r="Y59" s="2"/>
      <c r="Z59" s="2"/>
      <c r="AA59" s="2"/>
      <c r="AB59" s="2"/>
      <c r="AC59" s="2"/>
      <c r="AD59" s="2"/>
    </row>
    <row r="60" ht="12.75" customHeight="1">
      <c r="A60" s="15">
        <v>43710.0</v>
      </c>
      <c r="B60" s="16">
        <v>34825.0</v>
      </c>
      <c r="C60" s="68" t="s">
        <v>126</v>
      </c>
      <c r="D60" s="7" t="s">
        <v>124</v>
      </c>
      <c r="E60" s="3">
        <v>2564.7</v>
      </c>
      <c r="F60" s="17"/>
      <c r="G60" s="3"/>
      <c r="H60" s="3">
        <v>2564.7</v>
      </c>
      <c r="I60" s="4"/>
      <c r="J60" s="3">
        <f t="shared" si="14"/>
        <v>35.62083333</v>
      </c>
      <c r="K60" s="3">
        <f t="shared" ref="K60:O60" si="24">+$H60/$I$30/12</f>
        <v>35.62083333</v>
      </c>
      <c r="L60" s="3">
        <f t="shared" si="24"/>
        <v>35.62083333</v>
      </c>
      <c r="M60" s="3">
        <f t="shared" si="24"/>
        <v>35.62083333</v>
      </c>
      <c r="N60" s="3">
        <f t="shared" si="24"/>
        <v>35.62083333</v>
      </c>
      <c r="O60" s="3">
        <f t="shared" si="24"/>
        <v>35.62083333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213.73</v>
      </c>
      <c r="W60" s="3">
        <v>2564.7</v>
      </c>
      <c r="X60" s="3">
        <f t="shared" si="23"/>
        <v>0</v>
      </c>
      <c r="Y60" s="2"/>
      <c r="Z60" s="2"/>
      <c r="AA60" s="2"/>
      <c r="AB60" s="2"/>
      <c r="AC60" s="2"/>
      <c r="AD60" s="2"/>
    </row>
    <row r="61" ht="12.75" customHeight="1">
      <c r="A61" s="15">
        <v>43710.0</v>
      </c>
      <c r="B61" s="16">
        <v>34825.0</v>
      </c>
      <c r="C61" s="68" t="s">
        <v>127</v>
      </c>
      <c r="D61" s="7" t="s">
        <v>124</v>
      </c>
      <c r="E61" s="3">
        <v>2564.7</v>
      </c>
      <c r="F61" s="17"/>
      <c r="G61" s="3"/>
      <c r="H61" s="3">
        <v>2564.7</v>
      </c>
      <c r="I61" s="4"/>
      <c r="J61" s="3">
        <f t="shared" si="14"/>
        <v>35.62083333</v>
      </c>
      <c r="K61" s="3">
        <f t="shared" ref="K61:O61" si="25">+$H61/$I$30/12</f>
        <v>35.62083333</v>
      </c>
      <c r="L61" s="3">
        <f t="shared" si="25"/>
        <v>35.62083333</v>
      </c>
      <c r="M61" s="3">
        <f t="shared" si="25"/>
        <v>35.62083333</v>
      </c>
      <c r="N61" s="3">
        <f t="shared" si="25"/>
        <v>35.62083333</v>
      </c>
      <c r="O61" s="3">
        <f t="shared" si="25"/>
        <v>35.62083333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213.73</v>
      </c>
      <c r="W61" s="3">
        <v>2564.7</v>
      </c>
      <c r="X61" s="3">
        <f t="shared" si="23"/>
        <v>0</v>
      </c>
      <c r="Y61" s="2"/>
      <c r="Z61" s="2"/>
      <c r="AA61" s="2"/>
      <c r="AB61" s="2"/>
      <c r="AC61" s="2"/>
      <c r="AD61" s="2"/>
    </row>
    <row r="62" ht="12.75" customHeight="1">
      <c r="A62" s="15">
        <v>43710.0</v>
      </c>
      <c r="B62" s="16">
        <v>34825.0</v>
      </c>
      <c r="C62" s="68" t="s">
        <v>128</v>
      </c>
      <c r="D62" s="7" t="s">
        <v>124</v>
      </c>
      <c r="E62" s="3">
        <v>2564.7</v>
      </c>
      <c r="F62" s="17"/>
      <c r="G62" s="3"/>
      <c r="H62" s="3">
        <v>2564.7</v>
      </c>
      <c r="I62" s="4"/>
      <c r="J62" s="3">
        <f t="shared" si="14"/>
        <v>35.62083333</v>
      </c>
      <c r="K62" s="3">
        <f t="shared" ref="K62:O62" si="26">+$H62/$I$30/12</f>
        <v>35.62083333</v>
      </c>
      <c r="L62" s="3">
        <f t="shared" si="26"/>
        <v>35.62083333</v>
      </c>
      <c r="M62" s="3">
        <f t="shared" si="26"/>
        <v>35.62083333</v>
      </c>
      <c r="N62" s="3">
        <f t="shared" si="26"/>
        <v>35.62083333</v>
      </c>
      <c r="O62" s="3">
        <f t="shared" si="26"/>
        <v>35.62083333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213.73</v>
      </c>
      <c r="W62" s="3">
        <v>2564.7</v>
      </c>
      <c r="X62" s="3">
        <f t="shared" si="23"/>
        <v>0</v>
      </c>
      <c r="Y62" s="2"/>
      <c r="Z62" s="2"/>
      <c r="AA62" s="2"/>
      <c r="AB62" s="2"/>
      <c r="AC62" s="2"/>
      <c r="AD62" s="2"/>
    </row>
    <row r="63" ht="12.75" customHeight="1">
      <c r="A63" s="15">
        <v>43710.0</v>
      </c>
      <c r="B63" s="16">
        <v>34825.0</v>
      </c>
      <c r="C63" s="68" t="s">
        <v>129</v>
      </c>
      <c r="D63" s="7" t="s">
        <v>124</v>
      </c>
      <c r="E63" s="3">
        <v>2564.7</v>
      </c>
      <c r="F63" s="17"/>
      <c r="G63" s="3"/>
      <c r="H63" s="3">
        <v>2564.7</v>
      </c>
      <c r="I63" s="4"/>
      <c r="J63" s="3">
        <f t="shared" si="14"/>
        <v>35.62083333</v>
      </c>
      <c r="K63" s="3">
        <f t="shared" ref="K63:O63" si="27">+$H63/$I$30/12</f>
        <v>35.62083333</v>
      </c>
      <c r="L63" s="3">
        <f t="shared" si="27"/>
        <v>35.62083333</v>
      </c>
      <c r="M63" s="3">
        <f t="shared" si="27"/>
        <v>35.62083333</v>
      </c>
      <c r="N63" s="3">
        <f t="shared" si="27"/>
        <v>35.62083333</v>
      </c>
      <c r="O63" s="3">
        <f t="shared" si="27"/>
        <v>35.62083333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213.73</v>
      </c>
      <c r="W63" s="3">
        <v>2564.7</v>
      </c>
      <c r="X63" s="3">
        <f t="shared" si="23"/>
        <v>0</v>
      </c>
      <c r="Y63" s="2"/>
      <c r="Z63" s="2"/>
      <c r="AA63" s="2"/>
      <c r="AB63" s="2"/>
      <c r="AC63" s="2"/>
      <c r="AD63" s="2"/>
    </row>
    <row r="64" ht="12.75" customHeight="1">
      <c r="A64" s="15">
        <v>43710.0</v>
      </c>
      <c r="B64" s="16">
        <v>34825.0</v>
      </c>
      <c r="C64" s="68" t="s">
        <v>130</v>
      </c>
      <c r="D64" s="7" t="s">
        <v>124</v>
      </c>
      <c r="E64" s="3">
        <v>2564.7</v>
      </c>
      <c r="F64" s="17"/>
      <c r="G64" s="3"/>
      <c r="H64" s="3">
        <v>2564.7</v>
      </c>
      <c r="I64" s="4"/>
      <c r="J64" s="3">
        <f t="shared" si="14"/>
        <v>35.62083333</v>
      </c>
      <c r="K64" s="3">
        <f t="shared" ref="K64:O64" si="28">+$H64/$I$30/12</f>
        <v>35.62083333</v>
      </c>
      <c r="L64" s="3">
        <f t="shared" si="28"/>
        <v>35.62083333</v>
      </c>
      <c r="M64" s="3">
        <f t="shared" si="28"/>
        <v>35.62083333</v>
      </c>
      <c r="N64" s="3">
        <f t="shared" si="28"/>
        <v>35.62083333</v>
      </c>
      <c r="O64" s="3">
        <f t="shared" si="28"/>
        <v>35.62083333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213.73</v>
      </c>
      <c r="W64" s="3">
        <v>2564.7</v>
      </c>
      <c r="X64" s="3">
        <f t="shared" si="23"/>
        <v>0</v>
      </c>
      <c r="Y64" s="2"/>
      <c r="Z64" s="2"/>
      <c r="AA64" s="2"/>
      <c r="AB64" s="2"/>
      <c r="AC64" s="2"/>
      <c r="AD64" s="2"/>
    </row>
    <row r="65" ht="12.75" customHeight="1">
      <c r="A65" s="15">
        <v>43710.0</v>
      </c>
      <c r="B65" s="16">
        <v>34825.0</v>
      </c>
      <c r="C65" s="68" t="s">
        <v>131</v>
      </c>
      <c r="D65" s="7" t="s">
        <v>124</v>
      </c>
      <c r="E65" s="3">
        <v>2564.7</v>
      </c>
      <c r="F65" s="17"/>
      <c r="G65" s="3"/>
      <c r="H65" s="3">
        <v>2564.7</v>
      </c>
      <c r="I65" s="4"/>
      <c r="J65" s="3">
        <f t="shared" si="14"/>
        <v>35.62083333</v>
      </c>
      <c r="K65" s="3">
        <f t="shared" ref="K65:O65" si="29">+$H65/$I$30/12</f>
        <v>35.62083333</v>
      </c>
      <c r="L65" s="3">
        <f t="shared" si="29"/>
        <v>35.62083333</v>
      </c>
      <c r="M65" s="3">
        <f t="shared" si="29"/>
        <v>35.62083333</v>
      </c>
      <c r="N65" s="3">
        <f t="shared" si="29"/>
        <v>35.62083333</v>
      </c>
      <c r="O65" s="3">
        <f t="shared" si="29"/>
        <v>35.62083333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0.0</v>
      </c>
      <c r="V65" s="3">
        <v>213.73</v>
      </c>
      <c r="W65" s="3">
        <v>2564.7</v>
      </c>
      <c r="X65" s="3">
        <f t="shared" si="23"/>
        <v>0</v>
      </c>
      <c r="Y65" s="2"/>
      <c r="Z65" s="2"/>
      <c r="AA65" s="2"/>
      <c r="AB65" s="2"/>
      <c r="AC65" s="2"/>
      <c r="AD65" s="2"/>
    </row>
    <row r="66" ht="12.75" customHeight="1">
      <c r="A66" s="15">
        <v>43710.0</v>
      </c>
      <c r="B66" s="16">
        <v>34825.0</v>
      </c>
      <c r="C66" s="68" t="s">
        <v>132</v>
      </c>
      <c r="D66" s="7" t="s">
        <v>124</v>
      </c>
      <c r="E66" s="3">
        <v>2564.7</v>
      </c>
      <c r="F66" s="17"/>
      <c r="G66" s="3"/>
      <c r="H66" s="3">
        <v>2564.7</v>
      </c>
      <c r="I66" s="4"/>
      <c r="J66" s="3">
        <f t="shared" si="14"/>
        <v>35.62083333</v>
      </c>
      <c r="K66" s="3">
        <f t="shared" ref="K66:O66" si="30">+$H66/$I$30/12</f>
        <v>35.62083333</v>
      </c>
      <c r="L66" s="3">
        <f t="shared" si="30"/>
        <v>35.62083333</v>
      </c>
      <c r="M66" s="3">
        <f t="shared" si="30"/>
        <v>35.62083333</v>
      </c>
      <c r="N66" s="3">
        <f t="shared" si="30"/>
        <v>35.62083333</v>
      </c>
      <c r="O66" s="3">
        <f t="shared" si="30"/>
        <v>35.62083333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213.73</v>
      </c>
      <c r="W66" s="3">
        <v>2564.7</v>
      </c>
      <c r="X66" s="3">
        <f t="shared" si="23"/>
        <v>0</v>
      </c>
      <c r="Y66" s="2"/>
      <c r="Z66" s="2"/>
      <c r="AA66" s="2"/>
      <c r="AB66" s="2"/>
      <c r="AC66" s="2"/>
      <c r="AD66" s="2"/>
    </row>
    <row r="67" ht="12.75" customHeight="1">
      <c r="A67" s="15">
        <v>43710.0</v>
      </c>
      <c r="B67" s="16">
        <v>34825.0</v>
      </c>
      <c r="C67" s="68" t="s">
        <v>133</v>
      </c>
      <c r="D67" s="7" t="s">
        <v>124</v>
      </c>
      <c r="E67" s="3">
        <v>2564.7</v>
      </c>
      <c r="F67" s="17"/>
      <c r="G67" s="3"/>
      <c r="H67" s="3">
        <v>2564.7</v>
      </c>
      <c r="I67" s="4"/>
      <c r="J67" s="3">
        <f t="shared" si="14"/>
        <v>35.62083333</v>
      </c>
      <c r="K67" s="3">
        <f t="shared" ref="K67:O67" si="31">+$H67/$I$30/12</f>
        <v>35.62083333</v>
      </c>
      <c r="L67" s="3">
        <f t="shared" si="31"/>
        <v>35.62083333</v>
      </c>
      <c r="M67" s="3">
        <f t="shared" si="31"/>
        <v>35.62083333</v>
      </c>
      <c r="N67" s="3">
        <f t="shared" si="31"/>
        <v>35.62083333</v>
      </c>
      <c r="O67" s="3">
        <f t="shared" si="31"/>
        <v>35.62083333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213.73</v>
      </c>
      <c r="W67" s="3">
        <v>2564.7</v>
      </c>
      <c r="X67" s="3">
        <f t="shared" si="23"/>
        <v>0</v>
      </c>
      <c r="Y67" s="2"/>
      <c r="Z67" s="2"/>
      <c r="AA67" s="2"/>
      <c r="AB67" s="2"/>
      <c r="AC67" s="2"/>
      <c r="AD67" s="2"/>
    </row>
    <row r="68" ht="12.75" customHeight="1">
      <c r="A68" s="15">
        <v>44791.0</v>
      </c>
      <c r="B68" s="16" t="s">
        <v>31</v>
      </c>
      <c r="C68" s="68" t="s">
        <v>134</v>
      </c>
      <c r="D68" s="7" t="s">
        <v>52</v>
      </c>
      <c r="E68" s="17">
        <v>13715.0</v>
      </c>
      <c r="F68" s="17"/>
      <c r="G68" s="3"/>
      <c r="H68" s="3">
        <v>13715.0</v>
      </c>
      <c r="I68" s="4"/>
      <c r="J68" s="3">
        <f t="shared" si="14"/>
        <v>190.4861111</v>
      </c>
      <c r="K68" s="3">
        <f t="shared" ref="K68:U68" si="32">+$H68/$I$30/12</f>
        <v>190.4861111</v>
      </c>
      <c r="L68" s="3">
        <f t="shared" si="32"/>
        <v>190.4861111</v>
      </c>
      <c r="M68" s="3">
        <f t="shared" si="32"/>
        <v>190.4861111</v>
      </c>
      <c r="N68" s="3">
        <f t="shared" si="32"/>
        <v>190.4861111</v>
      </c>
      <c r="O68" s="3">
        <f t="shared" si="32"/>
        <v>190.4861111</v>
      </c>
      <c r="P68" s="3">
        <f t="shared" si="32"/>
        <v>190.4861111</v>
      </c>
      <c r="Q68" s="3">
        <f t="shared" si="32"/>
        <v>190.4861111</v>
      </c>
      <c r="R68" s="3">
        <f t="shared" si="32"/>
        <v>190.4861111</v>
      </c>
      <c r="S68" s="3">
        <f t="shared" si="32"/>
        <v>190.4861111</v>
      </c>
      <c r="T68" s="3">
        <f t="shared" si="32"/>
        <v>190.4861111</v>
      </c>
      <c r="U68" s="3">
        <f t="shared" si="32"/>
        <v>190.4861111</v>
      </c>
      <c r="V68" s="3">
        <f t="shared" ref="V68:V70" si="34">SUM(J68:U68)</f>
        <v>2285.833333</v>
      </c>
      <c r="W68" s="3">
        <f>'FAR25'!V28+V68</f>
        <v>8081.829909</v>
      </c>
      <c r="X68" s="3">
        <f t="shared" ref="X68:X70" si="35">H68-W68</f>
        <v>5633.170091</v>
      </c>
      <c r="Y68" s="2"/>
      <c r="Z68" s="2"/>
      <c r="AA68" s="2"/>
      <c r="AB68" s="2"/>
      <c r="AC68" s="2"/>
      <c r="AD68" s="2"/>
    </row>
    <row r="69" ht="12.75" customHeight="1">
      <c r="A69" s="15">
        <v>45817.0</v>
      </c>
      <c r="B69" s="16" t="s">
        <v>69</v>
      </c>
      <c r="C69" s="68" t="s">
        <v>135</v>
      </c>
      <c r="D69" s="7" t="s">
        <v>70</v>
      </c>
      <c r="E69" s="17"/>
      <c r="F69" s="80">
        <v>38261.41</v>
      </c>
      <c r="G69" s="81"/>
      <c r="H69" s="81">
        <v>38261.41</v>
      </c>
      <c r="I69" s="4"/>
      <c r="J69" s="3">
        <v>0.0</v>
      </c>
      <c r="K69" s="3"/>
      <c r="L69" s="3"/>
      <c r="M69" s="3">
        <f>+$H69/$I$30/365*(30-9)</f>
        <v>366.8902329</v>
      </c>
      <c r="N69" s="3">
        <f t="shared" ref="N69:U69" si="33">+$H69/$I$30/12</f>
        <v>531.4084722</v>
      </c>
      <c r="O69" s="3">
        <f t="shared" si="33"/>
        <v>531.4084722</v>
      </c>
      <c r="P69" s="3">
        <f t="shared" si="33"/>
        <v>531.4084722</v>
      </c>
      <c r="Q69" s="3">
        <f t="shared" si="33"/>
        <v>531.4084722</v>
      </c>
      <c r="R69" s="3">
        <f t="shared" si="33"/>
        <v>531.4084722</v>
      </c>
      <c r="S69" s="3">
        <f t="shared" si="33"/>
        <v>531.4084722</v>
      </c>
      <c r="T69" s="3">
        <f t="shared" si="33"/>
        <v>531.4084722</v>
      </c>
      <c r="U69" s="3">
        <f t="shared" si="33"/>
        <v>531.4084722</v>
      </c>
      <c r="V69" s="3">
        <f t="shared" si="34"/>
        <v>4618.158011</v>
      </c>
      <c r="W69" s="3">
        <f>'FAR25'!V29+V69</f>
        <v>4618.158011</v>
      </c>
      <c r="X69" s="3">
        <f t="shared" si="35"/>
        <v>33643.25199</v>
      </c>
      <c r="Y69" s="2"/>
      <c r="Z69" s="2"/>
      <c r="AA69" s="2"/>
      <c r="AB69" s="2"/>
      <c r="AC69" s="2"/>
      <c r="AD69" s="2"/>
    </row>
    <row r="70" ht="12.75" customHeight="1">
      <c r="A70" s="15">
        <v>45938.0</v>
      </c>
      <c r="B70" s="16" t="s">
        <v>136</v>
      </c>
      <c r="C70" s="68" t="s">
        <v>137</v>
      </c>
      <c r="D70" s="7" t="s">
        <v>138</v>
      </c>
      <c r="E70" s="17"/>
      <c r="F70" s="80">
        <v>72403.0</v>
      </c>
      <c r="G70" s="81"/>
      <c r="H70" s="81">
        <f>F70</f>
        <v>72403</v>
      </c>
      <c r="I70" s="4"/>
      <c r="J70" s="3"/>
      <c r="K70" s="3"/>
      <c r="L70" s="3"/>
      <c r="M70" s="3"/>
      <c r="N70" s="3"/>
      <c r="O70" s="3"/>
      <c r="P70" s="3"/>
      <c r="Q70" s="3">
        <f>+$H70/$I$30/365*(31-8)</f>
        <v>760.3968037</v>
      </c>
      <c r="R70" s="3">
        <f t="shared" ref="R70:U70" si="36">+$H70/$I$30/12</f>
        <v>1005.597222</v>
      </c>
      <c r="S70" s="3">
        <f t="shared" si="36"/>
        <v>1005.597222</v>
      </c>
      <c r="T70" s="3">
        <f t="shared" si="36"/>
        <v>1005.597222</v>
      </c>
      <c r="U70" s="3">
        <f t="shared" si="36"/>
        <v>1005.597222</v>
      </c>
      <c r="V70" s="3">
        <f t="shared" si="34"/>
        <v>4782.785693</v>
      </c>
      <c r="W70" s="3">
        <f>V70</f>
        <v>4782.785693</v>
      </c>
      <c r="X70" s="3">
        <f t="shared" si="35"/>
        <v>67620.21431</v>
      </c>
      <c r="Y70" s="2"/>
      <c r="Z70" s="2"/>
      <c r="AA70" s="2"/>
      <c r="AB70" s="2"/>
      <c r="AC70" s="2"/>
      <c r="AD70" s="2"/>
    </row>
    <row r="71" ht="12.75" customHeight="1">
      <c r="A71" s="15"/>
      <c r="B71" s="16"/>
      <c r="C71" s="68"/>
      <c r="D71" s="7"/>
      <c r="E71" s="3"/>
      <c r="F71" s="17"/>
      <c r="G71" s="3"/>
      <c r="H71" s="3"/>
      <c r="I71" s="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2"/>
      <c r="Z71" s="2"/>
      <c r="AA71" s="2"/>
      <c r="AB71" s="2"/>
      <c r="AC71" s="2"/>
      <c r="AD71" s="2"/>
    </row>
    <row r="72" ht="12.75" customHeight="1">
      <c r="A72" s="23"/>
      <c r="B72" s="23"/>
      <c r="C72" s="82"/>
      <c r="D72" s="23"/>
      <c r="E72" s="22">
        <f t="shared" ref="E72:F72" si="37">SUM(E30:E71)</f>
        <v>197497</v>
      </c>
      <c r="F72" s="22">
        <f t="shared" si="37"/>
        <v>110664.41</v>
      </c>
      <c r="G72" s="22">
        <f>SUM(G30:G53)</f>
        <v>0</v>
      </c>
      <c r="H72" s="22">
        <f>SUM(E72:G72)</f>
        <v>308161.41</v>
      </c>
      <c r="I72" s="4"/>
      <c r="J72" s="22">
        <f t="shared" ref="J72:X72" si="38">SUM(J32:J71)</f>
        <v>1134.347222</v>
      </c>
      <c r="K72" s="22">
        <f t="shared" si="38"/>
        <v>1049.500556</v>
      </c>
      <c r="L72" s="22">
        <f t="shared" si="38"/>
        <v>765.6805556</v>
      </c>
      <c r="M72" s="22">
        <f t="shared" si="38"/>
        <v>1132.570788</v>
      </c>
      <c r="N72" s="22">
        <f t="shared" si="38"/>
        <v>1297.089028</v>
      </c>
      <c r="O72" s="22">
        <f t="shared" si="38"/>
        <v>1297.089028</v>
      </c>
      <c r="P72" s="22">
        <f t="shared" si="38"/>
        <v>721.8945833</v>
      </c>
      <c r="Q72" s="22">
        <f t="shared" si="38"/>
        <v>1482.291387</v>
      </c>
      <c r="R72" s="22">
        <f t="shared" si="38"/>
        <v>1727.491806</v>
      </c>
      <c r="S72" s="22">
        <f t="shared" si="38"/>
        <v>1727.491806</v>
      </c>
      <c r="T72" s="22">
        <f t="shared" si="38"/>
        <v>1727.491806</v>
      </c>
      <c r="U72" s="22">
        <f t="shared" si="38"/>
        <v>1727.491806</v>
      </c>
      <c r="V72" s="22">
        <f t="shared" si="38"/>
        <v>15790.48037</v>
      </c>
      <c r="W72" s="22">
        <f t="shared" si="38"/>
        <v>201264.7666</v>
      </c>
      <c r="X72" s="22">
        <f t="shared" si="38"/>
        <v>106896.6434</v>
      </c>
      <c r="Y72" s="2"/>
      <c r="Z72" s="23"/>
      <c r="AA72" s="23"/>
      <c r="AB72" s="23"/>
      <c r="AC72" s="23"/>
      <c r="AD72" s="23"/>
    </row>
    <row r="73" ht="12.75" customHeight="1">
      <c r="A73" s="23"/>
      <c r="B73" s="23"/>
      <c r="C73" s="82"/>
      <c r="D73" s="23"/>
      <c r="E73" s="24"/>
      <c r="F73" s="24"/>
      <c r="G73" s="24"/>
      <c r="H73" s="24"/>
      <c r="I73" s="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"/>
      <c r="Z73" s="23"/>
      <c r="AA73" s="23"/>
      <c r="AB73" s="23"/>
      <c r="AC73" s="23"/>
      <c r="AD73" s="23"/>
    </row>
    <row r="74" ht="12.75" customHeight="1">
      <c r="A74" s="23"/>
      <c r="B74" s="23"/>
      <c r="C74" s="82"/>
      <c r="D74" s="23"/>
      <c r="E74" s="77">
        <v>197497.0</v>
      </c>
      <c r="F74" s="77">
        <v>110664.41</v>
      </c>
      <c r="G74" s="77">
        <v>0.0</v>
      </c>
      <c r="H74" s="77">
        <v>308161.41</v>
      </c>
      <c r="I74" s="78"/>
      <c r="J74" s="77">
        <v>1134.347222222222</v>
      </c>
      <c r="K74" s="77">
        <v>1049.500555555556</v>
      </c>
      <c r="L74" s="77">
        <v>765.6805555555555</v>
      </c>
      <c r="M74" s="77">
        <v>1132.570788432268</v>
      </c>
      <c r="N74" s="77">
        <v>1297.089027777778</v>
      </c>
      <c r="O74" s="77">
        <v>1297.089027777778</v>
      </c>
      <c r="P74" s="77">
        <v>721.8945833333333</v>
      </c>
      <c r="Q74" s="77">
        <v>1482.291386986301</v>
      </c>
      <c r="R74" s="77">
        <v>1727.491805555555</v>
      </c>
      <c r="S74" s="77">
        <v>1727.491805555555</v>
      </c>
      <c r="T74" s="77">
        <v>1727.491805555555</v>
      </c>
      <c r="U74" s="77">
        <v>0.0</v>
      </c>
      <c r="V74" s="77">
        <v>14062.93856430746</v>
      </c>
      <c r="W74" s="77">
        <v>199537.273358828</v>
      </c>
      <c r="X74" s="77">
        <v>108624.136641172</v>
      </c>
      <c r="Y74" s="2"/>
      <c r="Z74" s="23"/>
      <c r="AA74" s="23"/>
      <c r="AB74" s="23"/>
      <c r="AC74" s="23"/>
      <c r="AD74" s="23"/>
    </row>
    <row r="75" ht="12.75" customHeight="1">
      <c r="A75" s="23"/>
      <c r="B75" s="23"/>
      <c r="C75" s="82"/>
      <c r="D75" s="23"/>
      <c r="E75" s="24"/>
      <c r="F75" s="24"/>
      <c r="G75" s="24"/>
      <c r="H75" s="24"/>
      <c r="I75" s="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"/>
      <c r="Z75" s="23"/>
      <c r="AA75" s="23"/>
      <c r="AB75" s="23"/>
      <c r="AC75" s="23"/>
      <c r="AD75" s="23"/>
    </row>
    <row r="76" ht="12.75" customHeight="1">
      <c r="A76" s="8" t="s">
        <v>2</v>
      </c>
      <c r="B76" s="8" t="s">
        <v>3</v>
      </c>
      <c r="C76" s="79"/>
      <c r="D76" s="8" t="s">
        <v>4</v>
      </c>
      <c r="E76" s="9" t="s">
        <v>18</v>
      </c>
      <c r="F76" s="9" t="s">
        <v>6</v>
      </c>
      <c r="G76" s="9" t="s">
        <v>20</v>
      </c>
      <c r="H76" s="9" t="s">
        <v>8</v>
      </c>
      <c r="I76" s="10" t="s">
        <v>9</v>
      </c>
      <c r="J76" s="11">
        <v>45747.0</v>
      </c>
      <c r="K76" s="11">
        <v>45777.0</v>
      </c>
      <c r="L76" s="11">
        <v>45808.0</v>
      </c>
      <c r="M76" s="11">
        <v>45838.0</v>
      </c>
      <c r="N76" s="11">
        <v>45869.0</v>
      </c>
      <c r="O76" s="11">
        <v>45900.0</v>
      </c>
      <c r="P76" s="11">
        <v>45930.0</v>
      </c>
      <c r="Q76" s="11">
        <v>45961.0</v>
      </c>
      <c r="R76" s="11">
        <v>45991.0</v>
      </c>
      <c r="S76" s="11">
        <v>46022.0</v>
      </c>
      <c r="T76" s="11">
        <v>46053.0</v>
      </c>
      <c r="U76" s="11">
        <v>46081.0</v>
      </c>
      <c r="V76" s="11" t="s">
        <v>10</v>
      </c>
      <c r="W76" s="11" t="s">
        <v>11</v>
      </c>
      <c r="X76" s="11" t="s">
        <v>61</v>
      </c>
      <c r="Y76" s="2"/>
      <c r="Z76" s="2"/>
      <c r="AA76" s="6"/>
      <c r="AB76" s="2"/>
      <c r="AC76" s="6"/>
      <c r="AD76" s="2"/>
    </row>
    <row r="77" ht="12.75" customHeight="1">
      <c r="A77" s="13" t="s">
        <v>24</v>
      </c>
      <c r="B77" s="2"/>
      <c r="C77" s="65"/>
      <c r="D77" s="2"/>
      <c r="E77" s="3"/>
      <c r="F77" s="14"/>
      <c r="G77" s="3"/>
      <c r="H77" s="3"/>
      <c r="I77" s="4" t="s">
        <v>25</v>
      </c>
      <c r="J77" s="13" t="str">
        <f>+A77</f>
        <v>6300&gt;020 (Motor Vehicles&gt;Cost)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2"/>
      <c r="Z77" s="2"/>
      <c r="AA77" s="2"/>
      <c r="AB77" s="2"/>
      <c r="AC77" s="2"/>
      <c r="AD77" s="2"/>
    </row>
    <row r="78" ht="12.75" customHeight="1">
      <c r="A78" s="8"/>
      <c r="B78" s="2"/>
      <c r="C78" s="65"/>
      <c r="D78" s="2"/>
      <c r="E78" s="3"/>
      <c r="F78" s="14"/>
      <c r="G78" s="3"/>
      <c r="H78" s="3"/>
      <c r="I78" s="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2"/>
      <c r="Z78" s="2"/>
      <c r="AA78" s="2"/>
      <c r="AB78" s="2"/>
      <c r="AC78" s="2"/>
      <c r="AD78" s="2"/>
    </row>
    <row r="79" ht="12.75" customHeight="1">
      <c r="A79" s="15">
        <v>42860.0</v>
      </c>
      <c r="B79" s="16">
        <v>8.900964E7</v>
      </c>
      <c r="C79" s="68" t="s">
        <v>139</v>
      </c>
      <c r="D79" s="7" t="s">
        <v>26</v>
      </c>
      <c r="E79" s="3">
        <f>'FAR21'!G31</f>
        <v>255969.92</v>
      </c>
      <c r="F79" s="17"/>
      <c r="G79" s="3"/>
      <c r="H79" s="3">
        <f>+E79+F79-G79</f>
        <v>255969.92</v>
      </c>
      <c r="I79" s="4"/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f>SUM(J79:U79)</f>
        <v>0</v>
      </c>
      <c r="W79" s="3">
        <f>'FAR25'!V35+V79</f>
        <v>255969.9194</v>
      </c>
      <c r="X79" s="3">
        <f>+H79-W79</f>
        <v>0.0005826484412</v>
      </c>
      <c r="Y79" s="2"/>
      <c r="Z79" s="2"/>
      <c r="AA79" s="2"/>
      <c r="AB79" s="2"/>
      <c r="AC79" s="2"/>
      <c r="AD79" s="2"/>
    </row>
    <row r="80" ht="12.75" customHeight="1">
      <c r="A80" s="7"/>
      <c r="B80" s="7"/>
      <c r="C80" s="83"/>
      <c r="D80" s="7"/>
      <c r="E80" s="3"/>
      <c r="F80" s="17"/>
      <c r="G80" s="3"/>
      <c r="H80" s="3"/>
      <c r="I80" s="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2"/>
      <c r="Z80" s="2"/>
      <c r="AA80" s="2"/>
      <c r="AB80" s="2"/>
      <c r="AC80" s="2"/>
      <c r="AD80" s="2"/>
    </row>
    <row r="81" ht="12.75" customHeight="1">
      <c r="A81" s="23"/>
      <c r="B81" s="23"/>
      <c r="C81" s="82"/>
      <c r="D81" s="23"/>
      <c r="E81" s="22">
        <f t="shared" ref="E81:G81" si="39">SUM(E79)</f>
        <v>255969.92</v>
      </c>
      <c r="F81" s="21">
        <f t="shared" si="39"/>
        <v>0</v>
      </c>
      <c r="G81" s="22">
        <f t="shared" si="39"/>
        <v>0</v>
      </c>
      <c r="H81" s="22">
        <f>SUM(E81:G81)</f>
        <v>255969.92</v>
      </c>
      <c r="I81" s="4"/>
      <c r="J81" s="22">
        <f t="shared" ref="J81:X81" si="40">SUM(J79)</f>
        <v>0</v>
      </c>
      <c r="K81" s="22">
        <f t="shared" si="40"/>
        <v>0</v>
      </c>
      <c r="L81" s="22">
        <f t="shared" si="40"/>
        <v>0</v>
      </c>
      <c r="M81" s="22">
        <f t="shared" si="40"/>
        <v>0</v>
      </c>
      <c r="N81" s="22">
        <f t="shared" si="40"/>
        <v>0</v>
      </c>
      <c r="O81" s="22">
        <f t="shared" si="40"/>
        <v>0</v>
      </c>
      <c r="P81" s="22">
        <f t="shared" si="40"/>
        <v>0</v>
      </c>
      <c r="Q81" s="22">
        <f t="shared" si="40"/>
        <v>0</v>
      </c>
      <c r="R81" s="22">
        <f t="shared" si="40"/>
        <v>0</v>
      </c>
      <c r="S81" s="22">
        <f t="shared" si="40"/>
        <v>0</v>
      </c>
      <c r="T81" s="22">
        <f t="shared" si="40"/>
        <v>0</v>
      </c>
      <c r="U81" s="22">
        <f t="shared" si="40"/>
        <v>0</v>
      </c>
      <c r="V81" s="22">
        <f t="shared" si="40"/>
        <v>0</v>
      </c>
      <c r="W81" s="22">
        <f t="shared" si="40"/>
        <v>255969.9194</v>
      </c>
      <c r="X81" s="22">
        <f t="shared" si="40"/>
        <v>0.0005826484412</v>
      </c>
      <c r="Y81" s="23"/>
      <c r="Z81" s="23"/>
      <c r="AA81" s="23"/>
      <c r="AB81" s="23"/>
      <c r="AC81" s="23"/>
      <c r="AD81" s="23"/>
    </row>
    <row r="82" ht="12.75" customHeight="1">
      <c r="A82" s="23"/>
      <c r="B82" s="23"/>
      <c r="C82" s="82"/>
      <c r="D82" s="23"/>
      <c r="E82" s="24"/>
      <c r="F82" s="14"/>
      <c r="G82" s="24"/>
      <c r="H82" s="24"/>
      <c r="I82" s="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3"/>
      <c r="Z82" s="23"/>
      <c r="AA82" s="23"/>
      <c r="AB82" s="23"/>
      <c r="AC82" s="23"/>
      <c r="AD82" s="23"/>
    </row>
    <row r="83" ht="12.75" customHeight="1">
      <c r="A83" s="23"/>
      <c r="B83" s="23"/>
      <c r="C83" s="82"/>
      <c r="D83" s="23"/>
      <c r="E83" s="24"/>
      <c r="F83" s="14"/>
      <c r="G83" s="24"/>
      <c r="H83" s="24"/>
      <c r="I83" s="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3"/>
      <c r="Z83" s="23"/>
      <c r="AA83" s="23"/>
      <c r="AB83" s="23"/>
      <c r="AC83" s="23"/>
      <c r="AD83" s="23"/>
    </row>
    <row r="84" ht="12.75" customHeight="1">
      <c r="A84" s="8" t="s">
        <v>2</v>
      </c>
      <c r="B84" s="8" t="s">
        <v>3</v>
      </c>
      <c r="C84" s="79"/>
      <c r="D84" s="8" t="s">
        <v>4</v>
      </c>
      <c r="E84" s="9" t="s">
        <v>18</v>
      </c>
      <c r="F84" s="9" t="s">
        <v>6</v>
      </c>
      <c r="G84" s="9" t="s">
        <v>20</v>
      </c>
      <c r="H84" s="9" t="s">
        <v>8</v>
      </c>
      <c r="I84" s="10" t="s">
        <v>9</v>
      </c>
      <c r="J84" s="11">
        <v>45747.0</v>
      </c>
      <c r="K84" s="11">
        <v>45777.0</v>
      </c>
      <c r="L84" s="11">
        <v>45808.0</v>
      </c>
      <c r="M84" s="11">
        <v>45838.0</v>
      </c>
      <c r="N84" s="11">
        <v>45869.0</v>
      </c>
      <c r="O84" s="11">
        <v>45900.0</v>
      </c>
      <c r="P84" s="11">
        <v>45930.0</v>
      </c>
      <c r="Q84" s="11">
        <v>45961.0</v>
      </c>
      <c r="R84" s="11">
        <v>45991.0</v>
      </c>
      <c r="S84" s="11">
        <v>46022.0</v>
      </c>
      <c r="T84" s="11">
        <v>46053.0</v>
      </c>
      <c r="U84" s="11">
        <v>46081.0</v>
      </c>
      <c r="V84" s="11" t="s">
        <v>10</v>
      </c>
      <c r="W84" s="11" t="s">
        <v>11</v>
      </c>
      <c r="X84" s="11" t="s">
        <v>61</v>
      </c>
      <c r="Y84" s="2"/>
      <c r="Z84" s="2"/>
      <c r="AA84" s="2"/>
      <c r="AB84" s="2"/>
      <c r="AC84" s="2"/>
      <c r="AD84" s="2"/>
    </row>
    <row r="85" ht="12.75" customHeight="1">
      <c r="A85" s="13" t="s">
        <v>58</v>
      </c>
      <c r="B85" s="8"/>
      <c r="C85" s="79"/>
      <c r="D85" s="8"/>
      <c r="E85" s="9"/>
      <c r="F85" s="9"/>
      <c r="G85" s="9"/>
      <c r="H85" s="9"/>
      <c r="I85" s="10"/>
      <c r="J85" s="35" t="str">
        <f>+A85</f>
        <v>6400&gt;020 (Office Equipment&gt;Cost)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2"/>
      <c r="Z85" s="2"/>
      <c r="AA85" s="2"/>
      <c r="AB85" s="2"/>
      <c r="AC85" s="2"/>
      <c r="AD85" s="2"/>
    </row>
    <row r="86" ht="12.75" customHeight="1">
      <c r="A86" s="2"/>
      <c r="B86" s="2"/>
      <c r="C86" s="65"/>
      <c r="D86" s="2"/>
      <c r="E86" s="14"/>
      <c r="F86" s="3"/>
      <c r="G86" s="3"/>
      <c r="H86" s="3"/>
      <c r="I86" s="4" t="s">
        <v>22</v>
      </c>
      <c r="J86" s="1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2"/>
      <c r="Z86" s="2"/>
      <c r="AA86" s="2"/>
      <c r="AB86" s="2"/>
      <c r="AC86" s="2"/>
      <c r="AD86" s="2"/>
    </row>
    <row r="87" ht="12.75" customHeight="1">
      <c r="A87" s="6">
        <v>45139.0</v>
      </c>
      <c r="B87" s="2" t="s">
        <v>59</v>
      </c>
      <c r="C87" s="65" t="s">
        <v>140</v>
      </c>
      <c r="D87" s="2" t="s">
        <v>60</v>
      </c>
      <c r="E87" s="3">
        <v>44100.0</v>
      </c>
      <c r="F87" s="2"/>
      <c r="G87" s="3"/>
      <c r="H87" s="3">
        <v>44100.0</v>
      </c>
      <c r="I87" s="4"/>
      <c r="J87" s="3">
        <f t="shared" ref="J87:U87" si="41">+$H87/$I$86/12</f>
        <v>612.5</v>
      </c>
      <c r="K87" s="3">
        <f t="shared" si="41"/>
        <v>612.5</v>
      </c>
      <c r="L87" s="3">
        <f t="shared" si="41"/>
        <v>612.5</v>
      </c>
      <c r="M87" s="3">
        <f t="shared" si="41"/>
        <v>612.5</v>
      </c>
      <c r="N87" s="3">
        <f t="shared" si="41"/>
        <v>612.5</v>
      </c>
      <c r="O87" s="3">
        <f t="shared" si="41"/>
        <v>612.5</v>
      </c>
      <c r="P87" s="3">
        <f t="shared" si="41"/>
        <v>612.5</v>
      </c>
      <c r="Q87" s="3">
        <f t="shared" si="41"/>
        <v>612.5</v>
      </c>
      <c r="R87" s="3">
        <f t="shared" si="41"/>
        <v>612.5</v>
      </c>
      <c r="S87" s="3">
        <f t="shared" si="41"/>
        <v>612.5</v>
      </c>
      <c r="T87" s="3">
        <f t="shared" si="41"/>
        <v>612.5</v>
      </c>
      <c r="U87" s="3">
        <f t="shared" si="41"/>
        <v>612.5</v>
      </c>
      <c r="V87" s="3">
        <f t="shared" ref="V87:V90" si="43">SUM(J87:U87)</f>
        <v>7350</v>
      </c>
      <c r="W87" s="3">
        <f>'FAR25'!V43+V87</f>
        <v>18987.5</v>
      </c>
      <c r="X87" s="3">
        <f t="shared" ref="X87:X90" si="44">H87-W87</f>
        <v>25112.5</v>
      </c>
      <c r="Y87" s="2"/>
      <c r="Z87" s="2"/>
      <c r="AA87" s="2"/>
      <c r="AB87" s="2"/>
      <c r="AC87" s="2"/>
      <c r="AD87" s="2"/>
    </row>
    <row r="88" ht="12.75" customHeight="1">
      <c r="A88" s="6">
        <v>45870.0</v>
      </c>
      <c r="B88" s="2" t="s">
        <v>71</v>
      </c>
      <c r="C88" s="65" t="s">
        <v>141</v>
      </c>
      <c r="D88" s="2" t="s">
        <v>72</v>
      </c>
      <c r="E88" s="14"/>
      <c r="F88" s="3">
        <v>4021.04</v>
      </c>
      <c r="G88" s="3"/>
      <c r="H88" s="3">
        <v>4021.06</v>
      </c>
      <c r="I88" s="4"/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f t="shared" ref="O88:U88" si="42">+$H88/$I$86/12</f>
        <v>55.84805556</v>
      </c>
      <c r="P88" s="3">
        <f t="shared" si="42"/>
        <v>55.84805556</v>
      </c>
      <c r="Q88" s="3">
        <f t="shared" si="42"/>
        <v>55.84805556</v>
      </c>
      <c r="R88" s="3">
        <f t="shared" si="42"/>
        <v>55.84805556</v>
      </c>
      <c r="S88" s="3">
        <f t="shared" si="42"/>
        <v>55.84805556</v>
      </c>
      <c r="T88" s="3">
        <f t="shared" si="42"/>
        <v>55.84805556</v>
      </c>
      <c r="U88" s="3">
        <f t="shared" si="42"/>
        <v>55.84805556</v>
      </c>
      <c r="V88" s="3">
        <f t="shared" si="43"/>
        <v>390.9363889</v>
      </c>
      <c r="W88" s="3">
        <f>'FAR25'!V44+V88</f>
        <v>390.9363889</v>
      </c>
      <c r="X88" s="3">
        <f t="shared" si="44"/>
        <v>3630.123611</v>
      </c>
      <c r="Y88" s="2"/>
      <c r="Z88" s="2"/>
      <c r="AA88" s="2"/>
      <c r="AB88" s="2"/>
      <c r="AC88" s="2"/>
      <c r="AD88" s="2"/>
    </row>
    <row r="89" ht="12.75" customHeight="1">
      <c r="A89" s="6">
        <v>45903.0</v>
      </c>
      <c r="B89" s="2" t="s">
        <v>73</v>
      </c>
      <c r="C89" s="65" t="s">
        <v>142</v>
      </c>
      <c r="D89" s="2" t="s">
        <v>74</v>
      </c>
      <c r="E89" s="14"/>
      <c r="F89" s="3">
        <v>33677.14</v>
      </c>
      <c r="G89" s="3"/>
      <c r="H89" s="3">
        <v>33677.14</v>
      </c>
      <c r="I89" s="4"/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>
        <v>0.0</v>
      </c>
      <c r="P89" s="3">
        <f>+$H89/$I$86/365*(30-3)</f>
        <v>415.1976164</v>
      </c>
      <c r="Q89" s="3">
        <f t="shared" ref="Q89:U89" si="45">+$H89/$I$86/12</f>
        <v>467.7380556</v>
      </c>
      <c r="R89" s="3">
        <f t="shared" si="45"/>
        <v>467.7380556</v>
      </c>
      <c r="S89" s="3">
        <f t="shared" si="45"/>
        <v>467.7380556</v>
      </c>
      <c r="T89" s="3">
        <f t="shared" si="45"/>
        <v>467.7380556</v>
      </c>
      <c r="U89" s="3">
        <f t="shared" si="45"/>
        <v>467.7380556</v>
      </c>
      <c r="V89" s="3">
        <f t="shared" si="43"/>
        <v>2753.887894</v>
      </c>
      <c r="W89" s="3">
        <f t="shared" ref="W89:W90" si="47">V89</f>
        <v>2753.887894</v>
      </c>
      <c r="X89" s="3">
        <f t="shared" si="44"/>
        <v>30923.25211</v>
      </c>
      <c r="Y89" s="2"/>
      <c r="Z89" s="2"/>
      <c r="AA89" s="2"/>
      <c r="AB89" s="2"/>
      <c r="AC89" s="2"/>
      <c r="AD89" s="2"/>
    </row>
    <row r="90" ht="12.75" customHeight="1">
      <c r="A90" s="6">
        <v>45926.0</v>
      </c>
      <c r="B90" s="2" t="s">
        <v>75</v>
      </c>
      <c r="C90" s="65" t="s">
        <v>143</v>
      </c>
      <c r="D90" s="2" t="s">
        <v>76</v>
      </c>
      <c r="E90" s="14"/>
      <c r="F90" s="3">
        <v>3353.4</v>
      </c>
      <c r="G90" s="3"/>
      <c r="H90" s="3">
        <f>F90</f>
        <v>3353.4</v>
      </c>
      <c r="I90" s="4"/>
      <c r="J90" s="3"/>
      <c r="K90" s="3"/>
      <c r="L90" s="3"/>
      <c r="M90" s="3"/>
      <c r="N90" s="3"/>
      <c r="O90" s="3"/>
      <c r="P90" s="3">
        <f>+$H90/$I$86/365*(30-26)</f>
        <v>6.124931507</v>
      </c>
      <c r="Q90" s="3">
        <f t="shared" ref="Q90:U90" si="46">+$H90/$I$86/12</f>
        <v>46.575</v>
      </c>
      <c r="R90" s="3">
        <f t="shared" si="46"/>
        <v>46.575</v>
      </c>
      <c r="S90" s="3">
        <f t="shared" si="46"/>
        <v>46.575</v>
      </c>
      <c r="T90" s="3">
        <f t="shared" si="46"/>
        <v>46.575</v>
      </c>
      <c r="U90" s="3">
        <f t="shared" si="46"/>
        <v>46.575</v>
      </c>
      <c r="V90" s="3">
        <f t="shared" si="43"/>
        <v>238.9999315</v>
      </c>
      <c r="W90" s="3">
        <f t="shared" si="47"/>
        <v>238.9999315</v>
      </c>
      <c r="X90" s="3">
        <f t="shared" si="44"/>
        <v>3114.400068</v>
      </c>
      <c r="Y90" s="2"/>
      <c r="Z90" s="2"/>
      <c r="AA90" s="2"/>
      <c r="AB90" s="2"/>
      <c r="AC90" s="2"/>
      <c r="AD90" s="2"/>
    </row>
    <row r="91" ht="12.75" customHeight="1">
      <c r="A91" s="2"/>
      <c r="B91" s="2"/>
      <c r="C91" s="65"/>
      <c r="D91" s="2"/>
      <c r="E91" s="14"/>
      <c r="F91" s="3"/>
      <c r="G91" s="3"/>
      <c r="H91" s="3"/>
      <c r="I91" s="4"/>
      <c r="J91" s="1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2"/>
      <c r="Z91" s="2"/>
      <c r="AA91" s="2"/>
      <c r="AB91" s="2"/>
      <c r="AC91" s="2"/>
      <c r="AD91" s="2"/>
    </row>
    <row r="92" ht="12.75" customHeight="1">
      <c r="A92" s="2"/>
      <c r="B92" s="2"/>
      <c r="C92" s="65"/>
      <c r="D92" s="2"/>
      <c r="E92" s="36">
        <f t="shared" ref="E92:F92" si="48">SUM(E87:E91)</f>
        <v>44100</v>
      </c>
      <c r="F92" s="36">
        <f t="shared" si="48"/>
        <v>41051.58</v>
      </c>
      <c r="G92" s="36"/>
      <c r="H92" s="36">
        <f>SUM(H87:H91)</f>
        <v>85151.6</v>
      </c>
      <c r="I92" s="4"/>
      <c r="J92" s="21">
        <f t="shared" ref="J92:X92" si="49">SUM(J87:J91)</f>
        <v>612.5</v>
      </c>
      <c r="K92" s="21">
        <f t="shared" si="49"/>
        <v>612.5</v>
      </c>
      <c r="L92" s="21">
        <f t="shared" si="49"/>
        <v>612.5</v>
      </c>
      <c r="M92" s="21">
        <f t="shared" si="49"/>
        <v>612.5</v>
      </c>
      <c r="N92" s="21">
        <f t="shared" si="49"/>
        <v>612.5</v>
      </c>
      <c r="O92" s="21">
        <f t="shared" si="49"/>
        <v>668.3480556</v>
      </c>
      <c r="P92" s="21">
        <f t="shared" si="49"/>
        <v>1089.670604</v>
      </c>
      <c r="Q92" s="21">
        <f t="shared" si="49"/>
        <v>1182.661111</v>
      </c>
      <c r="R92" s="21">
        <f t="shared" si="49"/>
        <v>1182.661111</v>
      </c>
      <c r="S92" s="21">
        <f t="shared" si="49"/>
        <v>1182.661111</v>
      </c>
      <c r="T92" s="21">
        <f t="shared" si="49"/>
        <v>1182.661111</v>
      </c>
      <c r="U92" s="21">
        <f t="shared" si="49"/>
        <v>1182.661111</v>
      </c>
      <c r="V92" s="21">
        <f t="shared" si="49"/>
        <v>10733.82421</v>
      </c>
      <c r="W92" s="21">
        <f t="shared" si="49"/>
        <v>22371.32421</v>
      </c>
      <c r="X92" s="21">
        <f t="shared" si="49"/>
        <v>62780.27579</v>
      </c>
      <c r="Y92" s="2"/>
      <c r="Z92" s="2"/>
      <c r="AA92" s="2"/>
      <c r="AB92" s="2"/>
      <c r="AC92" s="2"/>
      <c r="AD92" s="2"/>
    </row>
    <row r="93" ht="12.75" customHeight="1">
      <c r="A93" s="2"/>
      <c r="B93" s="2"/>
      <c r="C93" s="65"/>
      <c r="D93" s="2"/>
      <c r="E93" s="14"/>
      <c r="F93" s="3"/>
      <c r="G93" s="3"/>
      <c r="H93" s="3"/>
      <c r="I93" s="4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"/>
      <c r="W93" s="3"/>
      <c r="X93" s="3"/>
      <c r="Y93" s="2"/>
      <c r="Z93" s="2"/>
      <c r="AA93" s="2"/>
      <c r="AB93" s="2"/>
      <c r="AC93" s="2"/>
      <c r="AD93" s="2"/>
    </row>
    <row r="94" ht="12.75" customHeight="1">
      <c r="A94" s="8" t="s">
        <v>2</v>
      </c>
      <c r="B94" s="8" t="s">
        <v>3</v>
      </c>
      <c r="C94" s="79"/>
      <c r="D94" s="8" t="s">
        <v>4</v>
      </c>
      <c r="E94" s="9" t="s">
        <v>18</v>
      </c>
      <c r="F94" s="9" t="s">
        <v>6</v>
      </c>
      <c r="G94" s="9" t="s">
        <v>20</v>
      </c>
      <c r="H94" s="9" t="s">
        <v>8</v>
      </c>
      <c r="I94" s="10" t="s">
        <v>9</v>
      </c>
      <c r="J94" s="11">
        <v>45747.0</v>
      </c>
      <c r="K94" s="11">
        <v>45777.0</v>
      </c>
      <c r="L94" s="11">
        <v>45808.0</v>
      </c>
      <c r="M94" s="11">
        <v>45838.0</v>
      </c>
      <c r="N94" s="11">
        <v>45869.0</v>
      </c>
      <c r="O94" s="11">
        <v>45900.0</v>
      </c>
      <c r="P94" s="11">
        <v>45930.0</v>
      </c>
      <c r="Q94" s="11">
        <v>45961.0</v>
      </c>
      <c r="R94" s="11">
        <v>45991.0</v>
      </c>
      <c r="S94" s="11">
        <v>46022.0</v>
      </c>
      <c r="T94" s="11">
        <v>46053.0</v>
      </c>
      <c r="U94" s="11">
        <v>46081.0</v>
      </c>
      <c r="V94" s="11" t="s">
        <v>10</v>
      </c>
      <c r="W94" s="11" t="s">
        <v>11</v>
      </c>
      <c r="X94" s="11" t="s">
        <v>61</v>
      </c>
      <c r="Y94" s="2"/>
      <c r="Z94" s="2"/>
      <c r="AA94" s="2"/>
      <c r="AB94" s="2"/>
      <c r="AC94" s="2"/>
      <c r="AD94" s="2"/>
    </row>
    <row r="95" ht="12.75" customHeight="1">
      <c r="A95" s="13" t="s">
        <v>62</v>
      </c>
      <c r="B95" s="8"/>
      <c r="C95" s="79"/>
      <c r="D95" s="8"/>
      <c r="E95" s="9"/>
      <c r="F95" s="9"/>
      <c r="G95" s="9"/>
      <c r="H95" s="9"/>
      <c r="I95" s="10"/>
      <c r="J95" s="35" t="str">
        <f>+A95</f>
        <v>6150&gt;020 (Computer Software&gt;Cost)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2"/>
      <c r="Z95" s="2"/>
      <c r="AA95" s="2"/>
      <c r="AB95" s="2"/>
      <c r="AC95" s="2"/>
      <c r="AD95" s="2"/>
    </row>
    <row r="96" ht="12.75" customHeight="1">
      <c r="A96" s="2"/>
      <c r="B96" s="2"/>
      <c r="C96" s="65"/>
      <c r="D96" s="2"/>
      <c r="E96" s="14"/>
      <c r="F96" s="3"/>
      <c r="G96" s="3"/>
      <c r="H96" s="3"/>
      <c r="I96" s="4" t="s">
        <v>63</v>
      </c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"/>
      <c r="W96" s="3"/>
      <c r="X96" s="3"/>
      <c r="Y96" s="2"/>
      <c r="Z96" s="2"/>
      <c r="AA96" s="2"/>
      <c r="AB96" s="2"/>
      <c r="AC96" s="2"/>
      <c r="AD96" s="2"/>
    </row>
    <row r="97" ht="12.75" customHeight="1">
      <c r="A97" s="6">
        <v>45371.0</v>
      </c>
      <c r="B97" s="2" t="s">
        <v>64</v>
      </c>
      <c r="C97" s="65" t="s">
        <v>144</v>
      </c>
      <c r="D97" s="2" t="s">
        <v>65</v>
      </c>
      <c r="E97" s="60">
        <v>27173.91</v>
      </c>
      <c r="F97" s="3"/>
      <c r="G97" s="3"/>
      <c r="H97" s="3">
        <v>27173.91</v>
      </c>
      <c r="I97" s="61"/>
      <c r="J97" s="60">
        <f t="shared" ref="J97:U97" si="50">+$H97/$I$96/12</f>
        <v>754.8308333</v>
      </c>
      <c r="K97" s="60">
        <f t="shared" si="50"/>
        <v>754.8308333</v>
      </c>
      <c r="L97" s="60">
        <f t="shared" si="50"/>
        <v>754.8308333</v>
      </c>
      <c r="M97" s="60">
        <f t="shared" si="50"/>
        <v>754.8308333</v>
      </c>
      <c r="N97" s="60">
        <f t="shared" si="50"/>
        <v>754.8308333</v>
      </c>
      <c r="O97" s="60">
        <f t="shared" si="50"/>
        <v>754.8308333</v>
      </c>
      <c r="P97" s="60">
        <f t="shared" si="50"/>
        <v>754.8308333</v>
      </c>
      <c r="Q97" s="60">
        <f t="shared" si="50"/>
        <v>754.8308333</v>
      </c>
      <c r="R97" s="60">
        <f t="shared" si="50"/>
        <v>754.8308333</v>
      </c>
      <c r="S97" s="60">
        <f t="shared" si="50"/>
        <v>754.8308333</v>
      </c>
      <c r="T97" s="60">
        <f t="shared" si="50"/>
        <v>754.8308333</v>
      </c>
      <c r="U97" s="60">
        <f t="shared" si="50"/>
        <v>754.8308333</v>
      </c>
      <c r="V97" s="60">
        <f>SUM(J97:U97)</f>
        <v>9057.97</v>
      </c>
      <c r="W97" s="60">
        <f>'FAR25'!V50+V97</f>
        <v>17609.27273</v>
      </c>
      <c r="X97" s="60">
        <f>H97-W97</f>
        <v>9564.637272</v>
      </c>
      <c r="Y97" s="2"/>
      <c r="Z97" s="2"/>
      <c r="AA97" s="2"/>
      <c r="AB97" s="2"/>
      <c r="AC97" s="2"/>
      <c r="AD97" s="2"/>
    </row>
    <row r="98" ht="12.75" customHeight="1">
      <c r="A98" s="6"/>
      <c r="B98" s="2"/>
      <c r="C98" s="65"/>
      <c r="D98" s="2"/>
      <c r="E98" s="17"/>
      <c r="F98" s="3"/>
      <c r="G98" s="3"/>
      <c r="H98" s="3"/>
      <c r="I98" s="4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"/>
      <c r="W98" s="3"/>
      <c r="X98" s="3"/>
      <c r="Y98" s="2"/>
      <c r="Z98" s="2"/>
      <c r="AA98" s="2"/>
      <c r="AB98" s="2"/>
      <c r="AC98" s="2"/>
      <c r="AD98" s="2"/>
    </row>
    <row r="99" ht="12.75" customHeight="1">
      <c r="A99" s="6"/>
      <c r="B99" s="2"/>
      <c r="C99" s="65"/>
      <c r="D99" s="2"/>
      <c r="E99" s="40">
        <f t="shared" ref="E99:H99" si="51">E97</f>
        <v>27173.91</v>
      </c>
      <c r="F99" s="40" t="str">
        <f t="shared" si="51"/>
        <v/>
      </c>
      <c r="G99" s="40" t="str">
        <f t="shared" si="51"/>
        <v/>
      </c>
      <c r="H99" s="40">
        <f t="shared" si="51"/>
        <v>27173.91</v>
      </c>
      <c r="I99" s="4"/>
      <c r="J99" s="22">
        <f t="shared" ref="J99:X99" si="52">J97</f>
        <v>754.8308333</v>
      </c>
      <c r="K99" s="22">
        <f t="shared" si="52"/>
        <v>754.8308333</v>
      </c>
      <c r="L99" s="22">
        <f t="shared" si="52"/>
        <v>754.8308333</v>
      </c>
      <c r="M99" s="22">
        <f t="shared" si="52"/>
        <v>754.8308333</v>
      </c>
      <c r="N99" s="22">
        <f t="shared" si="52"/>
        <v>754.8308333</v>
      </c>
      <c r="O99" s="22">
        <f t="shared" si="52"/>
        <v>754.8308333</v>
      </c>
      <c r="P99" s="22">
        <f t="shared" si="52"/>
        <v>754.8308333</v>
      </c>
      <c r="Q99" s="22">
        <f t="shared" si="52"/>
        <v>754.8308333</v>
      </c>
      <c r="R99" s="22">
        <f t="shared" si="52"/>
        <v>754.8308333</v>
      </c>
      <c r="S99" s="22">
        <f t="shared" si="52"/>
        <v>754.8308333</v>
      </c>
      <c r="T99" s="22">
        <f t="shared" si="52"/>
        <v>754.8308333</v>
      </c>
      <c r="U99" s="22">
        <f t="shared" si="52"/>
        <v>754.8308333</v>
      </c>
      <c r="V99" s="22">
        <f t="shared" si="52"/>
        <v>9057.97</v>
      </c>
      <c r="W99" s="22">
        <f t="shared" si="52"/>
        <v>17609.27273</v>
      </c>
      <c r="X99" s="22">
        <f t="shared" si="52"/>
        <v>9564.637272</v>
      </c>
      <c r="Y99" s="2"/>
      <c r="Z99" s="2"/>
      <c r="AA99" s="2"/>
      <c r="AB99" s="2"/>
      <c r="AC99" s="2"/>
      <c r="AD99" s="2"/>
    </row>
    <row r="100" ht="12.75" customHeight="1">
      <c r="A100" s="2"/>
      <c r="B100" s="2"/>
      <c r="C100" s="65"/>
      <c r="D100" s="2"/>
      <c r="E100" s="3"/>
      <c r="F100" s="9"/>
      <c r="G100" s="3"/>
      <c r="H100" s="3"/>
      <c r="I100" s="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2"/>
      <c r="Z100" s="2"/>
      <c r="AA100" s="2"/>
      <c r="AB100" s="2"/>
      <c r="AC100" s="2"/>
      <c r="AD100" s="2"/>
    </row>
    <row r="101" ht="12.75" customHeight="1">
      <c r="A101" s="23" t="s">
        <v>27</v>
      </c>
      <c r="B101" s="2"/>
      <c r="C101" s="65"/>
      <c r="D101" s="2"/>
      <c r="E101" s="22">
        <f>E25+E72+E81+E99</f>
        <v>764104.48</v>
      </c>
      <c r="F101" s="22">
        <f>F25+F72+F81+F92</f>
        <v>158793.59</v>
      </c>
      <c r="G101" s="22">
        <f>G25+G72+G81</f>
        <v>0</v>
      </c>
      <c r="H101" s="22">
        <f>H25+H72+H81+H92+H99</f>
        <v>966998.09</v>
      </c>
      <c r="I101" s="4"/>
      <c r="J101" s="22">
        <f t="shared" ref="J101:U101" si="53">J25+J72+J81+J92+J99</f>
        <v>3050.796944</v>
      </c>
      <c r="K101" s="22">
        <f t="shared" si="53"/>
        <v>2965.950278</v>
      </c>
      <c r="L101" s="22">
        <f t="shared" si="53"/>
        <v>2335.995</v>
      </c>
      <c r="M101" s="22">
        <f t="shared" si="53"/>
        <v>2702.885233</v>
      </c>
      <c r="N101" s="22">
        <f t="shared" si="53"/>
        <v>3003.138267</v>
      </c>
      <c r="O101" s="22">
        <f t="shared" si="53"/>
        <v>3119.851528</v>
      </c>
      <c r="P101" s="22">
        <f t="shared" si="53"/>
        <v>2965.979631</v>
      </c>
      <c r="Q101" s="22">
        <f t="shared" si="53"/>
        <v>3819.366943</v>
      </c>
      <c r="R101" s="22">
        <f t="shared" si="53"/>
        <v>4064.567361</v>
      </c>
      <c r="S101" s="22">
        <f t="shared" si="53"/>
        <v>4064.567361</v>
      </c>
      <c r="T101" s="22">
        <f t="shared" si="53"/>
        <v>4064.567361</v>
      </c>
      <c r="U101" s="22">
        <f t="shared" si="53"/>
        <v>4064.567361</v>
      </c>
      <c r="V101" s="22">
        <f t="shared" ref="V101:X101" si="54">V25+V72+V81</f>
        <v>20430.48905</v>
      </c>
      <c r="W101" s="22">
        <f t="shared" si="54"/>
        <v>737005.0482</v>
      </c>
      <c r="X101" s="22">
        <f t="shared" si="54"/>
        <v>117667.5318</v>
      </c>
      <c r="Y101" s="2"/>
      <c r="Z101" s="2"/>
      <c r="AA101" s="2"/>
      <c r="AB101" s="2"/>
      <c r="AC101" s="2"/>
      <c r="AD101" s="2"/>
    </row>
    <row r="102" ht="12.75" customHeight="1">
      <c r="A102" s="2"/>
      <c r="B102" s="2"/>
      <c r="C102" s="65"/>
      <c r="D102" s="2"/>
      <c r="E102" s="3"/>
      <c r="F102" s="3"/>
      <c r="G102" s="3"/>
      <c r="H102" s="3"/>
      <c r="I102" s="4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2"/>
      <c r="Z102" s="2"/>
      <c r="AA102" s="2"/>
      <c r="AB102" s="2"/>
      <c r="AC102" s="2"/>
      <c r="AD102" s="2"/>
    </row>
    <row r="103" ht="12.75" customHeight="1">
      <c r="A103" s="2"/>
      <c r="B103" s="2"/>
      <c r="C103" s="65"/>
      <c r="D103" s="2"/>
      <c r="E103" s="3"/>
      <c r="F103" s="3"/>
      <c r="G103" s="3"/>
      <c r="H103" s="3"/>
      <c r="I103" s="4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2"/>
      <c r="Z103" s="2"/>
      <c r="AA103" s="2"/>
      <c r="AB103" s="2"/>
      <c r="AC103" s="2"/>
      <c r="AD103" s="2"/>
    </row>
    <row r="104" ht="12.75" customHeight="1">
      <c r="A104" s="2"/>
      <c r="B104" s="2"/>
      <c r="C104" s="65"/>
      <c r="D104" s="2"/>
      <c r="E104" s="3"/>
      <c r="F104" s="3"/>
      <c r="G104" s="3"/>
      <c r="H104" s="3"/>
      <c r="I104" s="4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2"/>
      <c r="Z104" s="2"/>
      <c r="AA104" s="2"/>
      <c r="AB104" s="2"/>
      <c r="AC104" s="2"/>
      <c r="AD104" s="2"/>
    </row>
    <row r="105" ht="12.75" customHeight="1">
      <c r="A105" s="2"/>
      <c r="B105" s="2"/>
      <c r="C105" s="65"/>
      <c r="D105" s="2"/>
      <c r="E105" s="3"/>
      <c r="F105" s="3"/>
      <c r="G105" s="3"/>
      <c r="H105" s="3"/>
      <c r="I105" s="4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2"/>
      <c r="Z105" s="2"/>
      <c r="AA105" s="2"/>
      <c r="AB105" s="2"/>
      <c r="AC105" s="2"/>
      <c r="AD105" s="2"/>
    </row>
    <row r="106" ht="12.75" customHeight="1">
      <c r="A106" s="2"/>
      <c r="B106" s="2"/>
      <c r="C106" s="65"/>
      <c r="D106" s="2"/>
      <c r="E106" s="3"/>
      <c r="F106" s="3"/>
      <c r="G106" s="3"/>
      <c r="H106" s="3"/>
      <c r="I106" s="4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2"/>
      <c r="Z106" s="2"/>
      <c r="AA106" s="2"/>
      <c r="AB106" s="2"/>
      <c r="AC106" s="2"/>
      <c r="AD106" s="2"/>
    </row>
    <row r="107" ht="12.75" customHeight="1">
      <c r="A107" s="2"/>
      <c r="B107" s="2"/>
      <c r="C107" s="65"/>
      <c r="D107" s="2"/>
      <c r="E107" s="3"/>
      <c r="F107" s="3"/>
      <c r="G107" s="3"/>
      <c r="H107" s="3"/>
      <c r="I107" s="4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2"/>
      <c r="Z107" s="2"/>
      <c r="AA107" s="2"/>
      <c r="AB107" s="2"/>
      <c r="AC107" s="2"/>
      <c r="AD107" s="2"/>
    </row>
    <row r="108" ht="12.75" customHeight="1">
      <c r="A108" s="2"/>
      <c r="B108" s="2"/>
      <c r="C108" s="65"/>
      <c r="D108" s="2"/>
      <c r="E108" s="3"/>
      <c r="F108" s="3"/>
      <c r="G108" s="3"/>
      <c r="H108" s="3"/>
      <c r="I108" s="4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2"/>
      <c r="Z108" s="2"/>
      <c r="AA108" s="2"/>
      <c r="AB108" s="2"/>
      <c r="AC108" s="2"/>
      <c r="AD108" s="2"/>
    </row>
    <row r="109" ht="12.75" customHeight="1">
      <c r="A109" s="2"/>
      <c r="B109" s="2"/>
      <c r="C109" s="65"/>
      <c r="D109" s="2"/>
      <c r="E109" s="3"/>
      <c r="F109" s="3"/>
      <c r="G109" s="3"/>
      <c r="H109" s="3"/>
      <c r="I109" s="4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2"/>
      <c r="Z109" s="2"/>
      <c r="AA109" s="2"/>
      <c r="AB109" s="2"/>
      <c r="AC109" s="2"/>
      <c r="AD109" s="2"/>
    </row>
    <row r="110" ht="12.75" customHeight="1">
      <c r="A110" s="2"/>
      <c r="B110" s="2"/>
      <c r="C110" s="65"/>
      <c r="D110" s="2"/>
      <c r="E110" s="3"/>
      <c r="F110" s="3"/>
      <c r="G110" s="3"/>
      <c r="H110" s="3"/>
      <c r="I110" s="4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2"/>
      <c r="Z110" s="2"/>
      <c r="AA110" s="2"/>
      <c r="AB110" s="2"/>
      <c r="AC110" s="2"/>
      <c r="AD110" s="2"/>
    </row>
    <row r="111" ht="12.75" customHeight="1">
      <c r="A111" s="2"/>
      <c r="B111" s="2"/>
      <c r="C111" s="65"/>
      <c r="D111" s="2"/>
      <c r="E111" s="3"/>
      <c r="F111" s="3"/>
      <c r="G111" s="3"/>
      <c r="H111" s="3"/>
      <c r="I111" s="4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2"/>
      <c r="Z111" s="2"/>
      <c r="AA111" s="2"/>
      <c r="AB111" s="2"/>
      <c r="AC111" s="2"/>
      <c r="AD111" s="2"/>
    </row>
    <row r="112" ht="12.75" customHeight="1">
      <c r="A112" s="2"/>
      <c r="B112" s="2"/>
      <c r="C112" s="65"/>
      <c r="D112" s="2"/>
      <c r="E112" s="3"/>
      <c r="F112" s="3"/>
      <c r="G112" s="3"/>
      <c r="H112" s="3"/>
      <c r="I112" s="4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2"/>
      <c r="Z112" s="2"/>
      <c r="AA112" s="2"/>
      <c r="AB112" s="2"/>
      <c r="AC112" s="2"/>
      <c r="AD112" s="2"/>
    </row>
    <row r="113" ht="12.75" customHeight="1">
      <c r="A113" s="2"/>
      <c r="B113" s="2"/>
      <c r="C113" s="65"/>
      <c r="D113" s="2"/>
      <c r="E113" s="3"/>
      <c r="F113" s="3"/>
      <c r="G113" s="3"/>
      <c r="H113" s="3"/>
      <c r="I113" s="4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2"/>
      <c r="Z113" s="2"/>
      <c r="AA113" s="2"/>
      <c r="AB113" s="2"/>
      <c r="AC113" s="2"/>
      <c r="AD113" s="2"/>
    </row>
    <row r="114" ht="12.75" customHeight="1">
      <c r="A114" s="2"/>
      <c r="B114" s="2"/>
      <c r="C114" s="65"/>
      <c r="D114" s="2"/>
      <c r="E114" s="3"/>
      <c r="F114" s="3"/>
      <c r="G114" s="3"/>
      <c r="H114" s="3"/>
      <c r="I114" s="4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2"/>
      <c r="Z114" s="2"/>
      <c r="AA114" s="2"/>
      <c r="AB114" s="2"/>
      <c r="AC114" s="2"/>
      <c r="AD114" s="2"/>
    </row>
    <row r="115" ht="12.75" customHeight="1">
      <c r="A115" s="2"/>
      <c r="B115" s="2"/>
      <c r="C115" s="65"/>
      <c r="D115" s="2"/>
      <c r="E115" s="3"/>
      <c r="F115" s="3"/>
      <c r="G115" s="3"/>
      <c r="H115" s="3"/>
      <c r="I115" s="4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2"/>
      <c r="Z115" s="2"/>
      <c r="AA115" s="2"/>
      <c r="AB115" s="2"/>
      <c r="AC115" s="2"/>
      <c r="AD115" s="2"/>
    </row>
    <row r="116" ht="12.75" customHeight="1">
      <c r="A116" s="2"/>
      <c r="B116" s="2"/>
      <c r="C116" s="65"/>
      <c r="D116" s="2"/>
      <c r="E116" s="3"/>
      <c r="F116" s="3"/>
      <c r="G116" s="3"/>
      <c r="H116" s="3"/>
      <c r="I116" s="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2"/>
      <c r="Z116" s="2"/>
      <c r="AA116" s="2"/>
      <c r="AB116" s="2"/>
      <c r="AC116" s="2"/>
      <c r="AD116" s="2"/>
    </row>
    <row r="117" ht="12.75" customHeight="1">
      <c r="A117" s="2"/>
      <c r="B117" s="2"/>
      <c r="C117" s="65"/>
      <c r="D117" s="2"/>
      <c r="E117" s="3"/>
      <c r="F117" s="3"/>
      <c r="G117" s="3"/>
      <c r="H117" s="3"/>
      <c r="I117" s="4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2"/>
      <c r="Z117" s="2"/>
      <c r="AA117" s="2"/>
      <c r="AB117" s="2"/>
      <c r="AC117" s="2"/>
      <c r="AD117" s="2"/>
    </row>
    <row r="118" ht="12.75" customHeight="1">
      <c r="A118" s="2"/>
      <c r="B118" s="2"/>
      <c r="C118" s="65"/>
      <c r="D118" s="2"/>
      <c r="E118" s="3"/>
      <c r="F118" s="3"/>
      <c r="G118" s="3"/>
      <c r="H118" s="3"/>
      <c r="I118" s="4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2"/>
      <c r="Z118" s="2"/>
      <c r="AA118" s="2"/>
      <c r="AB118" s="2"/>
      <c r="AC118" s="2"/>
      <c r="AD118" s="2"/>
    </row>
    <row r="119" ht="12.75" customHeight="1">
      <c r="A119" s="2"/>
      <c r="B119" s="2"/>
      <c r="C119" s="65"/>
      <c r="D119" s="2"/>
      <c r="E119" s="3"/>
      <c r="F119" s="3"/>
      <c r="G119" s="3"/>
      <c r="H119" s="3"/>
      <c r="I119" s="4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2"/>
      <c r="Z119" s="2"/>
      <c r="AA119" s="2"/>
      <c r="AB119" s="2"/>
      <c r="AC119" s="2"/>
      <c r="AD119" s="2"/>
    </row>
    <row r="120" ht="12.75" customHeight="1">
      <c r="A120" s="2"/>
      <c r="B120" s="2"/>
      <c r="C120" s="65"/>
      <c r="D120" s="2"/>
      <c r="E120" s="3"/>
      <c r="F120" s="3"/>
      <c r="G120" s="3"/>
      <c r="H120" s="3"/>
      <c r="I120" s="4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2"/>
      <c r="Z120" s="2"/>
      <c r="AA120" s="2"/>
      <c r="AB120" s="2"/>
      <c r="AC120" s="2"/>
      <c r="AD120" s="2"/>
    </row>
    <row r="121" ht="12.75" customHeight="1">
      <c r="A121" s="2"/>
      <c r="B121" s="2"/>
      <c r="C121" s="65"/>
      <c r="D121" s="2"/>
      <c r="E121" s="3"/>
      <c r="F121" s="3"/>
      <c r="G121" s="3"/>
      <c r="H121" s="3"/>
      <c r="I121" s="4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2"/>
      <c r="Z121" s="2"/>
      <c r="AA121" s="2"/>
      <c r="AB121" s="2"/>
      <c r="AC121" s="2"/>
      <c r="AD121" s="2"/>
    </row>
    <row r="122" ht="12.75" customHeight="1">
      <c r="A122" s="2"/>
      <c r="B122" s="2"/>
      <c r="C122" s="65"/>
      <c r="D122" s="2"/>
      <c r="E122" s="3"/>
      <c r="F122" s="3"/>
      <c r="G122" s="3"/>
      <c r="H122" s="3"/>
      <c r="I122" s="4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2"/>
      <c r="Z122" s="2"/>
      <c r="AA122" s="2"/>
      <c r="AB122" s="2"/>
      <c r="AC122" s="2"/>
      <c r="AD122" s="2"/>
    </row>
    <row r="123" ht="12.75" customHeight="1">
      <c r="A123" s="2"/>
      <c r="B123" s="2"/>
      <c r="C123" s="65"/>
      <c r="D123" s="2"/>
      <c r="E123" s="3"/>
      <c r="F123" s="3"/>
      <c r="G123" s="3"/>
      <c r="H123" s="3"/>
      <c r="I123" s="4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2"/>
      <c r="Z123" s="2"/>
      <c r="AA123" s="2"/>
      <c r="AB123" s="2"/>
      <c r="AC123" s="2"/>
      <c r="AD123" s="2"/>
    </row>
    <row r="124" ht="12.75" customHeight="1">
      <c r="A124" s="2"/>
      <c r="B124" s="2"/>
      <c r="C124" s="65"/>
      <c r="D124" s="2"/>
      <c r="E124" s="3"/>
      <c r="F124" s="3"/>
      <c r="G124" s="3"/>
      <c r="H124" s="3"/>
      <c r="I124" s="4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2"/>
      <c r="Z124" s="2"/>
      <c r="AA124" s="2"/>
      <c r="AB124" s="2"/>
      <c r="AC124" s="2"/>
      <c r="AD124" s="2"/>
    </row>
    <row r="125" ht="12.75" customHeight="1">
      <c r="A125" s="2"/>
      <c r="B125" s="2"/>
      <c r="C125" s="65"/>
      <c r="D125" s="2"/>
      <c r="E125" s="3"/>
      <c r="F125" s="3"/>
      <c r="G125" s="3"/>
      <c r="H125" s="3"/>
      <c r="I125" s="4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2"/>
      <c r="Z125" s="2"/>
      <c r="AA125" s="2"/>
      <c r="AB125" s="2"/>
      <c r="AC125" s="2"/>
      <c r="AD125" s="2"/>
    </row>
    <row r="126" ht="12.75" customHeight="1">
      <c r="A126" s="2"/>
      <c r="B126" s="2"/>
      <c r="C126" s="65"/>
      <c r="D126" s="2"/>
      <c r="E126" s="3"/>
      <c r="F126" s="3"/>
      <c r="G126" s="3"/>
      <c r="H126" s="3"/>
      <c r="I126" s="4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2"/>
      <c r="Z126" s="2"/>
      <c r="AA126" s="2"/>
      <c r="AB126" s="2"/>
      <c r="AC126" s="2"/>
      <c r="AD126" s="2"/>
    </row>
    <row r="127" ht="12.75" customHeight="1">
      <c r="A127" s="2"/>
      <c r="B127" s="2"/>
      <c r="C127" s="65"/>
      <c r="D127" s="2"/>
      <c r="E127" s="3"/>
      <c r="F127" s="3"/>
      <c r="G127" s="3"/>
      <c r="H127" s="3"/>
      <c r="I127" s="4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2"/>
      <c r="Z127" s="2"/>
      <c r="AA127" s="2"/>
      <c r="AB127" s="2"/>
      <c r="AC127" s="2"/>
      <c r="AD127" s="2"/>
    </row>
    <row r="128" ht="12.75" customHeight="1">
      <c r="A128" s="2"/>
      <c r="B128" s="2"/>
      <c r="C128" s="65"/>
      <c r="D128" s="2"/>
      <c r="E128" s="3"/>
      <c r="F128" s="3"/>
      <c r="G128" s="3"/>
      <c r="H128" s="3"/>
      <c r="I128" s="4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2"/>
      <c r="Z128" s="2"/>
      <c r="AA128" s="2"/>
      <c r="AB128" s="2"/>
      <c r="AC128" s="2"/>
      <c r="AD128" s="2"/>
    </row>
    <row r="129" ht="12.75" customHeight="1">
      <c r="A129" s="2"/>
      <c r="B129" s="2"/>
      <c r="C129" s="65"/>
      <c r="D129" s="2"/>
      <c r="E129" s="3"/>
      <c r="F129" s="3"/>
      <c r="G129" s="3"/>
      <c r="H129" s="3"/>
      <c r="I129" s="4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2"/>
      <c r="Z129" s="2"/>
      <c r="AA129" s="2"/>
      <c r="AB129" s="2"/>
      <c r="AC129" s="2"/>
      <c r="AD129" s="2"/>
    </row>
    <row r="130" ht="12.75" customHeight="1">
      <c r="A130" s="2"/>
      <c r="B130" s="2"/>
      <c r="C130" s="65"/>
      <c r="D130" s="2"/>
      <c r="E130" s="3"/>
      <c r="F130" s="3"/>
      <c r="G130" s="3"/>
      <c r="H130" s="3"/>
      <c r="I130" s="4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2"/>
      <c r="Z130" s="2"/>
      <c r="AA130" s="2"/>
      <c r="AB130" s="2"/>
      <c r="AC130" s="2"/>
      <c r="AD130" s="2"/>
    </row>
    <row r="131" ht="12.75" customHeight="1">
      <c r="A131" s="2"/>
      <c r="B131" s="2"/>
      <c r="C131" s="65"/>
      <c r="D131" s="2"/>
      <c r="E131" s="3"/>
      <c r="F131" s="3"/>
      <c r="G131" s="3"/>
      <c r="H131" s="3"/>
      <c r="I131" s="4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2"/>
      <c r="Z131" s="2"/>
      <c r="AA131" s="2"/>
      <c r="AB131" s="2"/>
      <c r="AC131" s="2"/>
      <c r="AD131" s="2"/>
    </row>
    <row r="132" ht="12.75" customHeight="1">
      <c r="A132" s="2"/>
      <c r="B132" s="2"/>
      <c r="C132" s="65"/>
      <c r="D132" s="2"/>
      <c r="E132" s="3"/>
      <c r="F132" s="3"/>
      <c r="G132" s="3"/>
      <c r="H132" s="3"/>
      <c r="I132" s="4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2"/>
      <c r="Z132" s="2"/>
      <c r="AA132" s="2"/>
      <c r="AB132" s="2"/>
      <c r="AC132" s="2"/>
      <c r="AD132" s="2"/>
    </row>
    <row r="133" ht="12.75" customHeight="1">
      <c r="A133" s="2"/>
      <c r="B133" s="2"/>
      <c r="C133" s="65"/>
      <c r="D133" s="2"/>
      <c r="E133" s="3"/>
      <c r="F133" s="3"/>
      <c r="G133" s="3"/>
      <c r="H133" s="3"/>
      <c r="I133" s="4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2"/>
      <c r="Z133" s="2"/>
      <c r="AA133" s="2"/>
      <c r="AB133" s="2"/>
      <c r="AC133" s="2"/>
      <c r="AD133" s="2"/>
    </row>
    <row r="134" ht="12.75" customHeight="1">
      <c r="A134" s="2"/>
      <c r="B134" s="2"/>
      <c r="C134" s="65"/>
      <c r="D134" s="2"/>
      <c r="E134" s="3"/>
      <c r="F134" s="3"/>
      <c r="G134" s="3"/>
      <c r="H134" s="3"/>
      <c r="I134" s="4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2"/>
      <c r="Z134" s="2"/>
      <c r="AA134" s="2"/>
      <c r="AB134" s="2"/>
      <c r="AC134" s="2"/>
      <c r="AD134" s="2"/>
    </row>
    <row r="135" ht="12.75" customHeight="1">
      <c r="A135" s="2"/>
      <c r="B135" s="2"/>
      <c r="C135" s="65"/>
      <c r="D135" s="2"/>
      <c r="E135" s="3"/>
      <c r="F135" s="3"/>
      <c r="G135" s="3"/>
      <c r="H135" s="3"/>
      <c r="I135" s="4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2"/>
      <c r="Z135" s="2"/>
      <c r="AA135" s="2"/>
      <c r="AB135" s="2"/>
      <c r="AC135" s="2"/>
      <c r="AD135" s="2"/>
    </row>
    <row r="136" ht="12.75" customHeight="1">
      <c r="A136" s="2"/>
      <c r="B136" s="2"/>
      <c r="C136" s="65"/>
      <c r="D136" s="2"/>
      <c r="E136" s="3"/>
      <c r="F136" s="3"/>
      <c r="G136" s="3"/>
      <c r="H136" s="3"/>
      <c r="I136" s="4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2"/>
      <c r="Z136" s="2"/>
      <c r="AA136" s="2"/>
      <c r="AB136" s="2"/>
      <c r="AC136" s="2"/>
      <c r="AD136" s="2"/>
    </row>
    <row r="137" ht="12.75" customHeight="1">
      <c r="A137" s="2"/>
      <c r="B137" s="2"/>
      <c r="C137" s="65"/>
      <c r="D137" s="2"/>
      <c r="E137" s="3"/>
      <c r="F137" s="3"/>
      <c r="G137" s="3"/>
      <c r="H137" s="3"/>
      <c r="I137" s="4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2"/>
      <c r="Z137" s="2"/>
      <c r="AA137" s="2"/>
      <c r="AB137" s="2"/>
      <c r="AC137" s="2"/>
      <c r="AD137" s="2"/>
    </row>
    <row r="138" ht="12.75" customHeight="1">
      <c r="A138" s="2"/>
      <c r="B138" s="2"/>
      <c r="C138" s="65"/>
      <c r="D138" s="2"/>
      <c r="E138" s="3"/>
      <c r="F138" s="3"/>
      <c r="G138" s="3"/>
      <c r="H138" s="3"/>
      <c r="I138" s="4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2"/>
      <c r="Z138" s="2"/>
      <c r="AA138" s="2"/>
      <c r="AB138" s="2"/>
      <c r="AC138" s="2"/>
      <c r="AD138" s="2"/>
    </row>
    <row r="139" ht="12.75" customHeight="1">
      <c r="A139" s="2"/>
      <c r="B139" s="2"/>
      <c r="C139" s="65"/>
      <c r="D139" s="2"/>
      <c r="E139" s="3"/>
      <c r="F139" s="3"/>
      <c r="G139" s="3"/>
      <c r="H139" s="3"/>
      <c r="I139" s="4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2"/>
      <c r="Z139" s="2"/>
      <c r="AA139" s="2"/>
      <c r="AB139" s="2"/>
      <c r="AC139" s="2"/>
      <c r="AD139" s="2"/>
    </row>
    <row r="140" ht="12.75" customHeight="1">
      <c r="A140" s="2"/>
      <c r="B140" s="2"/>
      <c r="C140" s="65"/>
      <c r="D140" s="2"/>
      <c r="E140" s="3"/>
      <c r="F140" s="3"/>
      <c r="G140" s="3"/>
      <c r="H140" s="3"/>
      <c r="I140" s="4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2"/>
      <c r="Z140" s="2"/>
      <c r="AA140" s="2"/>
      <c r="AB140" s="2"/>
      <c r="AC140" s="2"/>
      <c r="AD140" s="2"/>
    </row>
    <row r="141" ht="12.75" customHeight="1">
      <c r="A141" s="2"/>
      <c r="B141" s="2"/>
      <c r="C141" s="65"/>
      <c r="D141" s="2"/>
      <c r="E141" s="3"/>
      <c r="F141" s="3"/>
      <c r="G141" s="3"/>
      <c r="H141" s="3"/>
      <c r="I141" s="4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2"/>
      <c r="Z141" s="2"/>
      <c r="AA141" s="2"/>
      <c r="AB141" s="2"/>
      <c r="AC141" s="2"/>
      <c r="AD141" s="2"/>
    </row>
    <row r="142" ht="12.75" customHeight="1">
      <c r="A142" s="2"/>
      <c r="B142" s="2"/>
      <c r="C142" s="65"/>
      <c r="D142" s="2"/>
      <c r="E142" s="3"/>
      <c r="F142" s="3"/>
      <c r="G142" s="3"/>
      <c r="H142" s="3"/>
      <c r="I142" s="4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2"/>
      <c r="Z142" s="2"/>
      <c r="AA142" s="2"/>
      <c r="AB142" s="2"/>
      <c r="AC142" s="2"/>
      <c r="AD142" s="2"/>
    </row>
    <row r="143" ht="12.75" customHeight="1">
      <c r="A143" s="2"/>
      <c r="B143" s="2"/>
      <c r="C143" s="65"/>
      <c r="D143" s="2"/>
      <c r="E143" s="3"/>
      <c r="F143" s="3"/>
      <c r="G143" s="3"/>
      <c r="H143" s="3"/>
      <c r="I143" s="4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2"/>
      <c r="Z143" s="2"/>
      <c r="AA143" s="2"/>
      <c r="AB143" s="2"/>
      <c r="AC143" s="2"/>
      <c r="AD143" s="2"/>
    </row>
    <row r="144" ht="12.75" customHeight="1">
      <c r="A144" s="2"/>
      <c r="B144" s="2"/>
      <c r="C144" s="65"/>
      <c r="D144" s="2"/>
      <c r="E144" s="3"/>
      <c r="F144" s="3"/>
      <c r="G144" s="3"/>
      <c r="H144" s="3"/>
      <c r="I144" s="4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2"/>
      <c r="Z144" s="2"/>
      <c r="AA144" s="2"/>
      <c r="AB144" s="2"/>
      <c r="AC144" s="2"/>
      <c r="AD144" s="2"/>
    </row>
    <row r="145" ht="12.75" customHeight="1">
      <c r="A145" s="2"/>
      <c r="B145" s="2"/>
      <c r="C145" s="65"/>
      <c r="D145" s="2"/>
      <c r="E145" s="3"/>
      <c r="F145" s="3"/>
      <c r="G145" s="3"/>
      <c r="H145" s="3"/>
      <c r="I145" s="4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2"/>
      <c r="Z145" s="2"/>
      <c r="AA145" s="2"/>
      <c r="AB145" s="2"/>
      <c r="AC145" s="2"/>
      <c r="AD145" s="2"/>
    </row>
    <row r="146" ht="12.75" customHeight="1">
      <c r="A146" s="2"/>
      <c r="B146" s="2"/>
      <c r="C146" s="65"/>
      <c r="D146" s="2"/>
      <c r="E146" s="3"/>
      <c r="F146" s="3"/>
      <c r="G146" s="3"/>
      <c r="H146" s="3"/>
      <c r="I146" s="4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2"/>
      <c r="Z146" s="2"/>
      <c r="AA146" s="2"/>
      <c r="AB146" s="2"/>
      <c r="AC146" s="2"/>
      <c r="AD146" s="2"/>
    </row>
    <row r="147" ht="12.75" customHeight="1">
      <c r="A147" s="2"/>
      <c r="B147" s="2"/>
      <c r="C147" s="65"/>
      <c r="D147" s="2"/>
      <c r="E147" s="3"/>
      <c r="F147" s="3"/>
      <c r="G147" s="3"/>
      <c r="H147" s="3"/>
      <c r="I147" s="4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2"/>
      <c r="Z147" s="2"/>
      <c r="AA147" s="2"/>
      <c r="AB147" s="2"/>
      <c r="AC147" s="2"/>
      <c r="AD147" s="2"/>
    </row>
    <row r="148" ht="12.75" customHeight="1">
      <c r="A148" s="2"/>
      <c r="B148" s="2"/>
      <c r="C148" s="65"/>
      <c r="D148" s="2"/>
      <c r="E148" s="3"/>
      <c r="F148" s="3"/>
      <c r="G148" s="3"/>
      <c r="H148" s="3"/>
      <c r="I148" s="4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2"/>
      <c r="Z148" s="2"/>
      <c r="AA148" s="2"/>
      <c r="AB148" s="2"/>
      <c r="AC148" s="2"/>
      <c r="AD148" s="2"/>
    </row>
    <row r="149" ht="12.75" customHeight="1">
      <c r="A149" s="2"/>
      <c r="B149" s="2"/>
      <c r="C149" s="65"/>
      <c r="D149" s="2"/>
      <c r="E149" s="3"/>
      <c r="F149" s="3"/>
      <c r="G149" s="3"/>
      <c r="H149" s="3"/>
      <c r="I149" s="4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2"/>
      <c r="Z149" s="2"/>
      <c r="AA149" s="2"/>
      <c r="AB149" s="2"/>
      <c r="AC149" s="2"/>
      <c r="AD149" s="2"/>
    </row>
    <row r="150" ht="12.75" customHeight="1">
      <c r="A150" s="2"/>
      <c r="B150" s="2"/>
      <c r="C150" s="65"/>
      <c r="D150" s="2"/>
      <c r="E150" s="3"/>
      <c r="F150" s="3"/>
      <c r="G150" s="3"/>
      <c r="H150" s="3"/>
      <c r="I150" s="4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2"/>
      <c r="Z150" s="2"/>
      <c r="AA150" s="2"/>
      <c r="AB150" s="2"/>
      <c r="AC150" s="2"/>
      <c r="AD150" s="2"/>
    </row>
    <row r="151" ht="12.75" customHeight="1">
      <c r="A151" s="2"/>
      <c r="B151" s="2"/>
      <c r="C151" s="65"/>
      <c r="D151" s="2"/>
      <c r="E151" s="3"/>
      <c r="F151" s="3"/>
      <c r="G151" s="3"/>
      <c r="H151" s="3"/>
      <c r="I151" s="4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2"/>
      <c r="Z151" s="2"/>
      <c r="AA151" s="2"/>
      <c r="AB151" s="2"/>
      <c r="AC151" s="2"/>
      <c r="AD151" s="2"/>
    </row>
    <row r="152" ht="12.75" customHeight="1">
      <c r="A152" s="2"/>
      <c r="B152" s="2"/>
      <c r="C152" s="65"/>
      <c r="D152" s="2"/>
      <c r="E152" s="3"/>
      <c r="F152" s="3"/>
      <c r="G152" s="3"/>
      <c r="H152" s="3"/>
      <c r="I152" s="4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2"/>
      <c r="Z152" s="2"/>
      <c r="AA152" s="2"/>
      <c r="AB152" s="2"/>
      <c r="AC152" s="2"/>
      <c r="AD152" s="2"/>
    </row>
    <row r="153" ht="12.75" customHeight="1">
      <c r="A153" s="2"/>
      <c r="B153" s="2"/>
      <c r="C153" s="65"/>
      <c r="D153" s="2"/>
      <c r="E153" s="3"/>
      <c r="F153" s="3"/>
      <c r="G153" s="3"/>
      <c r="H153" s="3"/>
      <c r="I153" s="4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2"/>
      <c r="Z153" s="2"/>
      <c r="AA153" s="2"/>
      <c r="AB153" s="2"/>
      <c r="AC153" s="2"/>
      <c r="AD153" s="2"/>
    </row>
    <row r="154" ht="12.75" customHeight="1">
      <c r="A154" s="2"/>
      <c r="B154" s="2"/>
      <c r="C154" s="65"/>
      <c r="D154" s="2"/>
      <c r="E154" s="3"/>
      <c r="F154" s="3"/>
      <c r="G154" s="3"/>
      <c r="H154" s="3"/>
      <c r="I154" s="4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2"/>
      <c r="Z154" s="2"/>
      <c r="AA154" s="2"/>
      <c r="AB154" s="2"/>
      <c r="AC154" s="2"/>
      <c r="AD154" s="2"/>
    </row>
    <row r="155" ht="12.75" customHeight="1">
      <c r="A155" s="2"/>
      <c r="B155" s="2"/>
      <c r="C155" s="65"/>
      <c r="D155" s="2"/>
      <c r="E155" s="3"/>
      <c r="F155" s="3"/>
      <c r="G155" s="3"/>
      <c r="H155" s="3"/>
      <c r="I155" s="4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2"/>
      <c r="Z155" s="2"/>
      <c r="AA155" s="2"/>
      <c r="AB155" s="2"/>
      <c r="AC155" s="2"/>
      <c r="AD155" s="2"/>
    </row>
    <row r="156" ht="12.75" customHeight="1">
      <c r="A156" s="2"/>
      <c r="B156" s="2"/>
      <c r="C156" s="65"/>
      <c r="D156" s="2"/>
      <c r="E156" s="3"/>
      <c r="F156" s="3"/>
      <c r="G156" s="3"/>
      <c r="H156" s="3"/>
      <c r="I156" s="4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2"/>
      <c r="Z156" s="2"/>
      <c r="AA156" s="2"/>
      <c r="AB156" s="2"/>
      <c r="AC156" s="2"/>
      <c r="AD156" s="2"/>
    </row>
    <row r="157" ht="12.75" customHeight="1">
      <c r="A157" s="2"/>
      <c r="B157" s="2"/>
      <c r="C157" s="65"/>
      <c r="D157" s="2"/>
      <c r="E157" s="3"/>
      <c r="F157" s="3"/>
      <c r="G157" s="3"/>
      <c r="H157" s="3"/>
      <c r="I157" s="4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2"/>
      <c r="Z157" s="2"/>
      <c r="AA157" s="2"/>
      <c r="AB157" s="2"/>
      <c r="AC157" s="2"/>
      <c r="AD157" s="2"/>
    </row>
    <row r="158" ht="12.75" customHeight="1">
      <c r="A158" s="2"/>
      <c r="B158" s="2"/>
      <c r="C158" s="65"/>
      <c r="D158" s="2"/>
      <c r="E158" s="3"/>
      <c r="F158" s="3"/>
      <c r="G158" s="3"/>
      <c r="H158" s="3"/>
      <c r="I158" s="4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2"/>
      <c r="Z158" s="2"/>
      <c r="AA158" s="2"/>
      <c r="AB158" s="2"/>
      <c r="AC158" s="2"/>
      <c r="AD158" s="2"/>
    </row>
    <row r="159" ht="12.75" customHeight="1">
      <c r="A159" s="2"/>
      <c r="B159" s="2"/>
      <c r="C159" s="65"/>
      <c r="D159" s="2"/>
      <c r="E159" s="3"/>
      <c r="F159" s="3"/>
      <c r="G159" s="3"/>
      <c r="H159" s="3"/>
      <c r="I159" s="4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2"/>
      <c r="Z159" s="2"/>
      <c r="AA159" s="2"/>
      <c r="AB159" s="2"/>
      <c r="AC159" s="2"/>
      <c r="AD159" s="2"/>
    </row>
    <row r="160" ht="12.75" customHeight="1">
      <c r="A160" s="2"/>
      <c r="B160" s="2"/>
      <c r="C160" s="65"/>
      <c r="D160" s="2"/>
      <c r="E160" s="3"/>
      <c r="F160" s="3"/>
      <c r="G160" s="3"/>
      <c r="H160" s="3"/>
      <c r="I160" s="4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2"/>
      <c r="Z160" s="2"/>
      <c r="AA160" s="2"/>
      <c r="AB160" s="2"/>
      <c r="AC160" s="2"/>
      <c r="AD160" s="2"/>
    </row>
    <row r="161" ht="12.75" customHeight="1">
      <c r="A161" s="2"/>
      <c r="B161" s="2"/>
      <c r="C161" s="65"/>
      <c r="D161" s="2"/>
      <c r="E161" s="3"/>
      <c r="F161" s="3"/>
      <c r="G161" s="3"/>
      <c r="H161" s="3"/>
      <c r="I161" s="4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2"/>
      <c r="Z161" s="2"/>
      <c r="AA161" s="2"/>
      <c r="AB161" s="2"/>
      <c r="AC161" s="2"/>
      <c r="AD161" s="2"/>
    </row>
    <row r="162" ht="12.75" customHeight="1">
      <c r="A162" s="2"/>
      <c r="B162" s="2"/>
      <c r="C162" s="65"/>
      <c r="D162" s="2"/>
      <c r="E162" s="3"/>
      <c r="F162" s="3"/>
      <c r="G162" s="3"/>
      <c r="H162" s="3"/>
      <c r="I162" s="4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2"/>
      <c r="Z162" s="2"/>
      <c r="AA162" s="2"/>
      <c r="AB162" s="2"/>
      <c r="AC162" s="2"/>
      <c r="AD162" s="2"/>
    </row>
    <row r="163" ht="12.75" customHeight="1">
      <c r="A163" s="2"/>
      <c r="B163" s="2"/>
      <c r="C163" s="65"/>
      <c r="D163" s="2"/>
      <c r="E163" s="3"/>
      <c r="F163" s="3"/>
      <c r="G163" s="3"/>
      <c r="H163" s="3"/>
      <c r="I163" s="4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2"/>
      <c r="Z163" s="2"/>
      <c r="AA163" s="2"/>
      <c r="AB163" s="2"/>
      <c r="AC163" s="2"/>
      <c r="AD163" s="2"/>
    </row>
    <row r="164" ht="12.75" customHeight="1">
      <c r="A164" s="2"/>
      <c r="B164" s="2"/>
      <c r="C164" s="65"/>
      <c r="D164" s="2"/>
      <c r="E164" s="3"/>
      <c r="F164" s="3"/>
      <c r="G164" s="3"/>
      <c r="H164" s="3"/>
      <c r="I164" s="4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2"/>
      <c r="Z164" s="2"/>
      <c r="AA164" s="2"/>
      <c r="AB164" s="2"/>
      <c r="AC164" s="2"/>
      <c r="AD164" s="2"/>
    </row>
    <row r="165" ht="12.75" customHeight="1">
      <c r="A165" s="2"/>
      <c r="B165" s="2"/>
      <c r="C165" s="65"/>
      <c r="D165" s="2"/>
      <c r="E165" s="3"/>
      <c r="F165" s="3"/>
      <c r="G165" s="3"/>
      <c r="H165" s="3"/>
      <c r="I165" s="4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2"/>
      <c r="Z165" s="2"/>
      <c r="AA165" s="2"/>
      <c r="AB165" s="2"/>
      <c r="AC165" s="2"/>
      <c r="AD165" s="2"/>
    </row>
    <row r="166" ht="12.75" customHeight="1">
      <c r="A166" s="2"/>
      <c r="B166" s="2"/>
      <c r="C166" s="65"/>
      <c r="D166" s="2"/>
      <c r="E166" s="3"/>
      <c r="F166" s="3"/>
      <c r="G166" s="3"/>
      <c r="H166" s="3"/>
      <c r="I166" s="4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2"/>
      <c r="Z166" s="2"/>
      <c r="AA166" s="2"/>
      <c r="AB166" s="2"/>
      <c r="AC166" s="2"/>
      <c r="AD166" s="2"/>
    </row>
    <row r="167" ht="12.75" customHeight="1">
      <c r="A167" s="2"/>
      <c r="B167" s="2"/>
      <c r="C167" s="65"/>
      <c r="D167" s="2"/>
      <c r="E167" s="3"/>
      <c r="F167" s="3"/>
      <c r="G167" s="3"/>
      <c r="H167" s="3"/>
      <c r="I167" s="4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2"/>
      <c r="Z167" s="2"/>
      <c r="AA167" s="2"/>
      <c r="AB167" s="2"/>
      <c r="AC167" s="2"/>
      <c r="AD167" s="2"/>
    </row>
    <row r="168" ht="12.75" customHeight="1">
      <c r="A168" s="2"/>
      <c r="B168" s="2"/>
      <c r="C168" s="65"/>
      <c r="D168" s="2"/>
      <c r="E168" s="3"/>
      <c r="F168" s="3"/>
      <c r="G168" s="3"/>
      <c r="H168" s="3"/>
      <c r="I168" s="4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2"/>
      <c r="Z168" s="2"/>
      <c r="AA168" s="2"/>
      <c r="AB168" s="2"/>
      <c r="AC168" s="2"/>
      <c r="AD168" s="2"/>
    </row>
    <row r="169" ht="12.75" customHeight="1">
      <c r="A169" s="2"/>
      <c r="B169" s="2"/>
      <c r="C169" s="65"/>
      <c r="D169" s="2"/>
      <c r="E169" s="3"/>
      <c r="F169" s="3"/>
      <c r="G169" s="3"/>
      <c r="H169" s="3"/>
      <c r="I169" s="4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2"/>
      <c r="Z169" s="2"/>
      <c r="AA169" s="2"/>
      <c r="AB169" s="2"/>
      <c r="AC169" s="2"/>
      <c r="AD169" s="2"/>
    </row>
    <row r="170" ht="12.75" customHeight="1">
      <c r="A170" s="2"/>
      <c r="B170" s="2"/>
      <c r="C170" s="65"/>
      <c r="D170" s="2"/>
      <c r="E170" s="3"/>
      <c r="F170" s="3"/>
      <c r="G170" s="3"/>
      <c r="H170" s="3"/>
      <c r="I170" s="4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2"/>
      <c r="Z170" s="2"/>
      <c r="AA170" s="2"/>
      <c r="AB170" s="2"/>
      <c r="AC170" s="2"/>
      <c r="AD170" s="2"/>
    </row>
    <row r="171" ht="12.75" customHeight="1">
      <c r="A171" s="2"/>
      <c r="B171" s="2"/>
      <c r="C171" s="65"/>
      <c r="D171" s="2"/>
      <c r="E171" s="3"/>
      <c r="F171" s="3"/>
      <c r="G171" s="3"/>
      <c r="H171" s="3"/>
      <c r="I171" s="4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2"/>
      <c r="Z171" s="2"/>
      <c r="AA171" s="2"/>
      <c r="AB171" s="2"/>
      <c r="AC171" s="2"/>
      <c r="AD171" s="2"/>
    </row>
    <row r="172" ht="12.75" customHeight="1">
      <c r="A172" s="2"/>
      <c r="B172" s="2"/>
      <c r="C172" s="65"/>
      <c r="D172" s="2"/>
      <c r="E172" s="3"/>
      <c r="F172" s="3"/>
      <c r="G172" s="3"/>
      <c r="H172" s="3"/>
      <c r="I172" s="4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2"/>
      <c r="Z172" s="2"/>
      <c r="AA172" s="2"/>
      <c r="AB172" s="2"/>
      <c r="AC172" s="2"/>
      <c r="AD172" s="2"/>
    </row>
    <row r="173" ht="12.75" customHeight="1">
      <c r="A173" s="2"/>
      <c r="B173" s="2"/>
      <c r="C173" s="65"/>
      <c r="D173" s="2"/>
      <c r="E173" s="3"/>
      <c r="F173" s="3"/>
      <c r="G173" s="3"/>
      <c r="H173" s="3"/>
      <c r="I173" s="4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2"/>
      <c r="Z173" s="2"/>
      <c r="AA173" s="2"/>
      <c r="AB173" s="2"/>
      <c r="AC173" s="2"/>
      <c r="AD173" s="2"/>
    </row>
    <row r="174" ht="12.75" customHeight="1">
      <c r="A174" s="2"/>
      <c r="B174" s="2"/>
      <c r="C174" s="65"/>
      <c r="D174" s="2"/>
      <c r="E174" s="3"/>
      <c r="F174" s="3"/>
      <c r="G174" s="3"/>
      <c r="H174" s="3"/>
      <c r="I174" s="4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2"/>
      <c r="Z174" s="2"/>
      <c r="AA174" s="2"/>
      <c r="AB174" s="2"/>
      <c r="AC174" s="2"/>
      <c r="AD174" s="2"/>
    </row>
    <row r="175" ht="12.75" customHeight="1">
      <c r="A175" s="2"/>
      <c r="B175" s="2"/>
      <c r="C175" s="65"/>
      <c r="D175" s="2"/>
      <c r="E175" s="3"/>
      <c r="F175" s="3"/>
      <c r="G175" s="3"/>
      <c r="H175" s="3"/>
      <c r="I175" s="4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2"/>
      <c r="Z175" s="2"/>
      <c r="AA175" s="2"/>
      <c r="AB175" s="2"/>
      <c r="AC175" s="2"/>
      <c r="AD175" s="2"/>
    </row>
    <row r="176" ht="12.75" customHeight="1">
      <c r="A176" s="2"/>
      <c r="B176" s="2"/>
      <c r="C176" s="65"/>
      <c r="D176" s="2"/>
      <c r="E176" s="3"/>
      <c r="F176" s="3"/>
      <c r="G176" s="3"/>
      <c r="H176" s="3"/>
      <c r="I176" s="4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2"/>
      <c r="Z176" s="2"/>
      <c r="AA176" s="2"/>
      <c r="AB176" s="2"/>
      <c r="AC176" s="2"/>
      <c r="AD176" s="2"/>
    </row>
    <row r="177" ht="12.75" customHeight="1">
      <c r="A177" s="2"/>
      <c r="B177" s="2"/>
      <c r="C177" s="65"/>
      <c r="D177" s="2"/>
      <c r="E177" s="3"/>
      <c r="F177" s="3"/>
      <c r="G177" s="3"/>
      <c r="H177" s="3"/>
      <c r="I177" s="4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2"/>
      <c r="Z177" s="2"/>
      <c r="AA177" s="2"/>
      <c r="AB177" s="2"/>
      <c r="AC177" s="2"/>
      <c r="AD177" s="2"/>
    </row>
    <row r="178" ht="12.75" customHeight="1">
      <c r="A178" s="2"/>
      <c r="B178" s="2"/>
      <c r="C178" s="65"/>
      <c r="D178" s="2"/>
      <c r="E178" s="3"/>
      <c r="F178" s="3"/>
      <c r="G178" s="3"/>
      <c r="H178" s="3"/>
      <c r="I178" s="4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2"/>
      <c r="Z178" s="2"/>
      <c r="AA178" s="2"/>
      <c r="AB178" s="2"/>
      <c r="AC178" s="2"/>
      <c r="AD178" s="2"/>
    </row>
    <row r="179" ht="12.75" customHeight="1">
      <c r="A179" s="2"/>
      <c r="B179" s="2"/>
      <c r="C179" s="65"/>
      <c r="D179" s="2"/>
      <c r="E179" s="3"/>
      <c r="F179" s="3"/>
      <c r="G179" s="3"/>
      <c r="H179" s="3"/>
      <c r="I179" s="4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2"/>
      <c r="Z179" s="2"/>
      <c r="AA179" s="2"/>
      <c r="AB179" s="2"/>
      <c r="AC179" s="2"/>
      <c r="AD179" s="2"/>
    </row>
    <row r="180" ht="12.75" customHeight="1">
      <c r="A180" s="2"/>
      <c r="B180" s="2"/>
      <c r="C180" s="65"/>
      <c r="D180" s="2"/>
      <c r="E180" s="3"/>
      <c r="F180" s="3"/>
      <c r="G180" s="3"/>
      <c r="H180" s="3"/>
      <c r="I180" s="4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2"/>
      <c r="Z180" s="2"/>
      <c r="AA180" s="2"/>
      <c r="AB180" s="2"/>
      <c r="AC180" s="2"/>
      <c r="AD180" s="2"/>
    </row>
    <row r="181" ht="12.75" customHeight="1">
      <c r="A181" s="2"/>
      <c r="B181" s="2"/>
      <c r="C181" s="65"/>
      <c r="D181" s="2"/>
      <c r="E181" s="3"/>
      <c r="F181" s="3"/>
      <c r="G181" s="3"/>
      <c r="H181" s="3"/>
      <c r="I181" s="4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2"/>
      <c r="Z181" s="2"/>
      <c r="AA181" s="2"/>
      <c r="AB181" s="2"/>
      <c r="AC181" s="2"/>
      <c r="AD181" s="2"/>
    </row>
    <row r="182" ht="12.75" customHeight="1">
      <c r="A182" s="2"/>
      <c r="B182" s="2"/>
      <c r="C182" s="65"/>
      <c r="D182" s="2"/>
      <c r="E182" s="3"/>
      <c r="F182" s="3"/>
      <c r="G182" s="3"/>
      <c r="H182" s="3"/>
      <c r="I182" s="4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2"/>
      <c r="Z182" s="2"/>
      <c r="AA182" s="2"/>
      <c r="AB182" s="2"/>
      <c r="AC182" s="2"/>
      <c r="AD182" s="2"/>
    </row>
    <row r="183" ht="12.75" customHeight="1">
      <c r="A183" s="2"/>
      <c r="B183" s="2"/>
      <c r="C183" s="65"/>
      <c r="D183" s="2"/>
      <c r="E183" s="3"/>
      <c r="F183" s="3"/>
      <c r="G183" s="3"/>
      <c r="H183" s="3"/>
      <c r="I183" s="4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2"/>
      <c r="Z183" s="2"/>
      <c r="AA183" s="2"/>
      <c r="AB183" s="2"/>
      <c r="AC183" s="2"/>
      <c r="AD183" s="2"/>
    </row>
    <row r="184" ht="12.75" customHeight="1">
      <c r="A184" s="2"/>
      <c r="B184" s="2"/>
      <c r="C184" s="65"/>
      <c r="D184" s="2"/>
      <c r="E184" s="3"/>
      <c r="F184" s="3"/>
      <c r="G184" s="3"/>
      <c r="H184" s="3"/>
      <c r="I184" s="4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2"/>
      <c r="Z184" s="2"/>
      <c r="AA184" s="2"/>
      <c r="AB184" s="2"/>
      <c r="AC184" s="2"/>
      <c r="AD184" s="2"/>
    </row>
    <row r="185" ht="12.75" customHeight="1">
      <c r="A185" s="2"/>
      <c r="B185" s="2"/>
      <c r="C185" s="65"/>
      <c r="D185" s="2"/>
      <c r="E185" s="3"/>
      <c r="F185" s="3"/>
      <c r="G185" s="3"/>
      <c r="H185" s="3"/>
      <c r="I185" s="4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2"/>
      <c r="Z185" s="2"/>
      <c r="AA185" s="2"/>
      <c r="AB185" s="2"/>
      <c r="AC185" s="2"/>
      <c r="AD185" s="2"/>
    </row>
    <row r="186" ht="12.75" customHeight="1">
      <c r="A186" s="2"/>
      <c r="B186" s="2"/>
      <c r="C186" s="65"/>
      <c r="D186" s="2"/>
      <c r="E186" s="3"/>
      <c r="F186" s="3"/>
      <c r="G186" s="3"/>
      <c r="H186" s="3"/>
      <c r="I186" s="4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2"/>
      <c r="Z186" s="2"/>
      <c r="AA186" s="2"/>
      <c r="AB186" s="2"/>
      <c r="AC186" s="2"/>
      <c r="AD186" s="2"/>
    </row>
    <row r="187" ht="12.75" customHeight="1">
      <c r="A187" s="2"/>
      <c r="B187" s="2"/>
      <c r="C187" s="65"/>
      <c r="D187" s="2"/>
      <c r="E187" s="3"/>
      <c r="F187" s="3"/>
      <c r="G187" s="3"/>
      <c r="H187" s="3"/>
      <c r="I187" s="4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2"/>
      <c r="Z187" s="2"/>
      <c r="AA187" s="2"/>
      <c r="AB187" s="2"/>
      <c r="AC187" s="2"/>
      <c r="AD187" s="2"/>
    </row>
    <row r="188" ht="12.75" customHeight="1">
      <c r="A188" s="2"/>
      <c r="B188" s="2"/>
      <c r="C188" s="65"/>
      <c r="D188" s="2"/>
      <c r="E188" s="3"/>
      <c r="F188" s="3"/>
      <c r="G188" s="3"/>
      <c r="H188" s="3"/>
      <c r="I188" s="4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2"/>
      <c r="Z188" s="2"/>
      <c r="AA188" s="2"/>
      <c r="AB188" s="2"/>
      <c r="AC188" s="2"/>
      <c r="AD188" s="2"/>
    </row>
    <row r="189" ht="12.75" customHeight="1">
      <c r="A189" s="2"/>
      <c r="B189" s="2"/>
      <c r="C189" s="65"/>
      <c r="D189" s="2"/>
      <c r="E189" s="3"/>
      <c r="F189" s="3"/>
      <c r="G189" s="3"/>
      <c r="H189" s="3"/>
      <c r="I189" s="4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2"/>
      <c r="Z189" s="2"/>
      <c r="AA189" s="2"/>
      <c r="AB189" s="2"/>
      <c r="AC189" s="2"/>
      <c r="AD189" s="2"/>
    </row>
    <row r="190" ht="12.75" customHeight="1">
      <c r="A190" s="2"/>
      <c r="B190" s="2"/>
      <c r="C190" s="65"/>
      <c r="D190" s="2"/>
      <c r="E190" s="3"/>
      <c r="F190" s="3"/>
      <c r="G190" s="3"/>
      <c r="H190" s="3"/>
      <c r="I190" s="4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2"/>
      <c r="Z190" s="2"/>
      <c r="AA190" s="2"/>
      <c r="AB190" s="2"/>
      <c r="AC190" s="2"/>
      <c r="AD190" s="2"/>
    </row>
    <row r="191" ht="12.75" customHeight="1">
      <c r="A191" s="2"/>
      <c r="B191" s="2"/>
      <c r="C191" s="65"/>
      <c r="D191" s="2"/>
      <c r="E191" s="3"/>
      <c r="F191" s="3"/>
      <c r="G191" s="3"/>
      <c r="H191" s="3"/>
      <c r="I191" s="4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2"/>
      <c r="Z191" s="2"/>
      <c r="AA191" s="2"/>
      <c r="AB191" s="2"/>
      <c r="AC191" s="2"/>
      <c r="AD191" s="2"/>
    </row>
    <row r="192" ht="12.75" customHeight="1">
      <c r="A192" s="2"/>
      <c r="B192" s="2"/>
      <c r="C192" s="65"/>
      <c r="D192" s="2"/>
      <c r="E192" s="3"/>
      <c r="F192" s="3"/>
      <c r="G192" s="3"/>
      <c r="H192" s="3"/>
      <c r="I192" s="4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2"/>
      <c r="Z192" s="2"/>
      <c r="AA192" s="2"/>
      <c r="AB192" s="2"/>
      <c r="AC192" s="2"/>
      <c r="AD192" s="2"/>
    </row>
    <row r="193" ht="12.75" customHeight="1">
      <c r="A193" s="2"/>
      <c r="B193" s="2"/>
      <c r="C193" s="65"/>
      <c r="D193" s="2"/>
      <c r="E193" s="3"/>
      <c r="F193" s="3"/>
      <c r="G193" s="3"/>
      <c r="H193" s="3"/>
      <c r="I193" s="4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2"/>
      <c r="Z193" s="2"/>
      <c r="AA193" s="2"/>
      <c r="AB193" s="2"/>
      <c r="AC193" s="2"/>
      <c r="AD193" s="2"/>
    </row>
    <row r="194" ht="12.75" customHeight="1">
      <c r="A194" s="2"/>
      <c r="B194" s="2"/>
      <c r="C194" s="65"/>
      <c r="D194" s="2"/>
      <c r="E194" s="3"/>
      <c r="F194" s="3"/>
      <c r="G194" s="3"/>
      <c r="H194" s="3"/>
      <c r="I194" s="4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2"/>
      <c r="Z194" s="2"/>
      <c r="AA194" s="2"/>
      <c r="AB194" s="2"/>
      <c r="AC194" s="2"/>
      <c r="AD194" s="2"/>
    </row>
    <row r="195" ht="12.75" customHeight="1">
      <c r="A195" s="2"/>
      <c r="B195" s="2"/>
      <c r="C195" s="65"/>
      <c r="D195" s="2"/>
      <c r="E195" s="3"/>
      <c r="F195" s="3"/>
      <c r="G195" s="3"/>
      <c r="H195" s="3"/>
      <c r="I195" s="4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2"/>
      <c r="Z195" s="2"/>
      <c r="AA195" s="2"/>
      <c r="AB195" s="2"/>
      <c r="AC195" s="2"/>
      <c r="AD195" s="2"/>
    </row>
    <row r="196" ht="12.75" customHeight="1">
      <c r="A196" s="2"/>
      <c r="B196" s="2"/>
      <c r="C196" s="65"/>
      <c r="D196" s="2"/>
      <c r="E196" s="3"/>
      <c r="F196" s="3"/>
      <c r="G196" s="3"/>
      <c r="H196" s="3"/>
      <c r="I196" s="4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2"/>
      <c r="Z196" s="2"/>
      <c r="AA196" s="2"/>
      <c r="AB196" s="2"/>
      <c r="AC196" s="2"/>
      <c r="AD196" s="2"/>
    </row>
    <row r="197" ht="12.75" customHeight="1">
      <c r="A197" s="2"/>
      <c r="B197" s="2"/>
      <c r="C197" s="65"/>
      <c r="D197" s="2"/>
      <c r="E197" s="3"/>
      <c r="F197" s="3"/>
      <c r="G197" s="3"/>
      <c r="H197" s="3"/>
      <c r="I197" s="4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2"/>
      <c r="Z197" s="2"/>
      <c r="AA197" s="2"/>
      <c r="AB197" s="2"/>
      <c r="AC197" s="2"/>
      <c r="AD197" s="2"/>
    </row>
    <row r="198" ht="12.75" customHeight="1">
      <c r="A198" s="2"/>
      <c r="B198" s="2"/>
      <c r="C198" s="65"/>
      <c r="D198" s="2"/>
      <c r="E198" s="3"/>
      <c r="F198" s="3"/>
      <c r="G198" s="3"/>
      <c r="H198" s="3"/>
      <c r="I198" s="4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2"/>
      <c r="Z198" s="2"/>
      <c r="AA198" s="2"/>
      <c r="AB198" s="2"/>
      <c r="AC198" s="2"/>
      <c r="AD198" s="2"/>
    </row>
    <row r="199" ht="12.75" customHeight="1">
      <c r="A199" s="2"/>
      <c r="B199" s="2"/>
      <c r="C199" s="65"/>
      <c r="D199" s="2"/>
      <c r="E199" s="3"/>
      <c r="F199" s="3"/>
      <c r="G199" s="3"/>
      <c r="H199" s="3"/>
      <c r="I199" s="4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2"/>
      <c r="Z199" s="2"/>
      <c r="AA199" s="2"/>
      <c r="AB199" s="2"/>
      <c r="AC199" s="2"/>
      <c r="AD199" s="2"/>
    </row>
    <row r="200" ht="12.75" customHeight="1">
      <c r="A200" s="2"/>
      <c r="B200" s="2"/>
      <c r="C200" s="65"/>
      <c r="D200" s="2"/>
      <c r="E200" s="3"/>
      <c r="F200" s="3"/>
      <c r="G200" s="3"/>
      <c r="H200" s="3"/>
      <c r="I200" s="4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2"/>
      <c r="Z200" s="2"/>
      <c r="AA200" s="2"/>
      <c r="AB200" s="2"/>
      <c r="AC200" s="2"/>
      <c r="AD200" s="2"/>
    </row>
    <row r="201" ht="12.75" customHeight="1">
      <c r="A201" s="2"/>
      <c r="B201" s="2"/>
      <c r="C201" s="65"/>
      <c r="D201" s="2"/>
      <c r="E201" s="3"/>
      <c r="F201" s="3"/>
      <c r="G201" s="3"/>
      <c r="H201" s="3"/>
      <c r="I201" s="4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2"/>
      <c r="Z201" s="2"/>
      <c r="AA201" s="2"/>
      <c r="AB201" s="2"/>
      <c r="AC201" s="2"/>
      <c r="AD201" s="2"/>
    </row>
    <row r="202" ht="12.75" customHeight="1">
      <c r="A202" s="2"/>
      <c r="B202" s="2"/>
      <c r="C202" s="65"/>
      <c r="D202" s="2"/>
      <c r="E202" s="3"/>
      <c r="F202" s="3"/>
      <c r="G202" s="3"/>
      <c r="H202" s="3"/>
      <c r="I202" s="4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2"/>
      <c r="Z202" s="2"/>
      <c r="AA202" s="2"/>
      <c r="AB202" s="2"/>
      <c r="AC202" s="2"/>
      <c r="AD202" s="2"/>
    </row>
    <row r="203" ht="12.75" customHeight="1">
      <c r="A203" s="2"/>
      <c r="B203" s="2"/>
      <c r="C203" s="65"/>
      <c r="D203" s="2"/>
      <c r="E203" s="3"/>
      <c r="F203" s="3"/>
      <c r="G203" s="3"/>
      <c r="H203" s="3"/>
      <c r="I203" s="4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2"/>
      <c r="Z203" s="2"/>
      <c r="AA203" s="2"/>
      <c r="AB203" s="2"/>
      <c r="AC203" s="2"/>
      <c r="AD203" s="2"/>
    </row>
    <row r="204" ht="12.75" customHeight="1">
      <c r="A204" s="2"/>
      <c r="B204" s="2"/>
      <c r="C204" s="65"/>
      <c r="D204" s="2"/>
      <c r="E204" s="3"/>
      <c r="F204" s="3"/>
      <c r="G204" s="3"/>
      <c r="H204" s="3"/>
      <c r="I204" s="4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2"/>
      <c r="Z204" s="2"/>
      <c r="AA204" s="2"/>
      <c r="AB204" s="2"/>
      <c r="AC204" s="2"/>
      <c r="AD204" s="2"/>
    </row>
    <row r="205" ht="12.75" customHeight="1">
      <c r="A205" s="2"/>
      <c r="B205" s="2"/>
      <c r="C205" s="65"/>
      <c r="D205" s="2"/>
      <c r="E205" s="3"/>
      <c r="F205" s="3"/>
      <c r="G205" s="3"/>
      <c r="H205" s="3"/>
      <c r="I205" s="4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2"/>
      <c r="Z205" s="2"/>
      <c r="AA205" s="2"/>
      <c r="AB205" s="2"/>
      <c r="AC205" s="2"/>
      <c r="AD205" s="2"/>
    </row>
    <row r="206" ht="12.75" customHeight="1">
      <c r="A206" s="2"/>
      <c r="B206" s="2"/>
      <c r="C206" s="65"/>
      <c r="D206" s="2"/>
      <c r="E206" s="3"/>
      <c r="F206" s="3"/>
      <c r="G206" s="3"/>
      <c r="H206" s="3"/>
      <c r="I206" s="4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2"/>
      <c r="Z206" s="2"/>
      <c r="AA206" s="2"/>
      <c r="AB206" s="2"/>
      <c r="AC206" s="2"/>
      <c r="AD206" s="2"/>
    </row>
    <row r="207" ht="12.75" customHeight="1">
      <c r="A207" s="2"/>
      <c r="B207" s="2"/>
      <c r="C207" s="65"/>
      <c r="D207" s="2"/>
      <c r="E207" s="3"/>
      <c r="F207" s="3"/>
      <c r="G207" s="3"/>
      <c r="H207" s="3"/>
      <c r="I207" s="4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2"/>
      <c r="Z207" s="2"/>
      <c r="AA207" s="2"/>
      <c r="AB207" s="2"/>
      <c r="AC207" s="2"/>
      <c r="AD207" s="2"/>
    </row>
    <row r="208" ht="12.75" customHeight="1">
      <c r="A208" s="2"/>
      <c r="B208" s="2"/>
      <c r="C208" s="65"/>
      <c r="D208" s="2"/>
      <c r="E208" s="3"/>
      <c r="F208" s="3"/>
      <c r="G208" s="3"/>
      <c r="H208" s="3"/>
      <c r="I208" s="4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2"/>
      <c r="Z208" s="2"/>
      <c r="AA208" s="2"/>
      <c r="AB208" s="2"/>
      <c r="AC208" s="2"/>
      <c r="AD208" s="2"/>
    </row>
    <row r="209" ht="12.75" customHeight="1">
      <c r="A209" s="2"/>
      <c r="B209" s="2"/>
      <c r="C209" s="65"/>
      <c r="D209" s="2"/>
      <c r="E209" s="3"/>
      <c r="F209" s="3"/>
      <c r="G209" s="3"/>
      <c r="H209" s="3"/>
      <c r="I209" s="4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2"/>
      <c r="Z209" s="2"/>
      <c r="AA209" s="2"/>
      <c r="AB209" s="2"/>
      <c r="AC209" s="2"/>
      <c r="AD209" s="2"/>
    </row>
    <row r="210" ht="12.75" customHeight="1">
      <c r="A210" s="2"/>
      <c r="B210" s="2"/>
      <c r="C210" s="65"/>
      <c r="D210" s="2"/>
      <c r="E210" s="3"/>
      <c r="F210" s="3"/>
      <c r="G210" s="3"/>
      <c r="H210" s="3"/>
      <c r="I210" s="4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2"/>
      <c r="Z210" s="2"/>
      <c r="AA210" s="2"/>
      <c r="AB210" s="2"/>
      <c r="AC210" s="2"/>
      <c r="AD210" s="2"/>
    </row>
    <row r="211" ht="12.75" customHeight="1">
      <c r="A211" s="2"/>
      <c r="B211" s="2"/>
      <c r="C211" s="65"/>
      <c r="D211" s="2"/>
      <c r="E211" s="3"/>
      <c r="F211" s="3"/>
      <c r="G211" s="3"/>
      <c r="H211" s="3"/>
      <c r="I211" s="4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2"/>
      <c r="Z211" s="2"/>
      <c r="AA211" s="2"/>
      <c r="AB211" s="2"/>
      <c r="AC211" s="2"/>
      <c r="AD211" s="2"/>
    </row>
    <row r="212" ht="12.75" customHeight="1">
      <c r="A212" s="2"/>
      <c r="B212" s="2"/>
      <c r="C212" s="65"/>
      <c r="D212" s="2"/>
      <c r="E212" s="3"/>
      <c r="F212" s="3"/>
      <c r="G212" s="3"/>
      <c r="H212" s="3"/>
      <c r="I212" s="4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2"/>
      <c r="Z212" s="2"/>
      <c r="AA212" s="2"/>
      <c r="AB212" s="2"/>
      <c r="AC212" s="2"/>
      <c r="AD212" s="2"/>
    </row>
    <row r="213" ht="12.75" customHeight="1">
      <c r="A213" s="2"/>
      <c r="B213" s="2"/>
      <c r="C213" s="65"/>
      <c r="D213" s="2"/>
      <c r="E213" s="3"/>
      <c r="F213" s="3"/>
      <c r="G213" s="3"/>
      <c r="H213" s="3"/>
      <c r="I213" s="4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2"/>
      <c r="Z213" s="2"/>
      <c r="AA213" s="2"/>
      <c r="AB213" s="2"/>
      <c r="AC213" s="2"/>
      <c r="AD213" s="2"/>
    </row>
    <row r="214" ht="12.75" customHeight="1">
      <c r="A214" s="2"/>
      <c r="B214" s="2"/>
      <c r="C214" s="65"/>
      <c r="D214" s="2"/>
      <c r="E214" s="3"/>
      <c r="F214" s="3"/>
      <c r="G214" s="3"/>
      <c r="H214" s="3"/>
      <c r="I214" s="4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2"/>
      <c r="Z214" s="2"/>
      <c r="AA214" s="2"/>
      <c r="AB214" s="2"/>
      <c r="AC214" s="2"/>
      <c r="AD214" s="2"/>
    </row>
    <row r="215" ht="12.75" customHeight="1">
      <c r="A215" s="2"/>
      <c r="B215" s="2"/>
      <c r="C215" s="65"/>
      <c r="D215" s="2"/>
      <c r="E215" s="3"/>
      <c r="F215" s="3"/>
      <c r="G215" s="3"/>
      <c r="H215" s="3"/>
      <c r="I215" s="4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2"/>
      <c r="Z215" s="2"/>
      <c r="AA215" s="2"/>
      <c r="AB215" s="2"/>
      <c r="AC215" s="2"/>
      <c r="AD215" s="2"/>
    </row>
    <row r="216" ht="12.75" customHeight="1">
      <c r="A216" s="2"/>
      <c r="B216" s="2"/>
      <c r="C216" s="65"/>
      <c r="D216" s="2"/>
      <c r="E216" s="3"/>
      <c r="F216" s="3"/>
      <c r="G216" s="3"/>
      <c r="H216" s="3"/>
      <c r="I216" s="4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2"/>
      <c r="Z216" s="2"/>
      <c r="AA216" s="2"/>
      <c r="AB216" s="2"/>
      <c r="AC216" s="2"/>
      <c r="AD216" s="2"/>
    </row>
    <row r="217" ht="12.75" customHeight="1">
      <c r="A217" s="2"/>
      <c r="B217" s="2"/>
      <c r="C217" s="65"/>
      <c r="D217" s="2"/>
      <c r="E217" s="3"/>
      <c r="F217" s="3"/>
      <c r="G217" s="3"/>
      <c r="H217" s="3"/>
      <c r="I217" s="4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2"/>
      <c r="Z217" s="2"/>
      <c r="AA217" s="2"/>
      <c r="AB217" s="2"/>
      <c r="AC217" s="2"/>
      <c r="AD217" s="2"/>
    </row>
    <row r="218" ht="12.75" customHeight="1">
      <c r="A218" s="2"/>
      <c r="B218" s="2"/>
      <c r="C218" s="65"/>
      <c r="D218" s="2"/>
      <c r="E218" s="3"/>
      <c r="F218" s="3"/>
      <c r="G218" s="3"/>
      <c r="H218" s="3"/>
      <c r="I218" s="4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2"/>
      <c r="Z218" s="2"/>
      <c r="AA218" s="2"/>
      <c r="AB218" s="2"/>
      <c r="AC218" s="2"/>
      <c r="AD218" s="2"/>
    </row>
    <row r="219" ht="12.75" customHeight="1">
      <c r="A219" s="2"/>
      <c r="B219" s="2"/>
      <c r="C219" s="65"/>
      <c r="D219" s="2"/>
      <c r="E219" s="3"/>
      <c r="F219" s="3"/>
      <c r="G219" s="3"/>
      <c r="H219" s="3"/>
      <c r="I219" s="4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2"/>
      <c r="Z219" s="2"/>
      <c r="AA219" s="2"/>
      <c r="AB219" s="2"/>
      <c r="AC219" s="2"/>
      <c r="AD219" s="2"/>
    </row>
    <row r="220" ht="12.75" customHeight="1">
      <c r="A220" s="2"/>
      <c r="B220" s="2"/>
      <c r="C220" s="65"/>
      <c r="D220" s="2"/>
      <c r="E220" s="3"/>
      <c r="F220" s="3"/>
      <c r="G220" s="3"/>
      <c r="H220" s="3"/>
      <c r="I220" s="4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2"/>
      <c r="Z220" s="2"/>
      <c r="AA220" s="2"/>
      <c r="AB220" s="2"/>
      <c r="AC220" s="2"/>
      <c r="AD220" s="2"/>
    </row>
    <row r="221" ht="12.75" customHeight="1">
      <c r="A221" s="2"/>
      <c r="B221" s="2"/>
      <c r="C221" s="65"/>
      <c r="D221" s="2"/>
      <c r="E221" s="3"/>
      <c r="F221" s="3"/>
      <c r="G221" s="3"/>
      <c r="H221" s="3"/>
      <c r="I221" s="4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2"/>
      <c r="Z221" s="2"/>
      <c r="AA221" s="2"/>
      <c r="AB221" s="2"/>
      <c r="AC221" s="2"/>
      <c r="AD221" s="2"/>
    </row>
    <row r="222" ht="12.75" customHeight="1">
      <c r="A222" s="2"/>
      <c r="B222" s="2"/>
      <c r="C222" s="65"/>
      <c r="D222" s="2"/>
      <c r="E222" s="3"/>
      <c r="F222" s="3"/>
      <c r="G222" s="3"/>
      <c r="H222" s="3"/>
      <c r="I222" s="4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2"/>
      <c r="Z222" s="2"/>
      <c r="AA222" s="2"/>
      <c r="AB222" s="2"/>
      <c r="AC222" s="2"/>
      <c r="AD222" s="2"/>
    </row>
    <row r="223" ht="12.75" customHeight="1">
      <c r="A223" s="2"/>
      <c r="B223" s="2"/>
      <c r="C223" s="65"/>
      <c r="D223" s="2"/>
      <c r="E223" s="3"/>
      <c r="F223" s="3"/>
      <c r="G223" s="3"/>
      <c r="H223" s="3"/>
      <c r="I223" s="4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2"/>
      <c r="Z223" s="2"/>
      <c r="AA223" s="2"/>
      <c r="AB223" s="2"/>
      <c r="AC223" s="2"/>
      <c r="AD223" s="2"/>
    </row>
    <row r="224" ht="12.75" customHeight="1">
      <c r="A224" s="2"/>
      <c r="B224" s="2"/>
      <c r="C224" s="65"/>
      <c r="D224" s="2"/>
      <c r="E224" s="3"/>
      <c r="F224" s="3"/>
      <c r="G224" s="3"/>
      <c r="H224" s="3"/>
      <c r="I224" s="4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2"/>
      <c r="Z224" s="2"/>
      <c r="AA224" s="2"/>
      <c r="AB224" s="2"/>
      <c r="AC224" s="2"/>
      <c r="AD224" s="2"/>
    </row>
    <row r="225" ht="12.75" customHeight="1">
      <c r="A225" s="2"/>
      <c r="B225" s="2"/>
      <c r="C225" s="65"/>
      <c r="D225" s="2"/>
      <c r="E225" s="3"/>
      <c r="F225" s="3"/>
      <c r="G225" s="3"/>
      <c r="H225" s="3"/>
      <c r="I225" s="4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2"/>
      <c r="Z225" s="2"/>
      <c r="AA225" s="2"/>
      <c r="AB225" s="2"/>
      <c r="AC225" s="2"/>
      <c r="AD225" s="2"/>
    </row>
    <row r="226" ht="12.75" customHeight="1">
      <c r="A226" s="2"/>
      <c r="B226" s="2"/>
      <c r="C226" s="65"/>
      <c r="D226" s="2"/>
      <c r="E226" s="3"/>
      <c r="F226" s="3"/>
      <c r="G226" s="3"/>
      <c r="H226" s="3"/>
      <c r="I226" s="4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2"/>
      <c r="Z226" s="2"/>
      <c r="AA226" s="2"/>
      <c r="AB226" s="2"/>
      <c r="AC226" s="2"/>
      <c r="AD226" s="2"/>
    </row>
    <row r="227" ht="12.75" customHeight="1">
      <c r="A227" s="2"/>
      <c r="B227" s="2"/>
      <c r="C227" s="65"/>
      <c r="D227" s="2"/>
      <c r="E227" s="3"/>
      <c r="F227" s="3"/>
      <c r="G227" s="3"/>
      <c r="H227" s="3"/>
      <c r="I227" s="4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2"/>
      <c r="Z227" s="2"/>
      <c r="AA227" s="2"/>
      <c r="AB227" s="2"/>
      <c r="AC227" s="2"/>
      <c r="AD227" s="2"/>
    </row>
    <row r="228" ht="12.75" customHeight="1">
      <c r="A228" s="2"/>
      <c r="B228" s="2"/>
      <c r="C228" s="65"/>
      <c r="D228" s="2"/>
      <c r="E228" s="3"/>
      <c r="F228" s="3"/>
      <c r="G228" s="3"/>
      <c r="H228" s="3"/>
      <c r="I228" s="4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2"/>
      <c r="Z228" s="2"/>
      <c r="AA228" s="2"/>
      <c r="AB228" s="2"/>
      <c r="AC228" s="2"/>
      <c r="AD228" s="2"/>
    </row>
    <row r="229" ht="12.75" customHeight="1">
      <c r="A229" s="2"/>
      <c r="B229" s="2"/>
      <c r="C229" s="65"/>
      <c r="D229" s="2"/>
      <c r="E229" s="3"/>
      <c r="F229" s="3"/>
      <c r="G229" s="3"/>
      <c r="H229" s="3"/>
      <c r="I229" s="4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2"/>
      <c r="Z229" s="2"/>
      <c r="AA229" s="2"/>
      <c r="AB229" s="2"/>
      <c r="AC229" s="2"/>
      <c r="AD229" s="2"/>
    </row>
    <row r="230" ht="12.75" customHeight="1">
      <c r="A230" s="2"/>
      <c r="B230" s="2"/>
      <c r="C230" s="65"/>
      <c r="D230" s="2"/>
      <c r="E230" s="3"/>
      <c r="F230" s="3"/>
      <c r="G230" s="3"/>
      <c r="H230" s="3"/>
      <c r="I230" s="4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2"/>
      <c r="Z230" s="2"/>
      <c r="AA230" s="2"/>
      <c r="AB230" s="2"/>
      <c r="AC230" s="2"/>
      <c r="AD230" s="2"/>
    </row>
    <row r="231" ht="12.75" customHeight="1">
      <c r="A231" s="2"/>
      <c r="B231" s="2"/>
      <c r="C231" s="65"/>
      <c r="D231" s="2"/>
      <c r="E231" s="3"/>
      <c r="F231" s="3"/>
      <c r="G231" s="3"/>
      <c r="H231" s="3"/>
      <c r="I231" s="4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2"/>
      <c r="Z231" s="2"/>
      <c r="AA231" s="2"/>
      <c r="AB231" s="2"/>
      <c r="AC231" s="2"/>
      <c r="AD231" s="2"/>
    </row>
    <row r="232" ht="12.75" customHeight="1">
      <c r="A232" s="2"/>
      <c r="B232" s="2"/>
      <c r="C232" s="65"/>
      <c r="D232" s="2"/>
      <c r="E232" s="3"/>
      <c r="F232" s="3"/>
      <c r="G232" s="3"/>
      <c r="H232" s="3"/>
      <c r="I232" s="4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2"/>
      <c r="Z232" s="2"/>
      <c r="AA232" s="2"/>
      <c r="AB232" s="2"/>
      <c r="AC232" s="2"/>
      <c r="AD232" s="2"/>
    </row>
    <row r="233" ht="12.75" customHeight="1">
      <c r="A233" s="2"/>
      <c r="B233" s="2"/>
      <c r="C233" s="65"/>
      <c r="D233" s="2"/>
      <c r="E233" s="3"/>
      <c r="F233" s="3"/>
      <c r="G233" s="3"/>
      <c r="H233" s="3"/>
      <c r="I233" s="4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2"/>
      <c r="Z233" s="2"/>
      <c r="AA233" s="2"/>
      <c r="AB233" s="2"/>
      <c r="AC233" s="2"/>
      <c r="AD233" s="2"/>
    </row>
    <row r="234" ht="12.75" customHeight="1">
      <c r="A234" s="2"/>
      <c r="B234" s="2"/>
      <c r="C234" s="65"/>
      <c r="D234" s="2"/>
      <c r="E234" s="3"/>
      <c r="F234" s="3"/>
      <c r="G234" s="3"/>
      <c r="H234" s="3"/>
      <c r="I234" s="4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2"/>
      <c r="Z234" s="2"/>
      <c r="AA234" s="2"/>
      <c r="AB234" s="2"/>
      <c r="AC234" s="2"/>
      <c r="AD234" s="2"/>
    </row>
    <row r="235" ht="12.75" customHeight="1">
      <c r="A235" s="2"/>
      <c r="B235" s="2"/>
      <c r="C235" s="65"/>
      <c r="D235" s="2"/>
      <c r="E235" s="3"/>
      <c r="F235" s="3"/>
      <c r="G235" s="3"/>
      <c r="H235" s="3"/>
      <c r="I235" s="4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2"/>
      <c r="Z235" s="2"/>
      <c r="AA235" s="2"/>
      <c r="AB235" s="2"/>
      <c r="AC235" s="2"/>
      <c r="AD235" s="2"/>
    </row>
    <row r="236" ht="12.75" customHeight="1">
      <c r="A236" s="2"/>
      <c r="B236" s="2"/>
      <c r="C236" s="65"/>
      <c r="D236" s="2"/>
      <c r="E236" s="3"/>
      <c r="F236" s="3"/>
      <c r="G236" s="3"/>
      <c r="H236" s="3"/>
      <c r="I236" s="4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2"/>
      <c r="Z236" s="2"/>
      <c r="AA236" s="2"/>
      <c r="AB236" s="2"/>
      <c r="AC236" s="2"/>
      <c r="AD236" s="2"/>
    </row>
    <row r="237" ht="12.75" customHeight="1">
      <c r="A237" s="2"/>
      <c r="B237" s="2"/>
      <c r="C237" s="65"/>
      <c r="D237" s="2"/>
      <c r="E237" s="3"/>
      <c r="F237" s="3"/>
      <c r="G237" s="3"/>
      <c r="H237" s="3"/>
      <c r="I237" s="4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2"/>
      <c r="Z237" s="2"/>
      <c r="AA237" s="2"/>
      <c r="AB237" s="2"/>
      <c r="AC237" s="2"/>
      <c r="AD237" s="2"/>
    </row>
    <row r="238" ht="12.75" customHeight="1">
      <c r="A238" s="2"/>
      <c r="B238" s="2"/>
      <c r="C238" s="65"/>
      <c r="D238" s="2"/>
      <c r="E238" s="3"/>
      <c r="F238" s="3"/>
      <c r="G238" s="3"/>
      <c r="H238" s="3"/>
      <c r="I238" s="4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2"/>
      <c r="Z238" s="2"/>
      <c r="AA238" s="2"/>
      <c r="AB238" s="2"/>
      <c r="AC238" s="2"/>
      <c r="AD238" s="2"/>
    </row>
    <row r="239" ht="12.75" customHeight="1">
      <c r="A239" s="2"/>
      <c r="B239" s="2"/>
      <c r="C239" s="65"/>
      <c r="D239" s="2"/>
      <c r="E239" s="3"/>
      <c r="F239" s="3"/>
      <c r="G239" s="3"/>
      <c r="H239" s="3"/>
      <c r="I239" s="4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2"/>
      <c r="Z239" s="2"/>
      <c r="AA239" s="2"/>
      <c r="AB239" s="2"/>
      <c r="AC239" s="2"/>
      <c r="AD239" s="2"/>
    </row>
    <row r="240" ht="12.75" customHeight="1">
      <c r="A240" s="2"/>
      <c r="B240" s="2"/>
      <c r="C240" s="65"/>
      <c r="D240" s="2"/>
      <c r="E240" s="3"/>
      <c r="F240" s="3"/>
      <c r="G240" s="3"/>
      <c r="H240" s="3"/>
      <c r="I240" s="4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2"/>
      <c r="Z240" s="2"/>
      <c r="AA240" s="2"/>
      <c r="AB240" s="2"/>
      <c r="AC240" s="2"/>
      <c r="AD240" s="2"/>
    </row>
    <row r="241" ht="12.75" customHeight="1">
      <c r="A241" s="2"/>
      <c r="B241" s="2"/>
      <c r="C241" s="65"/>
      <c r="D241" s="2"/>
      <c r="E241" s="3"/>
      <c r="F241" s="3"/>
      <c r="G241" s="3"/>
      <c r="H241" s="3"/>
      <c r="I241" s="4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2"/>
      <c r="Z241" s="2"/>
      <c r="AA241" s="2"/>
      <c r="AB241" s="2"/>
      <c r="AC241" s="2"/>
      <c r="AD241" s="2"/>
    </row>
    <row r="242" ht="12.75" customHeight="1">
      <c r="A242" s="2"/>
      <c r="B242" s="2"/>
      <c r="C242" s="65"/>
      <c r="D242" s="2"/>
      <c r="E242" s="3"/>
      <c r="F242" s="3"/>
      <c r="G242" s="3"/>
      <c r="H242" s="3"/>
      <c r="I242" s="4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2"/>
      <c r="Z242" s="2"/>
      <c r="AA242" s="2"/>
      <c r="AB242" s="2"/>
      <c r="AC242" s="2"/>
      <c r="AD242" s="2"/>
    </row>
    <row r="243" ht="12.75" customHeight="1">
      <c r="A243" s="2"/>
      <c r="B243" s="2"/>
      <c r="C243" s="65"/>
      <c r="D243" s="2"/>
      <c r="E243" s="3"/>
      <c r="F243" s="3"/>
      <c r="G243" s="3"/>
      <c r="H243" s="3"/>
      <c r="I243" s="4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2"/>
      <c r="Z243" s="2"/>
      <c r="AA243" s="2"/>
      <c r="AB243" s="2"/>
      <c r="AC243" s="2"/>
      <c r="AD243" s="2"/>
    </row>
    <row r="244" ht="12.75" customHeight="1">
      <c r="A244" s="2"/>
      <c r="B244" s="2"/>
      <c r="C244" s="65"/>
      <c r="D244" s="2"/>
      <c r="E244" s="3"/>
      <c r="F244" s="3"/>
      <c r="G244" s="3"/>
      <c r="H244" s="3"/>
      <c r="I244" s="4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2"/>
      <c r="Z244" s="2"/>
      <c r="AA244" s="2"/>
      <c r="AB244" s="2"/>
      <c r="AC244" s="2"/>
      <c r="AD244" s="2"/>
    </row>
    <row r="245" ht="12.75" customHeight="1">
      <c r="A245" s="2"/>
      <c r="B245" s="2"/>
      <c r="C245" s="65"/>
      <c r="D245" s="2"/>
      <c r="E245" s="3"/>
      <c r="F245" s="3"/>
      <c r="G245" s="3"/>
      <c r="H245" s="3"/>
      <c r="I245" s="4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2"/>
      <c r="Z245" s="2"/>
      <c r="AA245" s="2"/>
      <c r="AB245" s="2"/>
      <c r="AC245" s="2"/>
      <c r="AD245" s="2"/>
    </row>
    <row r="246" ht="12.75" customHeight="1">
      <c r="A246" s="2"/>
      <c r="B246" s="2"/>
      <c r="C246" s="65"/>
      <c r="D246" s="2"/>
      <c r="E246" s="3"/>
      <c r="F246" s="3"/>
      <c r="G246" s="3"/>
      <c r="H246" s="3"/>
      <c r="I246" s="4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2"/>
      <c r="Z246" s="2"/>
      <c r="AA246" s="2"/>
      <c r="AB246" s="2"/>
      <c r="AC246" s="2"/>
      <c r="AD246" s="2"/>
    </row>
    <row r="247" ht="12.75" customHeight="1">
      <c r="A247" s="2"/>
      <c r="B247" s="2"/>
      <c r="C247" s="65"/>
      <c r="D247" s="2"/>
      <c r="E247" s="3"/>
      <c r="F247" s="3"/>
      <c r="G247" s="3"/>
      <c r="H247" s="3"/>
      <c r="I247" s="4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2"/>
      <c r="Z247" s="2"/>
      <c r="AA247" s="2"/>
      <c r="AB247" s="2"/>
      <c r="AC247" s="2"/>
      <c r="AD247" s="2"/>
    </row>
    <row r="248" ht="12.75" customHeight="1">
      <c r="A248" s="2"/>
      <c r="B248" s="2"/>
      <c r="C248" s="65"/>
      <c r="D248" s="2"/>
      <c r="E248" s="3"/>
      <c r="F248" s="3"/>
      <c r="G248" s="3"/>
      <c r="H248" s="3"/>
      <c r="I248" s="4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2"/>
      <c r="Z248" s="2"/>
      <c r="AA248" s="2"/>
      <c r="AB248" s="2"/>
      <c r="AC248" s="2"/>
      <c r="AD248" s="2"/>
    </row>
    <row r="249" ht="12.75" customHeight="1">
      <c r="A249" s="2"/>
      <c r="B249" s="2"/>
      <c r="C249" s="65"/>
      <c r="D249" s="2"/>
      <c r="E249" s="3"/>
      <c r="F249" s="3"/>
      <c r="G249" s="3"/>
      <c r="H249" s="3"/>
      <c r="I249" s="4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2"/>
      <c r="Z249" s="2"/>
      <c r="AA249" s="2"/>
      <c r="AB249" s="2"/>
      <c r="AC249" s="2"/>
      <c r="AD249" s="2"/>
    </row>
    <row r="250" ht="12.75" customHeight="1">
      <c r="A250" s="2"/>
      <c r="B250" s="2"/>
      <c r="C250" s="65"/>
      <c r="D250" s="2"/>
      <c r="E250" s="3"/>
      <c r="F250" s="3"/>
      <c r="G250" s="3"/>
      <c r="H250" s="3"/>
      <c r="I250" s="4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2"/>
      <c r="Z250" s="2"/>
      <c r="AA250" s="2"/>
      <c r="AB250" s="2"/>
      <c r="AC250" s="2"/>
      <c r="AD250" s="2"/>
    </row>
    <row r="251" ht="12.75" customHeight="1">
      <c r="A251" s="2"/>
      <c r="B251" s="2"/>
      <c r="C251" s="65"/>
      <c r="D251" s="2"/>
      <c r="E251" s="3"/>
      <c r="F251" s="3"/>
      <c r="G251" s="3"/>
      <c r="H251" s="3"/>
      <c r="I251" s="4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2"/>
      <c r="Z251" s="2"/>
      <c r="AA251" s="2"/>
      <c r="AB251" s="2"/>
      <c r="AC251" s="2"/>
      <c r="AD251" s="2"/>
    </row>
    <row r="252" ht="12.75" customHeight="1">
      <c r="A252" s="2"/>
      <c r="B252" s="2"/>
      <c r="C252" s="65"/>
      <c r="D252" s="2"/>
      <c r="E252" s="3"/>
      <c r="F252" s="3"/>
      <c r="G252" s="3"/>
      <c r="H252" s="3"/>
      <c r="I252" s="4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2"/>
      <c r="Z252" s="2"/>
      <c r="AA252" s="2"/>
      <c r="AB252" s="2"/>
      <c r="AC252" s="2"/>
      <c r="AD252" s="2"/>
    </row>
    <row r="253" ht="12.75" customHeight="1">
      <c r="A253" s="2"/>
      <c r="B253" s="2"/>
      <c r="C253" s="65"/>
      <c r="D253" s="2"/>
      <c r="E253" s="3"/>
      <c r="F253" s="3"/>
      <c r="G253" s="3"/>
      <c r="H253" s="3"/>
      <c r="I253" s="4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2"/>
      <c r="Z253" s="2"/>
      <c r="AA253" s="2"/>
      <c r="AB253" s="2"/>
      <c r="AC253" s="2"/>
      <c r="AD253" s="2"/>
    </row>
    <row r="254" ht="12.75" customHeight="1">
      <c r="A254" s="2"/>
      <c r="B254" s="2"/>
      <c r="C254" s="65"/>
      <c r="D254" s="2"/>
      <c r="E254" s="3"/>
      <c r="F254" s="3"/>
      <c r="G254" s="3"/>
      <c r="H254" s="3"/>
      <c r="I254" s="4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2"/>
      <c r="Z254" s="2"/>
      <c r="AA254" s="2"/>
      <c r="AB254" s="2"/>
      <c r="AC254" s="2"/>
      <c r="AD254" s="2"/>
    </row>
    <row r="255" ht="12.75" customHeight="1">
      <c r="A255" s="2"/>
      <c r="B255" s="2"/>
      <c r="C255" s="65"/>
      <c r="D255" s="2"/>
      <c r="E255" s="3"/>
      <c r="F255" s="3"/>
      <c r="G255" s="3"/>
      <c r="H255" s="3"/>
      <c r="I255" s="4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2"/>
      <c r="Z255" s="2"/>
      <c r="AA255" s="2"/>
      <c r="AB255" s="2"/>
      <c r="AC255" s="2"/>
      <c r="AD255" s="2"/>
    </row>
    <row r="256" ht="12.75" customHeight="1">
      <c r="A256" s="2"/>
      <c r="B256" s="2"/>
      <c r="C256" s="65"/>
      <c r="D256" s="2"/>
      <c r="E256" s="3"/>
      <c r="F256" s="3"/>
      <c r="G256" s="3"/>
      <c r="H256" s="3"/>
      <c r="I256" s="4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2"/>
      <c r="Z256" s="2"/>
      <c r="AA256" s="2"/>
      <c r="AB256" s="2"/>
      <c r="AC256" s="2"/>
      <c r="AD256" s="2"/>
    </row>
    <row r="257" ht="12.75" customHeight="1">
      <c r="A257" s="2"/>
      <c r="B257" s="2"/>
      <c r="C257" s="65"/>
      <c r="D257" s="2"/>
      <c r="E257" s="3"/>
      <c r="F257" s="3"/>
      <c r="G257" s="3"/>
      <c r="H257" s="3"/>
      <c r="I257" s="4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2"/>
      <c r="Z257" s="2"/>
      <c r="AA257" s="2"/>
      <c r="AB257" s="2"/>
      <c r="AC257" s="2"/>
      <c r="AD257" s="2"/>
    </row>
    <row r="258" ht="12.75" customHeight="1">
      <c r="A258" s="2"/>
      <c r="B258" s="2"/>
      <c r="C258" s="65"/>
      <c r="D258" s="2"/>
      <c r="E258" s="3"/>
      <c r="F258" s="3"/>
      <c r="G258" s="3"/>
      <c r="H258" s="3"/>
      <c r="I258" s="4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2"/>
      <c r="Z258" s="2"/>
      <c r="AA258" s="2"/>
      <c r="AB258" s="2"/>
      <c r="AC258" s="2"/>
      <c r="AD258" s="2"/>
    </row>
    <row r="259" ht="12.75" customHeight="1">
      <c r="A259" s="2"/>
      <c r="B259" s="2"/>
      <c r="C259" s="65"/>
      <c r="D259" s="2"/>
      <c r="E259" s="3"/>
      <c r="F259" s="3"/>
      <c r="G259" s="3"/>
      <c r="H259" s="3"/>
      <c r="I259" s="4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2"/>
      <c r="Z259" s="2"/>
      <c r="AA259" s="2"/>
      <c r="AB259" s="2"/>
      <c r="AC259" s="2"/>
      <c r="AD259" s="2"/>
    </row>
    <row r="260" ht="12.75" customHeight="1">
      <c r="A260" s="2"/>
      <c r="B260" s="2"/>
      <c r="C260" s="65"/>
      <c r="D260" s="2"/>
      <c r="E260" s="3"/>
      <c r="F260" s="3"/>
      <c r="G260" s="3"/>
      <c r="H260" s="3"/>
      <c r="I260" s="4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2"/>
      <c r="Z260" s="2"/>
      <c r="AA260" s="2"/>
      <c r="AB260" s="2"/>
      <c r="AC260" s="2"/>
      <c r="AD260" s="2"/>
    </row>
    <row r="261" ht="12.75" customHeight="1">
      <c r="A261" s="2"/>
      <c r="B261" s="2"/>
      <c r="C261" s="65"/>
      <c r="D261" s="2"/>
      <c r="E261" s="3"/>
      <c r="F261" s="3"/>
      <c r="G261" s="3"/>
      <c r="H261" s="3"/>
      <c r="I261" s="4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2"/>
      <c r="Z261" s="2"/>
      <c r="AA261" s="2"/>
      <c r="AB261" s="2"/>
      <c r="AC261" s="2"/>
      <c r="AD261" s="2"/>
    </row>
    <row r="262" ht="12.75" customHeight="1">
      <c r="A262" s="2"/>
      <c r="B262" s="2"/>
      <c r="C262" s="65"/>
      <c r="D262" s="2"/>
      <c r="E262" s="3"/>
      <c r="F262" s="3"/>
      <c r="G262" s="3"/>
      <c r="H262" s="3"/>
      <c r="I262" s="4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2"/>
      <c r="Z262" s="2"/>
      <c r="AA262" s="2"/>
      <c r="AB262" s="2"/>
      <c r="AC262" s="2"/>
      <c r="AD262" s="2"/>
    </row>
    <row r="263" ht="12.75" customHeight="1">
      <c r="A263" s="2"/>
      <c r="B263" s="2"/>
      <c r="C263" s="65"/>
      <c r="D263" s="2"/>
      <c r="E263" s="3"/>
      <c r="F263" s="3"/>
      <c r="G263" s="3"/>
      <c r="H263" s="3"/>
      <c r="I263" s="4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2"/>
      <c r="Z263" s="2"/>
      <c r="AA263" s="2"/>
      <c r="AB263" s="2"/>
      <c r="AC263" s="2"/>
      <c r="AD263" s="2"/>
    </row>
    <row r="264" ht="12.75" customHeight="1">
      <c r="A264" s="2"/>
      <c r="B264" s="2"/>
      <c r="C264" s="65"/>
      <c r="D264" s="2"/>
      <c r="E264" s="3"/>
      <c r="F264" s="3"/>
      <c r="G264" s="3"/>
      <c r="H264" s="3"/>
      <c r="I264" s="4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2"/>
      <c r="Z264" s="2"/>
      <c r="AA264" s="2"/>
      <c r="AB264" s="2"/>
      <c r="AC264" s="2"/>
      <c r="AD264" s="2"/>
    </row>
    <row r="265" ht="12.75" customHeight="1">
      <c r="A265" s="2"/>
      <c r="B265" s="2"/>
      <c r="C265" s="65"/>
      <c r="D265" s="2"/>
      <c r="E265" s="3"/>
      <c r="F265" s="3"/>
      <c r="G265" s="3"/>
      <c r="H265" s="3"/>
      <c r="I265" s="4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2"/>
      <c r="Z265" s="2"/>
      <c r="AA265" s="2"/>
      <c r="AB265" s="2"/>
      <c r="AC265" s="2"/>
      <c r="AD265" s="2"/>
    </row>
    <row r="266" ht="12.75" customHeight="1">
      <c r="A266" s="2"/>
      <c r="B266" s="2"/>
      <c r="C266" s="65"/>
      <c r="D266" s="2"/>
      <c r="E266" s="3"/>
      <c r="F266" s="3"/>
      <c r="G266" s="3"/>
      <c r="H266" s="3"/>
      <c r="I266" s="4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2"/>
      <c r="Z266" s="2"/>
      <c r="AA266" s="2"/>
      <c r="AB266" s="2"/>
      <c r="AC266" s="2"/>
      <c r="AD266" s="2"/>
    </row>
    <row r="267" ht="12.75" customHeight="1">
      <c r="A267" s="2"/>
      <c r="B267" s="2"/>
      <c r="C267" s="65"/>
      <c r="D267" s="2"/>
      <c r="E267" s="3"/>
      <c r="F267" s="3"/>
      <c r="G267" s="3"/>
      <c r="H267" s="3"/>
      <c r="I267" s="4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2"/>
      <c r="Z267" s="2"/>
      <c r="AA267" s="2"/>
      <c r="AB267" s="2"/>
      <c r="AC267" s="2"/>
      <c r="AD267" s="2"/>
    </row>
    <row r="268" ht="12.75" customHeight="1">
      <c r="A268" s="2"/>
      <c r="B268" s="2"/>
      <c r="C268" s="65"/>
      <c r="D268" s="2"/>
      <c r="E268" s="3"/>
      <c r="F268" s="3"/>
      <c r="G268" s="3"/>
      <c r="H268" s="3"/>
      <c r="I268" s="4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2"/>
      <c r="Z268" s="2"/>
      <c r="AA268" s="2"/>
      <c r="AB268" s="2"/>
      <c r="AC268" s="2"/>
      <c r="AD268" s="2"/>
    </row>
    <row r="269" ht="12.75" customHeight="1">
      <c r="A269" s="2"/>
      <c r="B269" s="2"/>
      <c r="C269" s="65"/>
      <c r="D269" s="2"/>
      <c r="E269" s="3"/>
      <c r="F269" s="3"/>
      <c r="G269" s="3"/>
      <c r="H269" s="3"/>
      <c r="I269" s="4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2"/>
      <c r="Z269" s="2"/>
      <c r="AA269" s="2"/>
      <c r="AB269" s="2"/>
      <c r="AC269" s="2"/>
      <c r="AD269" s="2"/>
    </row>
    <row r="270" ht="12.75" customHeight="1">
      <c r="A270" s="2"/>
      <c r="B270" s="2"/>
      <c r="C270" s="65"/>
      <c r="D270" s="2"/>
      <c r="E270" s="3"/>
      <c r="F270" s="3"/>
      <c r="G270" s="3"/>
      <c r="H270" s="3"/>
      <c r="I270" s="4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2"/>
      <c r="Z270" s="2"/>
      <c r="AA270" s="2"/>
      <c r="AB270" s="2"/>
      <c r="AC270" s="2"/>
      <c r="AD270" s="2"/>
    </row>
    <row r="271" ht="12.75" customHeight="1">
      <c r="A271" s="2"/>
      <c r="B271" s="2"/>
      <c r="C271" s="65"/>
      <c r="D271" s="2"/>
      <c r="E271" s="3"/>
      <c r="F271" s="3"/>
      <c r="G271" s="3"/>
      <c r="H271" s="3"/>
      <c r="I271" s="4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2"/>
      <c r="Z271" s="2"/>
      <c r="AA271" s="2"/>
      <c r="AB271" s="2"/>
      <c r="AC271" s="2"/>
      <c r="AD271" s="2"/>
    </row>
    <row r="272" ht="12.75" customHeight="1">
      <c r="A272" s="2"/>
      <c r="B272" s="2"/>
      <c r="C272" s="65"/>
      <c r="D272" s="2"/>
      <c r="E272" s="3"/>
      <c r="F272" s="3"/>
      <c r="G272" s="3"/>
      <c r="H272" s="3"/>
      <c r="I272" s="4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2"/>
      <c r="Z272" s="2"/>
      <c r="AA272" s="2"/>
      <c r="AB272" s="2"/>
      <c r="AC272" s="2"/>
      <c r="AD272" s="2"/>
    </row>
    <row r="273" ht="12.75" customHeight="1">
      <c r="A273" s="2"/>
      <c r="B273" s="2"/>
      <c r="C273" s="65"/>
      <c r="D273" s="2"/>
      <c r="E273" s="3"/>
      <c r="F273" s="3"/>
      <c r="G273" s="3"/>
      <c r="H273" s="3"/>
      <c r="I273" s="4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2"/>
      <c r="Z273" s="2"/>
      <c r="AA273" s="2"/>
      <c r="AB273" s="2"/>
      <c r="AC273" s="2"/>
      <c r="AD273" s="2"/>
    </row>
    <row r="274" ht="12.75" customHeight="1">
      <c r="A274" s="2"/>
      <c r="B274" s="2"/>
      <c r="C274" s="65"/>
      <c r="D274" s="2"/>
      <c r="E274" s="3"/>
      <c r="F274" s="3"/>
      <c r="G274" s="3"/>
      <c r="H274" s="3"/>
      <c r="I274" s="4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2"/>
      <c r="Z274" s="2"/>
      <c r="AA274" s="2"/>
      <c r="AB274" s="2"/>
      <c r="AC274" s="2"/>
      <c r="AD274" s="2"/>
    </row>
    <row r="275" ht="12.75" customHeight="1">
      <c r="A275" s="2"/>
      <c r="B275" s="2"/>
      <c r="C275" s="65"/>
      <c r="D275" s="2"/>
      <c r="E275" s="3"/>
      <c r="F275" s="3"/>
      <c r="G275" s="3"/>
      <c r="H275" s="3"/>
      <c r="I275" s="4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2"/>
      <c r="Z275" s="2"/>
      <c r="AA275" s="2"/>
      <c r="AB275" s="2"/>
      <c r="AC275" s="2"/>
      <c r="AD275" s="2"/>
    </row>
    <row r="276" ht="12.75" customHeight="1">
      <c r="A276" s="2"/>
      <c r="B276" s="2"/>
      <c r="C276" s="65"/>
      <c r="D276" s="2"/>
      <c r="E276" s="3"/>
      <c r="F276" s="3"/>
      <c r="G276" s="3"/>
      <c r="H276" s="3"/>
      <c r="I276" s="4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2"/>
      <c r="Z276" s="2"/>
      <c r="AA276" s="2"/>
      <c r="AB276" s="2"/>
      <c r="AC276" s="2"/>
      <c r="AD276" s="2"/>
    </row>
    <row r="277" ht="12.75" customHeight="1">
      <c r="A277" s="2"/>
      <c r="B277" s="2"/>
      <c r="C277" s="65"/>
      <c r="D277" s="2"/>
      <c r="E277" s="3"/>
      <c r="F277" s="3"/>
      <c r="G277" s="3"/>
      <c r="H277" s="3"/>
      <c r="I277" s="4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2"/>
      <c r="Z277" s="2"/>
      <c r="AA277" s="2"/>
      <c r="AB277" s="2"/>
      <c r="AC277" s="2"/>
      <c r="AD277" s="2"/>
    </row>
    <row r="278" ht="12.75" customHeight="1">
      <c r="A278" s="2"/>
      <c r="B278" s="2"/>
      <c r="C278" s="65"/>
      <c r="D278" s="2"/>
      <c r="E278" s="3"/>
      <c r="F278" s="3"/>
      <c r="G278" s="3"/>
      <c r="H278" s="3"/>
      <c r="I278" s="4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2"/>
      <c r="Z278" s="2"/>
      <c r="AA278" s="2"/>
      <c r="AB278" s="2"/>
      <c r="AC278" s="2"/>
      <c r="AD278" s="2"/>
    </row>
    <row r="279" ht="12.75" customHeight="1">
      <c r="A279" s="2"/>
      <c r="B279" s="2"/>
      <c r="C279" s="65"/>
      <c r="D279" s="2"/>
      <c r="E279" s="3"/>
      <c r="F279" s="3"/>
      <c r="G279" s="3"/>
      <c r="H279" s="3"/>
      <c r="I279" s="4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2"/>
      <c r="Z279" s="2"/>
      <c r="AA279" s="2"/>
      <c r="AB279" s="2"/>
      <c r="AC279" s="2"/>
      <c r="AD279" s="2"/>
    </row>
    <row r="280" ht="12.75" customHeight="1">
      <c r="A280" s="2"/>
      <c r="B280" s="2"/>
      <c r="C280" s="65"/>
      <c r="D280" s="2"/>
      <c r="E280" s="3"/>
      <c r="F280" s="3"/>
      <c r="G280" s="3"/>
      <c r="H280" s="3"/>
      <c r="I280" s="4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2"/>
      <c r="Z280" s="2"/>
      <c r="AA280" s="2"/>
      <c r="AB280" s="2"/>
      <c r="AC280" s="2"/>
      <c r="AD280" s="2"/>
    </row>
    <row r="281" ht="12.75" customHeight="1">
      <c r="A281" s="2"/>
      <c r="B281" s="2"/>
      <c r="C281" s="65"/>
      <c r="D281" s="2"/>
      <c r="E281" s="3"/>
      <c r="F281" s="3"/>
      <c r="G281" s="3"/>
      <c r="H281" s="3"/>
      <c r="I281" s="4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2"/>
      <c r="Z281" s="2"/>
      <c r="AA281" s="2"/>
      <c r="AB281" s="2"/>
      <c r="AC281" s="2"/>
      <c r="AD281" s="2"/>
    </row>
    <row r="282" ht="12.75" customHeight="1">
      <c r="A282" s="2"/>
      <c r="B282" s="2"/>
      <c r="C282" s="65"/>
      <c r="D282" s="2"/>
      <c r="E282" s="3"/>
      <c r="F282" s="3"/>
      <c r="G282" s="3"/>
      <c r="H282" s="3"/>
      <c r="I282" s="4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2"/>
      <c r="Z282" s="2"/>
      <c r="AA282" s="2"/>
      <c r="AB282" s="2"/>
      <c r="AC282" s="2"/>
      <c r="AD282" s="2"/>
    </row>
    <row r="283" ht="12.75" customHeight="1">
      <c r="A283" s="2"/>
      <c r="B283" s="2"/>
      <c r="C283" s="65"/>
      <c r="D283" s="2"/>
      <c r="E283" s="3"/>
      <c r="F283" s="3"/>
      <c r="G283" s="3"/>
      <c r="H283" s="3"/>
      <c r="I283" s="4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2"/>
      <c r="Z283" s="2"/>
      <c r="AA283" s="2"/>
      <c r="AB283" s="2"/>
      <c r="AC283" s="2"/>
      <c r="AD283" s="2"/>
    </row>
    <row r="284" ht="12.75" customHeight="1">
      <c r="A284" s="2"/>
      <c r="B284" s="2"/>
      <c r="C284" s="65"/>
      <c r="D284" s="2"/>
      <c r="E284" s="3"/>
      <c r="F284" s="3"/>
      <c r="G284" s="3"/>
      <c r="H284" s="3"/>
      <c r="I284" s="4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2"/>
      <c r="Z284" s="2"/>
      <c r="AA284" s="2"/>
      <c r="AB284" s="2"/>
      <c r="AC284" s="2"/>
      <c r="AD284" s="2"/>
    </row>
    <row r="285" ht="12.75" customHeight="1">
      <c r="A285" s="2"/>
      <c r="B285" s="2"/>
      <c r="C285" s="65"/>
      <c r="D285" s="2"/>
      <c r="E285" s="3"/>
      <c r="F285" s="3"/>
      <c r="G285" s="3"/>
      <c r="H285" s="3"/>
      <c r="I285" s="4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2"/>
      <c r="Z285" s="2"/>
      <c r="AA285" s="2"/>
      <c r="AB285" s="2"/>
      <c r="AC285" s="2"/>
      <c r="AD285" s="2"/>
    </row>
    <row r="286" ht="12.75" customHeight="1">
      <c r="A286" s="2"/>
      <c r="B286" s="2"/>
      <c r="C286" s="65"/>
      <c r="D286" s="2"/>
      <c r="E286" s="3"/>
      <c r="F286" s="3"/>
      <c r="G286" s="3"/>
      <c r="H286" s="3"/>
      <c r="I286" s="4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2"/>
      <c r="Z286" s="2"/>
      <c r="AA286" s="2"/>
      <c r="AB286" s="2"/>
      <c r="AC286" s="2"/>
      <c r="AD286" s="2"/>
    </row>
    <row r="287" ht="12.75" customHeight="1">
      <c r="A287" s="2"/>
      <c r="B287" s="2"/>
      <c r="C287" s="65"/>
      <c r="D287" s="2"/>
      <c r="E287" s="3"/>
      <c r="F287" s="3"/>
      <c r="G287" s="3"/>
      <c r="H287" s="3"/>
      <c r="I287" s="4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2"/>
      <c r="Z287" s="2"/>
      <c r="AA287" s="2"/>
      <c r="AB287" s="2"/>
      <c r="AC287" s="2"/>
      <c r="AD287" s="2"/>
    </row>
    <row r="288" ht="12.75" customHeight="1">
      <c r="A288" s="2"/>
      <c r="B288" s="2"/>
      <c r="C288" s="65"/>
      <c r="D288" s="2"/>
      <c r="E288" s="3"/>
      <c r="F288" s="3"/>
      <c r="G288" s="3"/>
      <c r="H288" s="3"/>
      <c r="I288" s="4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2"/>
      <c r="Z288" s="2"/>
      <c r="AA288" s="2"/>
      <c r="AB288" s="2"/>
      <c r="AC288" s="2"/>
      <c r="AD288" s="2"/>
    </row>
    <row r="289" ht="12.75" customHeight="1">
      <c r="A289" s="2"/>
      <c r="B289" s="2"/>
      <c r="C289" s="65"/>
      <c r="D289" s="2"/>
      <c r="E289" s="3"/>
      <c r="F289" s="3"/>
      <c r="G289" s="3"/>
      <c r="H289" s="3"/>
      <c r="I289" s="4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2"/>
      <c r="Z289" s="2"/>
      <c r="AA289" s="2"/>
      <c r="AB289" s="2"/>
      <c r="AC289" s="2"/>
      <c r="AD289" s="2"/>
    </row>
    <row r="290" ht="12.75" customHeight="1">
      <c r="A290" s="2"/>
      <c r="B290" s="2"/>
      <c r="C290" s="65"/>
      <c r="D290" s="2"/>
      <c r="E290" s="3"/>
      <c r="F290" s="3"/>
      <c r="G290" s="3"/>
      <c r="H290" s="3"/>
      <c r="I290" s="4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2"/>
      <c r="Z290" s="2"/>
      <c r="AA290" s="2"/>
      <c r="AB290" s="2"/>
      <c r="AC290" s="2"/>
      <c r="AD290" s="2"/>
    </row>
    <row r="291" ht="12.75" customHeight="1">
      <c r="A291" s="2"/>
      <c r="B291" s="2"/>
      <c r="C291" s="65"/>
      <c r="D291" s="2"/>
      <c r="E291" s="3"/>
      <c r="F291" s="3"/>
      <c r="G291" s="3"/>
      <c r="H291" s="3"/>
      <c r="I291" s="4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2"/>
      <c r="Z291" s="2"/>
      <c r="AA291" s="2"/>
      <c r="AB291" s="2"/>
      <c r="AC291" s="2"/>
      <c r="AD291" s="2"/>
    </row>
    <row r="292" ht="12.75" customHeight="1">
      <c r="A292" s="2"/>
      <c r="B292" s="2"/>
      <c r="C292" s="65"/>
      <c r="D292" s="2"/>
      <c r="E292" s="3"/>
      <c r="F292" s="3"/>
      <c r="G292" s="3"/>
      <c r="H292" s="3"/>
      <c r="I292" s="4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2"/>
      <c r="Z292" s="2"/>
      <c r="AA292" s="2"/>
      <c r="AB292" s="2"/>
      <c r="AC292" s="2"/>
      <c r="AD292" s="2"/>
    </row>
    <row r="293" ht="12.75" customHeight="1">
      <c r="A293" s="2"/>
      <c r="B293" s="2"/>
      <c r="C293" s="65"/>
      <c r="D293" s="2"/>
      <c r="E293" s="3"/>
      <c r="F293" s="3"/>
      <c r="G293" s="3"/>
      <c r="H293" s="3"/>
      <c r="I293" s="4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2"/>
      <c r="Z293" s="2"/>
      <c r="AA293" s="2"/>
      <c r="AB293" s="2"/>
      <c r="AC293" s="2"/>
      <c r="AD293" s="2"/>
    </row>
    <row r="294" ht="12.75" customHeight="1">
      <c r="A294" s="2"/>
      <c r="B294" s="2"/>
      <c r="C294" s="65"/>
      <c r="D294" s="2"/>
      <c r="E294" s="3"/>
      <c r="F294" s="3"/>
      <c r="G294" s="3"/>
      <c r="H294" s="3"/>
      <c r="I294" s="4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2"/>
      <c r="Z294" s="2"/>
      <c r="AA294" s="2"/>
      <c r="AB294" s="2"/>
      <c r="AC294" s="2"/>
      <c r="AD294" s="2"/>
    </row>
    <row r="295" ht="12.75" customHeight="1">
      <c r="A295" s="2"/>
      <c r="B295" s="2"/>
      <c r="C295" s="65"/>
      <c r="D295" s="2"/>
      <c r="E295" s="3"/>
      <c r="F295" s="3"/>
      <c r="G295" s="3"/>
      <c r="H295" s="3"/>
      <c r="I295" s="4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2"/>
      <c r="Z295" s="2"/>
      <c r="AA295" s="2"/>
      <c r="AB295" s="2"/>
      <c r="AC295" s="2"/>
      <c r="AD295" s="2"/>
    </row>
    <row r="296" ht="12.75" customHeight="1">
      <c r="A296" s="2"/>
      <c r="B296" s="2"/>
      <c r="C296" s="65"/>
      <c r="D296" s="2"/>
      <c r="E296" s="3"/>
      <c r="F296" s="3"/>
      <c r="G296" s="3"/>
      <c r="H296" s="3"/>
      <c r="I296" s="4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2"/>
      <c r="Z296" s="2"/>
      <c r="AA296" s="2"/>
      <c r="AB296" s="2"/>
      <c r="AC296" s="2"/>
      <c r="AD296" s="2"/>
    </row>
    <row r="297" ht="12.75" customHeight="1">
      <c r="A297" s="2"/>
      <c r="B297" s="2"/>
      <c r="C297" s="65"/>
      <c r="D297" s="2"/>
      <c r="E297" s="3"/>
      <c r="F297" s="3"/>
      <c r="G297" s="3"/>
      <c r="H297" s="3"/>
      <c r="I297" s="4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2"/>
      <c r="Z297" s="2"/>
      <c r="AA297" s="2"/>
      <c r="AB297" s="2"/>
      <c r="AC297" s="2"/>
      <c r="AD297" s="2"/>
    </row>
    <row r="298" ht="12.75" customHeight="1">
      <c r="A298" s="2"/>
      <c r="B298" s="2"/>
      <c r="C298" s="65"/>
      <c r="D298" s="2"/>
      <c r="E298" s="3"/>
      <c r="F298" s="3"/>
      <c r="G298" s="3"/>
      <c r="H298" s="3"/>
      <c r="I298" s="4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2"/>
      <c r="Z298" s="2"/>
      <c r="AA298" s="2"/>
      <c r="AB298" s="2"/>
      <c r="AC298" s="2"/>
      <c r="AD298" s="2"/>
    </row>
    <row r="299" ht="12.75" customHeight="1">
      <c r="A299" s="2"/>
      <c r="B299" s="2"/>
      <c r="C299" s="65"/>
      <c r="D299" s="2"/>
      <c r="E299" s="3"/>
      <c r="F299" s="3"/>
      <c r="G299" s="3"/>
      <c r="H299" s="3"/>
      <c r="I299" s="4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2"/>
      <c r="Z299" s="2"/>
      <c r="AA299" s="2"/>
      <c r="AB299" s="2"/>
      <c r="AC299" s="2"/>
      <c r="AD299" s="2"/>
    </row>
    <row r="300" ht="12.75" customHeight="1">
      <c r="A300" s="2"/>
      <c r="B300" s="2"/>
      <c r="C300" s="65"/>
      <c r="D300" s="2"/>
      <c r="E300" s="3"/>
      <c r="F300" s="3"/>
      <c r="G300" s="3"/>
      <c r="H300" s="3"/>
      <c r="I300" s="4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2"/>
      <c r="Z300" s="2"/>
      <c r="AA300" s="2"/>
      <c r="AB300" s="2"/>
      <c r="AC300" s="2"/>
      <c r="AD300" s="2"/>
    </row>
    <row r="301" ht="12.75" customHeight="1">
      <c r="A301" s="2"/>
      <c r="B301" s="2"/>
      <c r="C301" s="65"/>
      <c r="D301" s="2"/>
      <c r="E301" s="3"/>
      <c r="F301" s="3"/>
      <c r="G301" s="3"/>
      <c r="H301" s="3"/>
      <c r="I301" s="4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2"/>
      <c r="Z301" s="2"/>
      <c r="AA301" s="2"/>
      <c r="AB301" s="2"/>
      <c r="AC301" s="2"/>
      <c r="AD301" s="2"/>
    </row>
    <row r="302" ht="15.75" customHeight="1">
      <c r="A302" s="25"/>
      <c r="B302" s="25"/>
      <c r="C302" s="84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</row>
    <row r="303" ht="15.75" customHeight="1">
      <c r="A303" s="25"/>
      <c r="B303" s="25"/>
      <c r="C303" s="84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</row>
    <row r="304" ht="15.75" customHeight="1">
      <c r="A304" s="25"/>
      <c r="B304" s="25"/>
      <c r="C304" s="84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</row>
    <row r="305" ht="15.75" customHeight="1">
      <c r="A305" s="25"/>
      <c r="B305" s="25"/>
      <c r="C305" s="84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</row>
    <row r="306" ht="15.75" customHeight="1">
      <c r="A306" s="25"/>
      <c r="B306" s="25"/>
      <c r="C306" s="84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</row>
    <row r="307" ht="15.75" customHeight="1">
      <c r="A307" s="25"/>
      <c r="B307" s="25"/>
      <c r="C307" s="84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</row>
    <row r="308" ht="15.75" customHeight="1">
      <c r="A308" s="25"/>
      <c r="B308" s="25"/>
      <c r="C308" s="84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</row>
    <row r="309" ht="15.75" customHeight="1">
      <c r="A309" s="25"/>
      <c r="B309" s="25"/>
      <c r="C309" s="84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</row>
    <row r="310" ht="15.75" customHeight="1">
      <c r="A310" s="25"/>
      <c r="B310" s="25"/>
      <c r="C310" s="84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</row>
    <row r="311" ht="15.75" customHeight="1">
      <c r="A311" s="25"/>
      <c r="B311" s="25"/>
      <c r="C311" s="84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</row>
    <row r="312" ht="15.75" customHeight="1">
      <c r="A312" s="25"/>
      <c r="B312" s="25"/>
      <c r="C312" s="84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</row>
    <row r="313" ht="15.75" customHeight="1">
      <c r="A313" s="25"/>
      <c r="B313" s="25"/>
      <c r="C313" s="84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</row>
    <row r="314" ht="15.75" customHeight="1">
      <c r="A314" s="25"/>
      <c r="B314" s="25"/>
      <c r="C314" s="84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</row>
    <row r="315" ht="15.75" customHeight="1">
      <c r="A315" s="25"/>
      <c r="B315" s="25"/>
      <c r="C315" s="84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</row>
    <row r="316" ht="15.75" customHeight="1">
      <c r="A316" s="25"/>
      <c r="B316" s="25"/>
      <c r="C316" s="84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</row>
    <row r="317" ht="15.75" customHeight="1">
      <c r="A317" s="25"/>
      <c r="B317" s="25"/>
      <c r="C317" s="84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</row>
    <row r="318" ht="15.75" customHeight="1">
      <c r="A318" s="25"/>
      <c r="B318" s="25"/>
      <c r="C318" s="84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</row>
    <row r="319" ht="15.75" customHeight="1">
      <c r="A319" s="25"/>
      <c r="B319" s="25"/>
      <c r="C319" s="84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</row>
    <row r="320" ht="15.75" customHeight="1">
      <c r="A320" s="25"/>
      <c r="B320" s="25"/>
      <c r="C320" s="84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</row>
    <row r="321" ht="15.75" customHeight="1">
      <c r="A321" s="25"/>
      <c r="B321" s="25"/>
      <c r="C321" s="84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</row>
    <row r="322" ht="15.75" customHeight="1">
      <c r="A322" s="25"/>
      <c r="B322" s="25"/>
      <c r="C322" s="84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</row>
    <row r="323" ht="15.75" customHeight="1">
      <c r="A323" s="25"/>
      <c r="B323" s="25"/>
      <c r="C323" s="84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</row>
    <row r="324" ht="15.75" customHeight="1">
      <c r="A324" s="25"/>
      <c r="B324" s="25"/>
      <c r="C324" s="84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</row>
    <row r="325" ht="15.75" customHeight="1">
      <c r="A325" s="25"/>
      <c r="B325" s="25"/>
      <c r="C325" s="84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</row>
    <row r="326" ht="15.75" customHeight="1">
      <c r="A326" s="25"/>
      <c r="B326" s="25"/>
      <c r="C326" s="84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</row>
    <row r="327" ht="15.75" customHeight="1">
      <c r="A327" s="25"/>
      <c r="B327" s="25"/>
      <c r="C327" s="84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</row>
    <row r="328" ht="15.75" customHeight="1">
      <c r="A328" s="25"/>
      <c r="B328" s="25"/>
      <c r="C328" s="84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</row>
    <row r="329" ht="15.75" customHeight="1">
      <c r="A329" s="25"/>
      <c r="B329" s="25"/>
      <c r="C329" s="84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</row>
    <row r="330" ht="15.75" customHeight="1">
      <c r="A330" s="25"/>
      <c r="B330" s="25"/>
      <c r="C330" s="84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</row>
    <row r="331" ht="15.75" customHeight="1">
      <c r="A331" s="25"/>
      <c r="B331" s="25"/>
      <c r="C331" s="84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</row>
    <row r="332" ht="15.75" customHeight="1">
      <c r="A332" s="25"/>
      <c r="B332" s="25"/>
      <c r="C332" s="84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</row>
    <row r="333" ht="15.75" customHeight="1">
      <c r="A333" s="25"/>
      <c r="B333" s="25"/>
      <c r="C333" s="84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</row>
    <row r="334" ht="15.75" customHeight="1">
      <c r="A334" s="25"/>
      <c r="B334" s="25"/>
      <c r="C334" s="84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</row>
    <row r="335" ht="15.75" customHeight="1">
      <c r="A335" s="25"/>
      <c r="B335" s="25"/>
      <c r="C335" s="84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</row>
    <row r="336" ht="15.75" customHeight="1">
      <c r="A336" s="25"/>
      <c r="B336" s="25"/>
      <c r="C336" s="84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</row>
    <row r="337" ht="15.75" customHeight="1">
      <c r="A337" s="25"/>
      <c r="B337" s="25"/>
      <c r="C337" s="84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</row>
    <row r="338" ht="15.75" customHeight="1">
      <c r="A338" s="25"/>
      <c r="B338" s="25"/>
      <c r="C338" s="84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</row>
    <row r="339" ht="15.75" customHeight="1">
      <c r="A339" s="25"/>
      <c r="B339" s="25"/>
      <c r="C339" s="84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</row>
    <row r="340" ht="15.75" customHeight="1">
      <c r="A340" s="25"/>
      <c r="B340" s="25"/>
      <c r="C340" s="84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</row>
    <row r="341" ht="15.75" customHeight="1">
      <c r="A341" s="25"/>
      <c r="B341" s="25"/>
      <c r="C341" s="84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</row>
    <row r="342" ht="15.75" customHeight="1">
      <c r="A342" s="25"/>
      <c r="B342" s="25"/>
      <c r="C342" s="84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</row>
    <row r="343" ht="15.75" customHeight="1">
      <c r="A343" s="25"/>
      <c r="B343" s="25"/>
      <c r="C343" s="84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</row>
    <row r="344" ht="15.75" customHeight="1">
      <c r="A344" s="25"/>
      <c r="B344" s="25"/>
      <c r="C344" s="84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</row>
    <row r="345" ht="15.75" customHeight="1">
      <c r="A345" s="25"/>
      <c r="B345" s="25"/>
      <c r="C345" s="84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</row>
    <row r="346" ht="15.75" customHeight="1">
      <c r="A346" s="25"/>
      <c r="B346" s="25"/>
      <c r="C346" s="84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</row>
    <row r="347" ht="15.75" customHeight="1">
      <c r="A347" s="25"/>
      <c r="B347" s="25"/>
      <c r="C347" s="84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</row>
    <row r="348" ht="15.75" customHeight="1">
      <c r="A348" s="25"/>
      <c r="B348" s="25"/>
      <c r="C348" s="84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</row>
    <row r="349" ht="15.75" customHeight="1">
      <c r="A349" s="25"/>
      <c r="B349" s="25"/>
      <c r="C349" s="84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</row>
    <row r="350" ht="15.75" customHeight="1">
      <c r="A350" s="25"/>
      <c r="B350" s="25"/>
      <c r="C350" s="84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</row>
    <row r="351" ht="15.75" customHeight="1">
      <c r="A351" s="25"/>
      <c r="B351" s="25"/>
      <c r="C351" s="84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</row>
    <row r="352" ht="15.75" customHeight="1">
      <c r="A352" s="25"/>
      <c r="B352" s="25"/>
      <c r="C352" s="84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</row>
    <row r="353" ht="15.75" customHeight="1">
      <c r="A353" s="25"/>
      <c r="B353" s="25"/>
      <c r="C353" s="84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</row>
    <row r="354" ht="15.75" customHeight="1">
      <c r="A354" s="25"/>
      <c r="B354" s="25"/>
      <c r="C354" s="84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</row>
    <row r="355" ht="15.75" customHeight="1">
      <c r="A355" s="25"/>
      <c r="B355" s="25"/>
      <c r="C355" s="84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</row>
    <row r="356" ht="15.75" customHeight="1">
      <c r="A356" s="25"/>
      <c r="B356" s="25"/>
      <c r="C356" s="84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</row>
    <row r="357" ht="15.75" customHeight="1">
      <c r="A357" s="25"/>
      <c r="B357" s="25"/>
      <c r="C357" s="84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</row>
    <row r="358" ht="15.75" customHeight="1">
      <c r="A358" s="25"/>
      <c r="B358" s="25"/>
      <c r="C358" s="84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</row>
    <row r="359" ht="15.75" customHeight="1">
      <c r="A359" s="25"/>
      <c r="B359" s="25"/>
      <c r="C359" s="84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</row>
    <row r="360" ht="15.75" customHeight="1">
      <c r="A360" s="25"/>
      <c r="B360" s="25"/>
      <c r="C360" s="84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</row>
    <row r="361" ht="15.75" customHeight="1">
      <c r="A361" s="25"/>
      <c r="B361" s="25"/>
      <c r="C361" s="84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</row>
    <row r="362" ht="15.75" customHeight="1">
      <c r="A362" s="25"/>
      <c r="B362" s="25"/>
      <c r="C362" s="84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</row>
    <row r="363" ht="15.75" customHeight="1">
      <c r="A363" s="25"/>
      <c r="B363" s="25"/>
      <c r="C363" s="84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</row>
    <row r="364" ht="15.75" customHeight="1">
      <c r="A364" s="25"/>
      <c r="B364" s="25"/>
      <c r="C364" s="84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</row>
    <row r="365" ht="15.75" customHeight="1">
      <c r="A365" s="25"/>
      <c r="B365" s="25"/>
      <c r="C365" s="84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</row>
    <row r="366" ht="15.75" customHeight="1">
      <c r="A366" s="25"/>
      <c r="B366" s="25"/>
      <c r="C366" s="84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</row>
    <row r="367" ht="15.75" customHeight="1">
      <c r="A367" s="25"/>
      <c r="B367" s="25"/>
      <c r="C367" s="84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</row>
    <row r="368" ht="15.75" customHeight="1">
      <c r="A368" s="25"/>
      <c r="B368" s="25"/>
      <c r="C368" s="84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</row>
    <row r="369" ht="15.75" customHeight="1">
      <c r="A369" s="25"/>
      <c r="B369" s="25"/>
      <c r="C369" s="84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</row>
    <row r="370" ht="15.75" customHeight="1">
      <c r="A370" s="25"/>
      <c r="B370" s="25"/>
      <c r="C370" s="84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</row>
    <row r="371" ht="15.75" customHeight="1">
      <c r="A371" s="25"/>
      <c r="B371" s="25"/>
      <c r="C371" s="84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</row>
    <row r="372" ht="15.75" customHeight="1">
      <c r="A372" s="25"/>
      <c r="B372" s="25"/>
      <c r="C372" s="84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</row>
    <row r="373" ht="15.75" customHeight="1">
      <c r="A373" s="25"/>
      <c r="B373" s="25"/>
      <c r="C373" s="84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</row>
    <row r="374" ht="15.75" customHeight="1">
      <c r="A374" s="25"/>
      <c r="B374" s="25"/>
      <c r="C374" s="84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</row>
    <row r="375" ht="15.75" customHeight="1">
      <c r="A375" s="25"/>
      <c r="B375" s="25"/>
      <c r="C375" s="84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</row>
    <row r="376" ht="15.75" customHeight="1">
      <c r="A376" s="25"/>
      <c r="B376" s="25"/>
      <c r="C376" s="84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</row>
    <row r="377" ht="15.75" customHeight="1">
      <c r="A377" s="25"/>
      <c r="B377" s="25"/>
      <c r="C377" s="84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</row>
    <row r="378" ht="15.75" customHeight="1">
      <c r="A378" s="25"/>
      <c r="B378" s="25"/>
      <c r="C378" s="84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</row>
    <row r="379" ht="15.75" customHeight="1">
      <c r="A379" s="25"/>
      <c r="B379" s="25"/>
      <c r="C379" s="84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</row>
    <row r="380" ht="15.75" customHeight="1">
      <c r="A380" s="25"/>
      <c r="B380" s="25"/>
      <c r="C380" s="84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</row>
    <row r="381" ht="15.75" customHeight="1">
      <c r="A381" s="25"/>
      <c r="B381" s="25"/>
      <c r="C381" s="84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</row>
    <row r="382" ht="15.75" customHeight="1">
      <c r="A382" s="25"/>
      <c r="B382" s="25"/>
      <c r="C382" s="84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</row>
    <row r="383" ht="15.75" customHeight="1">
      <c r="A383" s="25"/>
      <c r="B383" s="25"/>
      <c r="C383" s="84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</row>
    <row r="384" ht="15.75" customHeight="1">
      <c r="A384" s="25"/>
      <c r="B384" s="25"/>
      <c r="C384" s="84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</row>
    <row r="385" ht="15.75" customHeight="1">
      <c r="A385" s="25"/>
      <c r="B385" s="25"/>
      <c r="C385" s="84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</row>
    <row r="386" ht="15.75" customHeight="1">
      <c r="A386" s="25"/>
      <c r="B386" s="25"/>
      <c r="C386" s="84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</row>
    <row r="387" ht="15.75" customHeight="1">
      <c r="A387" s="25"/>
      <c r="B387" s="25"/>
      <c r="C387" s="84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</row>
    <row r="388" ht="15.75" customHeight="1">
      <c r="A388" s="25"/>
      <c r="B388" s="25"/>
      <c r="C388" s="84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</row>
    <row r="389" ht="15.75" customHeight="1">
      <c r="A389" s="25"/>
      <c r="B389" s="25"/>
      <c r="C389" s="84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</row>
    <row r="390" ht="15.75" customHeight="1">
      <c r="A390" s="25"/>
      <c r="B390" s="25"/>
      <c r="C390" s="84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</row>
    <row r="391" ht="15.75" customHeight="1">
      <c r="A391" s="25"/>
      <c r="B391" s="25"/>
      <c r="C391" s="84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</row>
    <row r="392" ht="15.75" customHeight="1">
      <c r="A392" s="25"/>
      <c r="B392" s="25"/>
      <c r="C392" s="84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</row>
    <row r="393" ht="15.75" customHeight="1">
      <c r="A393" s="25"/>
      <c r="B393" s="25"/>
      <c r="C393" s="84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</row>
    <row r="394" ht="15.75" customHeight="1">
      <c r="A394" s="25"/>
      <c r="B394" s="25"/>
      <c r="C394" s="84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</row>
    <row r="395" ht="15.75" customHeight="1">
      <c r="A395" s="25"/>
      <c r="B395" s="25"/>
      <c r="C395" s="84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</row>
    <row r="396" ht="15.75" customHeight="1">
      <c r="A396" s="25"/>
      <c r="B396" s="25"/>
      <c r="C396" s="84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</row>
    <row r="397" ht="15.75" customHeight="1">
      <c r="A397" s="25"/>
      <c r="B397" s="25"/>
      <c r="C397" s="84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</row>
    <row r="398" ht="15.75" customHeight="1">
      <c r="A398" s="25"/>
      <c r="B398" s="25"/>
      <c r="C398" s="84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</row>
    <row r="399" ht="15.75" customHeight="1">
      <c r="A399" s="25"/>
      <c r="B399" s="25"/>
      <c r="C399" s="84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</row>
    <row r="400" ht="15.75" customHeight="1">
      <c r="A400" s="25"/>
      <c r="B400" s="25"/>
      <c r="C400" s="84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</row>
    <row r="401" ht="15.75" customHeight="1">
      <c r="A401" s="25"/>
      <c r="B401" s="25"/>
      <c r="C401" s="84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</row>
    <row r="402" ht="15.75" customHeight="1">
      <c r="A402" s="25"/>
      <c r="B402" s="25"/>
      <c r="C402" s="84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</row>
    <row r="403" ht="15.75" customHeight="1">
      <c r="A403" s="25"/>
      <c r="B403" s="25"/>
      <c r="C403" s="84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</row>
    <row r="404" ht="15.75" customHeight="1">
      <c r="A404" s="25"/>
      <c r="B404" s="25"/>
      <c r="C404" s="84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</row>
    <row r="405" ht="15.75" customHeight="1">
      <c r="A405" s="25"/>
      <c r="B405" s="25"/>
      <c r="C405" s="84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</row>
    <row r="406" ht="15.75" customHeight="1">
      <c r="A406" s="25"/>
      <c r="B406" s="25"/>
      <c r="C406" s="84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</row>
    <row r="407" ht="15.75" customHeight="1">
      <c r="A407" s="25"/>
      <c r="B407" s="25"/>
      <c r="C407" s="84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</row>
    <row r="408" ht="15.75" customHeight="1">
      <c r="A408" s="25"/>
      <c r="B408" s="25"/>
      <c r="C408" s="84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</row>
    <row r="409" ht="15.75" customHeight="1">
      <c r="A409" s="25"/>
      <c r="B409" s="25"/>
      <c r="C409" s="84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</row>
    <row r="410" ht="15.75" customHeight="1">
      <c r="A410" s="25"/>
      <c r="B410" s="25"/>
      <c r="C410" s="84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</row>
    <row r="411" ht="15.75" customHeight="1">
      <c r="A411" s="25"/>
      <c r="B411" s="25"/>
      <c r="C411" s="84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</row>
    <row r="412" ht="15.75" customHeight="1">
      <c r="A412" s="25"/>
      <c r="B412" s="25"/>
      <c r="C412" s="84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</row>
    <row r="413" ht="15.75" customHeight="1">
      <c r="A413" s="25"/>
      <c r="B413" s="25"/>
      <c r="C413" s="84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</row>
    <row r="414" ht="15.75" customHeight="1">
      <c r="A414" s="25"/>
      <c r="B414" s="25"/>
      <c r="C414" s="84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</row>
    <row r="415" ht="15.75" customHeight="1">
      <c r="A415" s="25"/>
      <c r="B415" s="25"/>
      <c r="C415" s="84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</row>
    <row r="416" ht="15.75" customHeight="1">
      <c r="A416" s="25"/>
      <c r="B416" s="25"/>
      <c r="C416" s="84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</row>
    <row r="417" ht="15.75" customHeight="1">
      <c r="A417" s="25"/>
      <c r="B417" s="25"/>
      <c r="C417" s="84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</row>
    <row r="418" ht="15.75" customHeight="1">
      <c r="A418" s="25"/>
      <c r="B418" s="25"/>
      <c r="C418" s="84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</row>
    <row r="419" ht="15.75" customHeight="1">
      <c r="A419" s="25"/>
      <c r="B419" s="25"/>
      <c r="C419" s="84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</row>
    <row r="420" ht="15.75" customHeight="1">
      <c r="A420" s="25"/>
      <c r="B420" s="25"/>
      <c r="C420" s="84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</row>
    <row r="421" ht="15.75" customHeight="1">
      <c r="A421" s="25"/>
      <c r="B421" s="25"/>
      <c r="C421" s="84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</row>
    <row r="422" ht="15.75" customHeight="1">
      <c r="A422" s="25"/>
      <c r="B422" s="25"/>
      <c r="C422" s="84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</row>
    <row r="423" ht="15.75" customHeight="1">
      <c r="A423" s="25"/>
      <c r="B423" s="25"/>
      <c r="C423" s="84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</row>
    <row r="424" ht="15.75" customHeight="1">
      <c r="A424" s="25"/>
      <c r="B424" s="25"/>
      <c r="C424" s="84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</row>
    <row r="425" ht="15.75" customHeight="1">
      <c r="A425" s="25"/>
      <c r="B425" s="25"/>
      <c r="C425" s="84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</row>
    <row r="426" ht="15.75" customHeight="1">
      <c r="A426" s="25"/>
      <c r="B426" s="25"/>
      <c r="C426" s="84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</row>
    <row r="427" ht="15.75" customHeight="1">
      <c r="A427" s="25"/>
      <c r="B427" s="25"/>
      <c r="C427" s="84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</row>
    <row r="428" ht="15.75" customHeight="1">
      <c r="A428" s="25"/>
      <c r="B428" s="25"/>
      <c r="C428" s="84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</row>
    <row r="429" ht="15.75" customHeight="1">
      <c r="A429" s="25"/>
      <c r="B429" s="25"/>
      <c r="C429" s="84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</row>
    <row r="430" ht="15.75" customHeight="1">
      <c r="A430" s="25"/>
      <c r="B430" s="25"/>
      <c r="C430" s="84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</row>
    <row r="431" ht="15.75" customHeight="1">
      <c r="A431" s="25"/>
      <c r="B431" s="25"/>
      <c r="C431" s="84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</row>
    <row r="432" ht="15.75" customHeight="1">
      <c r="A432" s="25"/>
      <c r="B432" s="25"/>
      <c r="C432" s="84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</row>
    <row r="433" ht="15.75" customHeight="1">
      <c r="A433" s="25"/>
      <c r="B433" s="25"/>
      <c r="C433" s="84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</row>
    <row r="434" ht="15.75" customHeight="1">
      <c r="A434" s="25"/>
      <c r="B434" s="25"/>
      <c r="C434" s="84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</row>
    <row r="435" ht="15.75" customHeight="1">
      <c r="A435" s="25"/>
      <c r="B435" s="25"/>
      <c r="C435" s="84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</row>
    <row r="436" ht="15.75" customHeight="1">
      <c r="A436" s="25"/>
      <c r="B436" s="25"/>
      <c r="C436" s="84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</row>
    <row r="437" ht="15.75" customHeight="1">
      <c r="A437" s="25"/>
      <c r="B437" s="25"/>
      <c r="C437" s="84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</row>
    <row r="438" ht="15.75" customHeight="1">
      <c r="A438" s="25"/>
      <c r="B438" s="25"/>
      <c r="C438" s="84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</row>
    <row r="439" ht="15.75" customHeight="1">
      <c r="A439" s="25"/>
      <c r="B439" s="25"/>
      <c r="C439" s="84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</row>
    <row r="440" ht="15.75" customHeight="1">
      <c r="A440" s="25"/>
      <c r="B440" s="25"/>
      <c r="C440" s="84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</row>
    <row r="441" ht="15.75" customHeight="1">
      <c r="A441" s="25"/>
      <c r="B441" s="25"/>
      <c r="C441" s="84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</row>
    <row r="442" ht="15.75" customHeight="1">
      <c r="A442" s="25"/>
      <c r="B442" s="25"/>
      <c r="C442" s="84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</row>
    <row r="443" ht="15.75" customHeight="1">
      <c r="A443" s="25"/>
      <c r="B443" s="25"/>
      <c r="C443" s="84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</row>
    <row r="444" ht="15.75" customHeight="1">
      <c r="A444" s="25"/>
      <c r="B444" s="25"/>
      <c r="C444" s="84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</row>
    <row r="445" ht="15.75" customHeight="1">
      <c r="A445" s="25"/>
      <c r="B445" s="25"/>
      <c r="C445" s="84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</row>
    <row r="446" ht="15.75" customHeight="1">
      <c r="A446" s="25"/>
      <c r="B446" s="25"/>
      <c r="C446" s="84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</row>
    <row r="447" ht="15.75" customHeight="1">
      <c r="A447" s="25"/>
      <c r="B447" s="25"/>
      <c r="C447" s="84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</row>
    <row r="448" ht="15.75" customHeight="1">
      <c r="A448" s="25"/>
      <c r="B448" s="25"/>
      <c r="C448" s="84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</row>
    <row r="449" ht="15.75" customHeight="1">
      <c r="A449" s="25"/>
      <c r="B449" s="25"/>
      <c r="C449" s="84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</row>
    <row r="450" ht="15.75" customHeight="1">
      <c r="A450" s="25"/>
      <c r="B450" s="25"/>
      <c r="C450" s="84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</row>
    <row r="451" ht="15.75" customHeight="1">
      <c r="A451" s="25"/>
      <c r="B451" s="25"/>
      <c r="C451" s="84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</row>
    <row r="452" ht="15.75" customHeight="1">
      <c r="A452" s="25"/>
      <c r="B452" s="25"/>
      <c r="C452" s="84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</row>
    <row r="453" ht="15.75" customHeight="1">
      <c r="A453" s="25"/>
      <c r="B453" s="25"/>
      <c r="C453" s="84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</row>
    <row r="454" ht="15.75" customHeight="1">
      <c r="A454" s="25"/>
      <c r="B454" s="25"/>
      <c r="C454" s="84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</row>
    <row r="455" ht="15.75" customHeight="1">
      <c r="A455" s="25"/>
      <c r="B455" s="25"/>
      <c r="C455" s="84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</row>
    <row r="456" ht="15.75" customHeight="1">
      <c r="A456" s="25"/>
      <c r="B456" s="25"/>
      <c r="C456" s="84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</row>
    <row r="457" ht="15.75" customHeight="1">
      <c r="A457" s="25"/>
      <c r="B457" s="25"/>
      <c r="C457" s="84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</row>
    <row r="458" ht="15.75" customHeight="1">
      <c r="A458" s="25"/>
      <c r="B458" s="25"/>
      <c r="C458" s="84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</row>
    <row r="459" ht="15.75" customHeight="1">
      <c r="A459" s="25"/>
      <c r="B459" s="25"/>
      <c r="C459" s="84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</row>
    <row r="460" ht="15.75" customHeight="1">
      <c r="A460" s="25"/>
      <c r="B460" s="25"/>
      <c r="C460" s="84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</row>
    <row r="461" ht="15.75" customHeight="1">
      <c r="A461" s="25"/>
      <c r="B461" s="25"/>
      <c r="C461" s="84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</row>
    <row r="462" ht="15.75" customHeight="1">
      <c r="A462" s="25"/>
      <c r="B462" s="25"/>
      <c r="C462" s="84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</row>
    <row r="463" ht="15.75" customHeight="1">
      <c r="A463" s="25"/>
      <c r="B463" s="25"/>
      <c r="C463" s="84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</row>
    <row r="464" ht="15.75" customHeight="1">
      <c r="A464" s="25"/>
      <c r="B464" s="25"/>
      <c r="C464" s="84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</row>
    <row r="465" ht="15.75" customHeight="1">
      <c r="A465" s="25"/>
      <c r="B465" s="25"/>
      <c r="C465" s="84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</row>
    <row r="466" ht="15.75" customHeight="1">
      <c r="A466" s="25"/>
      <c r="B466" s="25"/>
      <c r="C466" s="84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</row>
    <row r="467" ht="15.75" customHeight="1">
      <c r="A467" s="25"/>
      <c r="B467" s="25"/>
      <c r="C467" s="84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</row>
    <row r="468" ht="15.75" customHeight="1">
      <c r="A468" s="25"/>
      <c r="B468" s="25"/>
      <c r="C468" s="84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</row>
    <row r="469" ht="15.75" customHeight="1">
      <c r="A469" s="25"/>
      <c r="B469" s="25"/>
      <c r="C469" s="84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</row>
    <row r="470" ht="15.75" customHeight="1">
      <c r="A470" s="25"/>
      <c r="B470" s="25"/>
      <c r="C470" s="84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</row>
    <row r="471" ht="15.75" customHeight="1">
      <c r="A471" s="25"/>
      <c r="B471" s="25"/>
      <c r="C471" s="84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</row>
    <row r="472" ht="15.75" customHeight="1">
      <c r="A472" s="25"/>
      <c r="B472" s="25"/>
      <c r="C472" s="84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</row>
    <row r="473" ht="15.75" customHeight="1">
      <c r="A473" s="25"/>
      <c r="B473" s="25"/>
      <c r="C473" s="84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</row>
    <row r="474" ht="15.75" customHeight="1">
      <c r="A474" s="25"/>
      <c r="B474" s="25"/>
      <c r="C474" s="84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</row>
    <row r="475" ht="15.75" customHeight="1">
      <c r="A475" s="25"/>
      <c r="B475" s="25"/>
      <c r="C475" s="84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</row>
    <row r="476" ht="15.75" customHeight="1">
      <c r="A476" s="25"/>
      <c r="B476" s="25"/>
      <c r="C476" s="84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</row>
    <row r="477" ht="15.75" customHeight="1">
      <c r="A477" s="25"/>
      <c r="B477" s="25"/>
      <c r="C477" s="84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</row>
    <row r="478" ht="15.75" customHeight="1">
      <c r="A478" s="25"/>
      <c r="B478" s="25"/>
      <c r="C478" s="84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</row>
    <row r="479" ht="15.75" customHeight="1">
      <c r="A479" s="25"/>
      <c r="B479" s="25"/>
      <c r="C479" s="84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</row>
    <row r="480" ht="15.75" customHeight="1">
      <c r="A480" s="25"/>
      <c r="B480" s="25"/>
      <c r="C480" s="84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</row>
    <row r="481" ht="15.75" customHeight="1">
      <c r="A481" s="25"/>
      <c r="B481" s="25"/>
      <c r="C481" s="84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</row>
    <row r="482" ht="15.75" customHeight="1">
      <c r="A482" s="25"/>
      <c r="B482" s="25"/>
      <c r="C482" s="84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</row>
    <row r="483" ht="15.75" customHeight="1">
      <c r="A483" s="25"/>
      <c r="B483" s="25"/>
      <c r="C483" s="84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</row>
    <row r="484" ht="15.75" customHeight="1">
      <c r="A484" s="25"/>
      <c r="B484" s="25"/>
      <c r="C484" s="84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</row>
    <row r="485" ht="15.75" customHeight="1">
      <c r="A485" s="25"/>
      <c r="B485" s="25"/>
      <c r="C485" s="84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</row>
    <row r="486" ht="15.75" customHeight="1">
      <c r="A486" s="25"/>
      <c r="B486" s="25"/>
      <c r="C486" s="84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</row>
    <row r="487" ht="15.75" customHeight="1">
      <c r="A487" s="25"/>
      <c r="B487" s="25"/>
      <c r="C487" s="84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</row>
    <row r="488" ht="15.75" customHeight="1">
      <c r="A488" s="25"/>
      <c r="B488" s="25"/>
      <c r="C488" s="84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</row>
    <row r="489" ht="15.75" customHeight="1">
      <c r="A489" s="25"/>
      <c r="B489" s="25"/>
      <c r="C489" s="84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</row>
    <row r="490" ht="15.75" customHeight="1">
      <c r="A490" s="25"/>
      <c r="B490" s="25"/>
      <c r="C490" s="84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</row>
    <row r="491" ht="15.75" customHeight="1">
      <c r="A491" s="25"/>
      <c r="B491" s="25"/>
      <c r="C491" s="84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</row>
    <row r="492" ht="15.75" customHeight="1">
      <c r="A492" s="25"/>
      <c r="B492" s="25"/>
      <c r="C492" s="84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</row>
    <row r="493" ht="15.75" customHeight="1">
      <c r="A493" s="25"/>
      <c r="B493" s="25"/>
      <c r="C493" s="84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</row>
    <row r="494" ht="15.75" customHeight="1">
      <c r="A494" s="25"/>
      <c r="B494" s="25"/>
      <c r="C494" s="84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</row>
    <row r="495" ht="15.75" customHeight="1">
      <c r="A495" s="25"/>
      <c r="B495" s="25"/>
      <c r="C495" s="84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</row>
    <row r="496" ht="15.75" customHeight="1">
      <c r="A496" s="25"/>
      <c r="B496" s="25"/>
      <c r="C496" s="84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</row>
    <row r="497" ht="15.75" customHeight="1">
      <c r="A497" s="25"/>
      <c r="B497" s="25"/>
      <c r="C497" s="84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</row>
    <row r="498" ht="15.75" customHeight="1">
      <c r="A498" s="25"/>
      <c r="B498" s="25"/>
      <c r="C498" s="84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</row>
    <row r="499" ht="15.75" customHeight="1">
      <c r="A499" s="25"/>
      <c r="B499" s="25"/>
      <c r="C499" s="84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</row>
    <row r="500" ht="15.75" customHeight="1">
      <c r="A500" s="25"/>
      <c r="B500" s="25"/>
      <c r="C500" s="84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</row>
    <row r="501" ht="15.75" customHeight="1">
      <c r="A501" s="25"/>
      <c r="B501" s="25"/>
      <c r="C501" s="84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</row>
    <row r="502" ht="15.75" customHeight="1">
      <c r="A502" s="25"/>
      <c r="B502" s="25"/>
      <c r="C502" s="84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</row>
    <row r="503" ht="15.75" customHeight="1">
      <c r="A503" s="25"/>
      <c r="B503" s="25"/>
      <c r="C503" s="84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</row>
    <row r="504" ht="15.75" customHeight="1">
      <c r="A504" s="25"/>
      <c r="B504" s="25"/>
      <c r="C504" s="84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</row>
    <row r="505" ht="15.75" customHeight="1">
      <c r="A505" s="25"/>
      <c r="B505" s="25"/>
      <c r="C505" s="84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</row>
    <row r="506" ht="15.75" customHeight="1">
      <c r="A506" s="25"/>
      <c r="B506" s="25"/>
      <c r="C506" s="84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</row>
    <row r="507" ht="15.75" customHeight="1">
      <c r="A507" s="25"/>
      <c r="B507" s="25"/>
      <c r="C507" s="84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</row>
    <row r="508" ht="15.75" customHeight="1">
      <c r="A508" s="25"/>
      <c r="B508" s="25"/>
      <c r="C508" s="84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</row>
    <row r="509" ht="15.75" customHeight="1">
      <c r="A509" s="25"/>
      <c r="B509" s="25"/>
      <c r="C509" s="84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</row>
    <row r="510" ht="15.75" customHeight="1">
      <c r="A510" s="25"/>
      <c r="B510" s="25"/>
      <c r="C510" s="84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</row>
    <row r="511" ht="15.75" customHeight="1">
      <c r="A511" s="25"/>
      <c r="B511" s="25"/>
      <c r="C511" s="84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</row>
    <row r="512" ht="15.75" customHeight="1">
      <c r="A512" s="25"/>
      <c r="B512" s="25"/>
      <c r="C512" s="84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</row>
    <row r="513" ht="15.75" customHeight="1">
      <c r="A513" s="25"/>
      <c r="B513" s="25"/>
      <c r="C513" s="84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</row>
    <row r="514" ht="15.75" customHeight="1">
      <c r="A514" s="25"/>
      <c r="B514" s="25"/>
      <c r="C514" s="84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</row>
    <row r="515" ht="15.75" customHeight="1">
      <c r="A515" s="25"/>
      <c r="B515" s="25"/>
      <c r="C515" s="84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</row>
    <row r="516" ht="15.75" customHeight="1">
      <c r="A516" s="25"/>
      <c r="B516" s="25"/>
      <c r="C516" s="84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</row>
    <row r="517" ht="15.75" customHeight="1">
      <c r="A517" s="25"/>
      <c r="B517" s="25"/>
      <c r="C517" s="84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</row>
    <row r="518" ht="15.75" customHeight="1">
      <c r="A518" s="25"/>
      <c r="B518" s="25"/>
      <c r="C518" s="84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</row>
    <row r="519" ht="15.75" customHeight="1">
      <c r="A519" s="25"/>
      <c r="B519" s="25"/>
      <c r="C519" s="84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</row>
    <row r="520" ht="15.75" customHeight="1">
      <c r="A520" s="25"/>
      <c r="B520" s="25"/>
      <c r="C520" s="84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</row>
    <row r="521" ht="15.75" customHeight="1">
      <c r="A521" s="25"/>
      <c r="B521" s="25"/>
      <c r="C521" s="84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</row>
    <row r="522" ht="15.75" customHeight="1">
      <c r="A522" s="25"/>
      <c r="B522" s="25"/>
      <c r="C522" s="84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</row>
    <row r="523" ht="15.75" customHeight="1">
      <c r="A523" s="25"/>
      <c r="B523" s="25"/>
      <c r="C523" s="84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</row>
    <row r="524" ht="15.75" customHeight="1">
      <c r="A524" s="25"/>
      <c r="B524" s="25"/>
      <c r="C524" s="84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</row>
    <row r="525" ht="15.75" customHeight="1">
      <c r="A525" s="25"/>
      <c r="B525" s="25"/>
      <c r="C525" s="84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</row>
    <row r="526" ht="15.75" customHeight="1">
      <c r="A526" s="25"/>
      <c r="B526" s="25"/>
      <c r="C526" s="84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</row>
    <row r="527" ht="15.75" customHeight="1">
      <c r="A527" s="25"/>
      <c r="B527" s="25"/>
      <c r="C527" s="84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</row>
    <row r="528" ht="15.75" customHeight="1">
      <c r="A528" s="25"/>
      <c r="B528" s="25"/>
      <c r="C528" s="84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</row>
    <row r="529" ht="15.75" customHeight="1">
      <c r="A529" s="25"/>
      <c r="B529" s="25"/>
      <c r="C529" s="84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</row>
    <row r="530" ht="15.75" customHeight="1">
      <c r="A530" s="25"/>
      <c r="B530" s="25"/>
      <c r="C530" s="84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</row>
    <row r="531" ht="15.75" customHeight="1">
      <c r="A531" s="25"/>
      <c r="B531" s="25"/>
      <c r="C531" s="84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</row>
    <row r="532" ht="15.75" customHeight="1">
      <c r="A532" s="25"/>
      <c r="B532" s="25"/>
      <c r="C532" s="84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</row>
    <row r="533" ht="15.75" customHeight="1">
      <c r="A533" s="25"/>
      <c r="B533" s="25"/>
      <c r="C533" s="84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</row>
    <row r="534" ht="15.75" customHeight="1">
      <c r="A534" s="25"/>
      <c r="B534" s="25"/>
      <c r="C534" s="84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</row>
    <row r="535" ht="15.75" customHeight="1">
      <c r="A535" s="25"/>
      <c r="B535" s="25"/>
      <c r="C535" s="84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</row>
    <row r="536" ht="15.75" customHeight="1">
      <c r="A536" s="25"/>
      <c r="B536" s="25"/>
      <c r="C536" s="84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</row>
    <row r="537" ht="15.75" customHeight="1">
      <c r="A537" s="25"/>
      <c r="B537" s="25"/>
      <c r="C537" s="84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</row>
    <row r="538" ht="15.75" customHeight="1">
      <c r="A538" s="25"/>
      <c r="B538" s="25"/>
      <c r="C538" s="84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</row>
    <row r="539" ht="15.75" customHeight="1">
      <c r="A539" s="25"/>
      <c r="B539" s="25"/>
      <c r="C539" s="84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</row>
    <row r="540" ht="15.75" customHeight="1">
      <c r="A540" s="25"/>
      <c r="B540" s="25"/>
      <c r="C540" s="84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</row>
    <row r="541" ht="15.75" customHeight="1">
      <c r="A541" s="25"/>
      <c r="B541" s="25"/>
      <c r="C541" s="84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</row>
    <row r="542" ht="15.75" customHeight="1">
      <c r="A542" s="25"/>
      <c r="B542" s="25"/>
      <c r="C542" s="84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</row>
    <row r="543" ht="15.75" customHeight="1">
      <c r="A543" s="25"/>
      <c r="B543" s="25"/>
      <c r="C543" s="84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</row>
    <row r="544" ht="15.75" customHeight="1">
      <c r="A544" s="25"/>
      <c r="B544" s="25"/>
      <c r="C544" s="84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</row>
    <row r="545" ht="15.75" customHeight="1">
      <c r="A545" s="25"/>
      <c r="B545" s="25"/>
      <c r="C545" s="84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</row>
    <row r="546" ht="15.75" customHeight="1">
      <c r="A546" s="25"/>
      <c r="B546" s="25"/>
      <c r="C546" s="84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</row>
    <row r="547" ht="15.75" customHeight="1">
      <c r="A547" s="25"/>
      <c r="B547" s="25"/>
      <c r="C547" s="84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</row>
    <row r="548" ht="15.75" customHeight="1">
      <c r="A548" s="25"/>
      <c r="B548" s="25"/>
      <c r="C548" s="84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</row>
    <row r="549" ht="15.75" customHeight="1">
      <c r="A549" s="25"/>
      <c r="B549" s="25"/>
      <c r="C549" s="84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</row>
    <row r="550" ht="15.75" customHeight="1">
      <c r="A550" s="25"/>
      <c r="B550" s="25"/>
      <c r="C550" s="84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</row>
    <row r="551" ht="15.75" customHeight="1">
      <c r="A551" s="25"/>
      <c r="B551" s="25"/>
      <c r="C551" s="84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</row>
    <row r="552" ht="15.75" customHeight="1">
      <c r="A552" s="25"/>
      <c r="B552" s="25"/>
      <c r="C552" s="84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</row>
    <row r="553" ht="15.75" customHeight="1">
      <c r="A553" s="25"/>
      <c r="B553" s="25"/>
      <c r="C553" s="84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</row>
    <row r="554" ht="15.75" customHeight="1">
      <c r="A554" s="25"/>
      <c r="B554" s="25"/>
      <c r="C554" s="84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</row>
    <row r="555" ht="15.75" customHeight="1">
      <c r="A555" s="25"/>
      <c r="B555" s="25"/>
      <c r="C555" s="84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</row>
    <row r="556" ht="15.75" customHeight="1">
      <c r="A556" s="25"/>
      <c r="B556" s="25"/>
      <c r="C556" s="84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</row>
    <row r="557" ht="15.75" customHeight="1">
      <c r="A557" s="25"/>
      <c r="B557" s="25"/>
      <c r="C557" s="84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</row>
    <row r="558" ht="15.75" customHeight="1">
      <c r="A558" s="25"/>
      <c r="B558" s="25"/>
      <c r="C558" s="84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</row>
    <row r="559" ht="15.75" customHeight="1">
      <c r="A559" s="25"/>
      <c r="B559" s="25"/>
      <c r="C559" s="84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</row>
    <row r="560" ht="15.75" customHeight="1">
      <c r="A560" s="25"/>
      <c r="B560" s="25"/>
      <c r="C560" s="84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</row>
    <row r="561" ht="15.75" customHeight="1">
      <c r="A561" s="25"/>
      <c r="B561" s="25"/>
      <c r="C561" s="84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</row>
    <row r="562" ht="15.75" customHeight="1">
      <c r="A562" s="25"/>
      <c r="B562" s="25"/>
      <c r="C562" s="84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</row>
    <row r="563" ht="15.75" customHeight="1">
      <c r="A563" s="25"/>
      <c r="B563" s="25"/>
      <c r="C563" s="84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</row>
    <row r="564" ht="15.75" customHeight="1">
      <c r="A564" s="25"/>
      <c r="B564" s="25"/>
      <c r="C564" s="84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</row>
    <row r="565" ht="15.75" customHeight="1">
      <c r="A565" s="25"/>
      <c r="B565" s="25"/>
      <c r="C565" s="84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</row>
    <row r="566" ht="15.75" customHeight="1">
      <c r="A566" s="25"/>
      <c r="B566" s="25"/>
      <c r="C566" s="84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</row>
    <row r="567" ht="15.75" customHeight="1">
      <c r="A567" s="25"/>
      <c r="B567" s="25"/>
      <c r="C567" s="84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</row>
    <row r="568" ht="15.75" customHeight="1">
      <c r="A568" s="25"/>
      <c r="B568" s="25"/>
      <c r="C568" s="84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</row>
    <row r="569" ht="15.75" customHeight="1">
      <c r="A569" s="25"/>
      <c r="B569" s="25"/>
      <c r="C569" s="84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</row>
    <row r="570" ht="15.75" customHeight="1">
      <c r="A570" s="25"/>
      <c r="B570" s="25"/>
      <c r="C570" s="84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</row>
    <row r="571" ht="15.75" customHeight="1">
      <c r="A571" s="25"/>
      <c r="B571" s="25"/>
      <c r="C571" s="84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</row>
    <row r="572" ht="15.75" customHeight="1">
      <c r="A572" s="25"/>
      <c r="B572" s="25"/>
      <c r="C572" s="84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</row>
    <row r="573" ht="15.75" customHeight="1">
      <c r="A573" s="25"/>
      <c r="B573" s="25"/>
      <c r="C573" s="84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</row>
    <row r="574" ht="15.75" customHeight="1">
      <c r="A574" s="25"/>
      <c r="B574" s="25"/>
      <c r="C574" s="84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</row>
    <row r="575" ht="15.75" customHeight="1">
      <c r="A575" s="25"/>
      <c r="B575" s="25"/>
      <c r="C575" s="84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</row>
    <row r="576" ht="15.75" customHeight="1">
      <c r="A576" s="25"/>
      <c r="B576" s="25"/>
      <c r="C576" s="84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</row>
    <row r="577" ht="15.75" customHeight="1">
      <c r="A577" s="25"/>
      <c r="B577" s="25"/>
      <c r="C577" s="84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</row>
    <row r="578" ht="15.75" customHeight="1">
      <c r="A578" s="25"/>
      <c r="B578" s="25"/>
      <c r="C578" s="84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</row>
    <row r="579" ht="15.75" customHeight="1">
      <c r="A579" s="25"/>
      <c r="B579" s="25"/>
      <c r="C579" s="84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</row>
    <row r="580" ht="15.75" customHeight="1">
      <c r="A580" s="25"/>
      <c r="B580" s="25"/>
      <c r="C580" s="84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</row>
    <row r="581" ht="15.75" customHeight="1">
      <c r="A581" s="25"/>
      <c r="B581" s="25"/>
      <c r="C581" s="84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</row>
    <row r="582" ht="15.75" customHeight="1">
      <c r="A582" s="25"/>
      <c r="B582" s="25"/>
      <c r="C582" s="84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</row>
    <row r="583" ht="15.75" customHeight="1">
      <c r="A583" s="25"/>
      <c r="B583" s="25"/>
      <c r="C583" s="84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</row>
    <row r="584" ht="15.75" customHeight="1">
      <c r="A584" s="25"/>
      <c r="B584" s="25"/>
      <c r="C584" s="84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</row>
    <row r="585" ht="15.75" customHeight="1">
      <c r="A585" s="25"/>
      <c r="B585" s="25"/>
      <c r="C585" s="84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</row>
    <row r="586" ht="15.75" customHeight="1">
      <c r="A586" s="25"/>
      <c r="B586" s="25"/>
      <c r="C586" s="84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</row>
    <row r="587" ht="15.75" customHeight="1">
      <c r="A587" s="25"/>
      <c r="B587" s="25"/>
      <c r="C587" s="84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</row>
    <row r="588" ht="15.75" customHeight="1">
      <c r="A588" s="25"/>
      <c r="B588" s="25"/>
      <c r="C588" s="84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</row>
    <row r="589" ht="15.75" customHeight="1">
      <c r="A589" s="25"/>
      <c r="B589" s="25"/>
      <c r="C589" s="84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</row>
    <row r="590" ht="15.75" customHeight="1">
      <c r="A590" s="25"/>
      <c r="B590" s="25"/>
      <c r="C590" s="84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</row>
    <row r="591" ht="15.75" customHeight="1">
      <c r="A591" s="25"/>
      <c r="B591" s="25"/>
      <c r="C591" s="84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</row>
    <row r="592" ht="15.75" customHeight="1">
      <c r="A592" s="25"/>
      <c r="B592" s="25"/>
      <c r="C592" s="84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</row>
    <row r="593" ht="15.75" customHeight="1">
      <c r="A593" s="25"/>
      <c r="B593" s="25"/>
      <c r="C593" s="84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</row>
    <row r="594" ht="15.75" customHeight="1">
      <c r="A594" s="25"/>
      <c r="B594" s="25"/>
      <c r="C594" s="84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</row>
    <row r="595" ht="15.75" customHeight="1">
      <c r="A595" s="25"/>
      <c r="B595" s="25"/>
      <c r="C595" s="84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</row>
    <row r="596" ht="15.75" customHeight="1">
      <c r="A596" s="25"/>
      <c r="B596" s="25"/>
      <c r="C596" s="84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</row>
    <row r="597" ht="15.75" customHeight="1">
      <c r="A597" s="25"/>
      <c r="B597" s="25"/>
      <c r="C597" s="84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</row>
    <row r="598" ht="15.75" customHeight="1">
      <c r="A598" s="25"/>
      <c r="B598" s="25"/>
      <c r="C598" s="84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</row>
    <row r="599" ht="15.75" customHeight="1">
      <c r="A599" s="25"/>
      <c r="B599" s="25"/>
      <c r="C599" s="84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</row>
    <row r="600" ht="15.75" customHeight="1">
      <c r="A600" s="25"/>
      <c r="B600" s="25"/>
      <c r="C600" s="84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</row>
    <row r="601" ht="15.75" customHeight="1">
      <c r="A601" s="25"/>
      <c r="B601" s="25"/>
      <c r="C601" s="84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</row>
    <row r="602" ht="15.75" customHeight="1">
      <c r="A602" s="25"/>
      <c r="B602" s="25"/>
      <c r="C602" s="84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</row>
    <row r="603" ht="15.75" customHeight="1">
      <c r="A603" s="25"/>
      <c r="B603" s="25"/>
      <c r="C603" s="84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</row>
    <row r="604" ht="15.75" customHeight="1">
      <c r="A604" s="25"/>
      <c r="B604" s="25"/>
      <c r="C604" s="84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</row>
    <row r="605" ht="15.75" customHeight="1">
      <c r="A605" s="25"/>
      <c r="B605" s="25"/>
      <c r="C605" s="84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</row>
    <row r="606" ht="15.75" customHeight="1">
      <c r="A606" s="25"/>
      <c r="B606" s="25"/>
      <c r="C606" s="84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</row>
    <row r="607" ht="15.75" customHeight="1">
      <c r="A607" s="25"/>
      <c r="B607" s="25"/>
      <c r="C607" s="84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</row>
    <row r="608" ht="15.75" customHeight="1">
      <c r="A608" s="25"/>
      <c r="B608" s="25"/>
      <c r="C608" s="84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</row>
    <row r="609" ht="15.75" customHeight="1">
      <c r="A609" s="25"/>
      <c r="B609" s="25"/>
      <c r="C609" s="84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</row>
    <row r="610" ht="15.75" customHeight="1">
      <c r="A610" s="25"/>
      <c r="B610" s="25"/>
      <c r="C610" s="84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</row>
    <row r="611" ht="15.75" customHeight="1">
      <c r="A611" s="25"/>
      <c r="B611" s="25"/>
      <c r="C611" s="84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</row>
    <row r="612" ht="15.75" customHeight="1">
      <c r="A612" s="25"/>
      <c r="B612" s="25"/>
      <c r="C612" s="84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</row>
    <row r="613" ht="15.75" customHeight="1">
      <c r="A613" s="25"/>
      <c r="B613" s="25"/>
      <c r="C613" s="84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</row>
    <row r="614" ht="15.75" customHeight="1">
      <c r="A614" s="25"/>
      <c r="B614" s="25"/>
      <c r="C614" s="84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</row>
    <row r="615" ht="15.75" customHeight="1">
      <c r="A615" s="25"/>
      <c r="B615" s="25"/>
      <c r="C615" s="84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</row>
    <row r="616" ht="15.75" customHeight="1">
      <c r="A616" s="25"/>
      <c r="B616" s="25"/>
      <c r="C616" s="84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</row>
    <row r="617" ht="15.75" customHeight="1">
      <c r="A617" s="25"/>
      <c r="B617" s="25"/>
      <c r="C617" s="84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</row>
    <row r="618" ht="15.75" customHeight="1">
      <c r="A618" s="25"/>
      <c r="B618" s="25"/>
      <c r="C618" s="84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</row>
    <row r="619" ht="15.75" customHeight="1">
      <c r="A619" s="25"/>
      <c r="B619" s="25"/>
      <c r="C619" s="84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</row>
    <row r="620" ht="15.75" customHeight="1">
      <c r="A620" s="25"/>
      <c r="B620" s="25"/>
      <c r="C620" s="84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</row>
    <row r="621" ht="15.75" customHeight="1">
      <c r="A621" s="25"/>
      <c r="B621" s="25"/>
      <c r="C621" s="84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</row>
    <row r="622" ht="15.75" customHeight="1">
      <c r="A622" s="25"/>
      <c r="B622" s="25"/>
      <c r="C622" s="84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</row>
    <row r="623" ht="15.75" customHeight="1">
      <c r="A623" s="25"/>
      <c r="B623" s="25"/>
      <c r="C623" s="84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</row>
    <row r="624" ht="15.75" customHeight="1">
      <c r="A624" s="25"/>
      <c r="B624" s="25"/>
      <c r="C624" s="84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</row>
    <row r="625" ht="15.75" customHeight="1">
      <c r="A625" s="25"/>
      <c r="B625" s="25"/>
      <c r="C625" s="84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</row>
    <row r="626" ht="15.75" customHeight="1">
      <c r="A626" s="25"/>
      <c r="B626" s="25"/>
      <c r="C626" s="84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</row>
    <row r="627" ht="15.75" customHeight="1">
      <c r="A627" s="25"/>
      <c r="B627" s="25"/>
      <c r="C627" s="84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</row>
    <row r="628" ht="15.75" customHeight="1">
      <c r="A628" s="25"/>
      <c r="B628" s="25"/>
      <c r="C628" s="84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</row>
    <row r="629" ht="15.75" customHeight="1">
      <c r="A629" s="25"/>
      <c r="B629" s="25"/>
      <c r="C629" s="84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</row>
    <row r="630" ht="15.75" customHeight="1">
      <c r="A630" s="25"/>
      <c r="B630" s="25"/>
      <c r="C630" s="84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</row>
    <row r="631" ht="15.75" customHeight="1">
      <c r="A631" s="25"/>
      <c r="B631" s="25"/>
      <c r="C631" s="84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</row>
    <row r="632" ht="15.75" customHeight="1">
      <c r="A632" s="25"/>
      <c r="B632" s="25"/>
      <c r="C632" s="84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</row>
    <row r="633" ht="15.75" customHeight="1">
      <c r="A633" s="25"/>
      <c r="B633" s="25"/>
      <c r="C633" s="84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</row>
    <row r="634" ht="15.75" customHeight="1">
      <c r="A634" s="25"/>
      <c r="B634" s="25"/>
      <c r="C634" s="84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</row>
    <row r="635" ht="15.75" customHeight="1">
      <c r="A635" s="25"/>
      <c r="B635" s="25"/>
      <c r="C635" s="84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</row>
    <row r="636" ht="15.75" customHeight="1">
      <c r="A636" s="25"/>
      <c r="B636" s="25"/>
      <c r="C636" s="84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</row>
    <row r="637" ht="15.75" customHeight="1">
      <c r="A637" s="25"/>
      <c r="B637" s="25"/>
      <c r="C637" s="84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</row>
    <row r="638" ht="15.75" customHeight="1">
      <c r="A638" s="25"/>
      <c r="B638" s="25"/>
      <c r="C638" s="84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</row>
    <row r="639" ht="15.75" customHeight="1">
      <c r="A639" s="25"/>
      <c r="B639" s="25"/>
      <c r="C639" s="84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</row>
    <row r="640" ht="15.75" customHeight="1">
      <c r="A640" s="25"/>
      <c r="B640" s="25"/>
      <c r="C640" s="84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</row>
    <row r="641" ht="15.75" customHeight="1">
      <c r="A641" s="25"/>
      <c r="B641" s="25"/>
      <c r="C641" s="84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</row>
    <row r="642" ht="15.75" customHeight="1">
      <c r="A642" s="25"/>
      <c r="B642" s="25"/>
      <c r="C642" s="84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</row>
    <row r="643" ht="15.75" customHeight="1">
      <c r="A643" s="25"/>
      <c r="B643" s="25"/>
      <c r="C643" s="84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</row>
    <row r="644" ht="15.75" customHeight="1">
      <c r="A644" s="25"/>
      <c r="B644" s="25"/>
      <c r="C644" s="84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</row>
    <row r="645" ht="15.75" customHeight="1">
      <c r="A645" s="25"/>
      <c r="B645" s="25"/>
      <c r="C645" s="84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</row>
    <row r="646" ht="15.75" customHeight="1">
      <c r="A646" s="25"/>
      <c r="B646" s="25"/>
      <c r="C646" s="84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</row>
    <row r="647" ht="15.75" customHeight="1">
      <c r="A647" s="25"/>
      <c r="B647" s="25"/>
      <c r="C647" s="84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</row>
    <row r="648" ht="15.75" customHeight="1">
      <c r="A648" s="25"/>
      <c r="B648" s="25"/>
      <c r="C648" s="84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</row>
    <row r="649" ht="15.75" customHeight="1">
      <c r="A649" s="25"/>
      <c r="B649" s="25"/>
      <c r="C649" s="84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</row>
    <row r="650" ht="15.75" customHeight="1">
      <c r="A650" s="25"/>
      <c r="B650" s="25"/>
      <c r="C650" s="84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</row>
    <row r="651" ht="15.75" customHeight="1">
      <c r="A651" s="25"/>
      <c r="B651" s="25"/>
      <c r="C651" s="84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</row>
    <row r="652" ht="15.75" customHeight="1">
      <c r="A652" s="25"/>
      <c r="B652" s="25"/>
      <c r="C652" s="84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</row>
    <row r="653" ht="15.75" customHeight="1">
      <c r="A653" s="25"/>
      <c r="B653" s="25"/>
      <c r="C653" s="84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</row>
    <row r="654" ht="15.75" customHeight="1">
      <c r="A654" s="25"/>
      <c r="B654" s="25"/>
      <c r="C654" s="84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</row>
    <row r="655" ht="15.75" customHeight="1">
      <c r="A655" s="25"/>
      <c r="B655" s="25"/>
      <c r="C655" s="84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</row>
    <row r="656" ht="15.75" customHeight="1">
      <c r="A656" s="25"/>
      <c r="B656" s="25"/>
      <c r="C656" s="84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</row>
    <row r="657" ht="15.75" customHeight="1">
      <c r="A657" s="25"/>
      <c r="B657" s="25"/>
      <c r="C657" s="84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</row>
    <row r="658" ht="15.75" customHeight="1">
      <c r="A658" s="25"/>
      <c r="B658" s="25"/>
      <c r="C658" s="84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</row>
    <row r="659" ht="15.75" customHeight="1">
      <c r="A659" s="25"/>
      <c r="B659" s="25"/>
      <c r="C659" s="84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</row>
    <row r="660" ht="15.75" customHeight="1">
      <c r="A660" s="25"/>
      <c r="B660" s="25"/>
      <c r="C660" s="84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</row>
    <row r="661" ht="15.75" customHeight="1">
      <c r="A661" s="25"/>
      <c r="B661" s="25"/>
      <c r="C661" s="84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</row>
    <row r="662" ht="15.75" customHeight="1">
      <c r="A662" s="25"/>
      <c r="B662" s="25"/>
      <c r="C662" s="84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</row>
    <row r="663" ht="15.75" customHeight="1">
      <c r="A663" s="25"/>
      <c r="B663" s="25"/>
      <c r="C663" s="84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</row>
    <row r="664" ht="15.75" customHeight="1">
      <c r="A664" s="25"/>
      <c r="B664" s="25"/>
      <c r="C664" s="84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</row>
    <row r="665" ht="15.75" customHeight="1">
      <c r="A665" s="25"/>
      <c r="B665" s="25"/>
      <c r="C665" s="84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</row>
    <row r="666" ht="15.75" customHeight="1">
      <c r="A666" s="25"/>
      <c r="B666" s="25"/>
      <c r="C666" s="84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</row>
    <row r="667" ht="15.75" customHeight="1">
      <c r="A667" s="25"/>
      <c r="B667" s="25"/>
      <c r="C667" s="84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</row>
    <row r="668" ht="15.75" customHeight="1">
      <c r="A668" s="25"/>
      <c r="B668" s="25"/>
      <c r="C668" s="84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</row>
    <row r="669" ht="15.75" customHeight="1">
      <c r="A669" s="25"/>
      <c r="B669" s="25"/>
      <c r="C669" s="84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</row>
    <row r="670" ht="15.75" customHeight="1">
      <c r="A670" s="25"/>
      <c r="B670" s="25"/>
      <c r="C670" s="84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</row>
    <row r="671" ht="15.75" customHeight="1">
      <c r="A671" s="25"/>
      <c r="B671" s="25"/>
      <c r="C671" s="84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</row>
    <row r="672" ht="15.75" customHeight="1">
      <c r="A672" s="25"/>
      <c r="B672" s="25"/>
      <c r="C672" s="84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</row>
    <row r="673" ht="15.75" customHeight="1">
      <c r="A673" s="25"/>
      <c r="B673" s="25"/>
      <c r="C673" s="84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</row>
    <row r="674" ht="15.75" customHeight="1">
      <c r="A674" s="25"/>
      <c r="B674" s="25"/>
      <c r="C674" s="84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</row>
    <row r="675" ht="15.75" customHeight="1">
      <c r="A675" s="25"/>
      <c r="B675" s="25"/>
      <c r="C675" s="84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</row>
    <row r="676" ht="15.75" customHeight="1">
      <c r="A676" s="25"/>
      <c r="B676" s="25"/>
      <c r="C676" s="84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</row>
    <row r="677" ht="15.75" customHeight="1">
      <c r="A677" s="25"/>
      <c r="B677" s="25"/>
      <c r="C677" s="84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</row>
    <row r="678" ht="15.75" customHeight="1">
      <c r="A678" s="25"/>
      <c r="B678" s="25"/>
      <c r="C678" s="84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</row>
    <row r="679" ht="15.75" customHeight="1">
      <c r="A679" s="25"/>
      <c r="B679" s="25"/>
      <c r="C679" s="84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</row>
    <row r="680" ht="15.75" customHeight="1">
      <c r="A680" s="25"/>
      <c r="B680" s="25"/>
      <c r="C680" s="84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</row>
    <row r="681" ht="15.75" customHeight="1">
      <c r="A681" s="25"/>
      <c r="B681" s="25"/>
      <c r="C681" s="84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</row>
    <row r="682" ht="15.75" customHeight="1">
      <c r="A682" s="25"/>
      <c r="B682" s="25"/>
      <c r="C682" s="84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</row>
    <row r="683" ht="15.75" customHeight="1">
      <c r="A683" s="25"/>
      <c r="B683" s="25"/>
      <c r="C683" s="84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</row>
    <row r="684" ht="15.75" customHeight="1">
      <c r="A684" s="25"/>
      <c r="B684" s="25"/>
      <c r="C684" s="84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</row>
    <row r="685" ht="15.75" customHeight="1">
      <c r="A685" s="25"/>
      <c r="B685" s="25"/>
      <c r="C685" s="84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</row>
    <row r="686" ht="15.75" customHeight="1">
      <c r="A686" s="25"/>
      <c r="B686" s="25"/>
      <c r="C686" s="84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</row>
    <row r="687" ht="15.75" customHeight="1">
      <c r="A687" s="25"/>
      <c r="B687" s="25"/>
      <c r="C687" s="84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</row>
    <row r="688" ht="15.75" customHeight="1">
      <c r="A688" s="25"/>
      <c r="B688" s="25"/>
      <c r="C688" s="84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</row>
    <row r="689" ht="15.75" customHeight="1">
      <c r="A689" s="25"/>
      <c r="B689" s="25"/>
      <c r="C689" s="84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</row>
    <row r="690" ht="15.75" customHeight="1">
      <c r="A690" s="25"/>
      <c r="B690" s="25"/>
      <c r="C690" s="84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</row>
    <row r="691" ht="15.75" customHeight="1">
      <c r="A691" s="25"/>
      <c r="B691" s="25"/>
      <c r="C691" s="84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</row>
    <row r="692" ht="15.75" customHeight="1">
      <c r="A692" s="25"/>
      <c r="B692" s="25"/>
      <c r="C692" s="84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</row>
    <row r="693" ht="15.75" customHeight="1">
      <c r="A693" s="25"/>
      <c r="B693" s="25"/>
      <c r="C693" s="84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</row>
    <row r="694" ht="15.75" customHeight="1">
      <c r="A694" s="25"/>
      <c r="B694" s="25"/>
      <c r="C694" s="84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</row>
    <row r="695" ht="15.75" customHeight="1">
      <c r="A695" s="25"/>
      <c r="B695" s="25"/>
      <c r="C695" s="84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</row>
    <row r="696" ht="15.75" customHeight="1">
      <c r="A696" s="25"/>
      <c r="B696" s="25"/>
      <c r="C696" s="84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</row>
    <row r="697" ht="15.75" customHeight="1">
      <c r="A697" s="25"/>
      <c r="B697" s="25"/>
      <c r="C697" s="84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</row>
    <row r="698" ht="15.75" customHeight="1">
      <c r="A698" s="25"/>
      <c r="B698" s="25"/>
      <c r="C698" s="84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</row>
    <row r="699" ht="15.75" customHeight="1">
      <c r="A699" s="25"/>
      <c r="B699" s="25"/>
      <c r="C699" s="84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</row>
    <row r="700" ht="15.75" customHeight="1">
      <c r="A700" s="25"/>
      <c r="B700" s="25"/>
      <c r="C700" s="84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</row>
    <row r="701" ht="15.75" customHeight="1">
      <c r="A701" s="25"/>
      <c r="B701" s="25"/>
      <c r="C701" s="84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</row>
    <row r="702" ht="15.75" customHeight="1">
      <c r="A702" s="25"/>
      <c r="B702" s="25"/>
      <c r="C702" s="84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</row>
    <row r="703" ht="15.75" customHeight="1">
      <c r="A703" s="25"/>
      <c r="B703" s="25"/>
      <c r="C703" s="84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</row>
    <row r="704" ht="15.75" customHeight="1">
      <c r="A704" s="25"/>
      <c r="B704" s="25"/>
      <c r="C704" s="84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</row>
    <row r="705" ht="15.75" customHeight="1">
      <c r="A705" s="25"/>
      <c r="B705" s="25"/>
      <c r="C705" s="84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</row>
    <row r="706" ht="15.75" customHeight="1">
      <c r="A706" s="25"/>
      <c r="B706" s="25"/>
      <c r="C706" s="84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</row>
    <row r="707" ht="15.75" customHeight="1">
      <c r="A707" s="25"/>
      <c r="B707" s="25"/>
      <c r="C707" s="84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</row>
    <row r="708" ht="15.75" customHeight="1">
      <c r="A708" s="25"/>
      <c r="B708" s="25"/>
      <c r="C708" s="84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</row>
    <row r="709" ht="15.75" customHeight="1">
      <c r="A709" s="25"/>
      <c r="B709" s="25"/>
      <c r="C709" s="84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</row>
    <row r="710" ht="15.75" customHeight="1">
      <c r="A710" s="25"/>
      <c r="B710" s="25"/>
      <c r="C710" s="84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</row>
    <row r="711" ht="15.75" customHeight="1">
      <c r="A711" s="25"/>
      <c r="B711" s="25"/>
      <c r="C711" s="84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</row>
    <row r="712" ht="15.75" customHeight="1">
      <c r="A712" s="25"/>
      <c r="B712" s="25"/>
      <c r="C712" s="84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</row>
    <row r="713" ht="15.75" customHeight="1">
      <c r="A713" s="25"/>
      <c r="B713" s="25"/>
      <c r="C713" s="84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</row>
    <row r="714" ht="15.75" customHeight="1">
      <c r="A714" s="25"/>
      <c r="B714" s="25"/>
      <c r="C714" s="84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</row>
    <row r="715" ht="15.75" customHeight="1">
      <c r="A715" s="25"/>
      <c r="B715" s="25"/>
      <c r="C715" s="84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</row>
    <row r="716" ht="15.75" customHeight="1">
      <c r="A716" s="25"/>
      <c r="B716" s="25"/>
      <c r="C716" s="84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</row>
    <row r="717" ht="15.75" customHeight="1">
      <c r="A717" s="25"/>
      <c r="B717" s="25"/>
      <c r="C717" s="84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</row>
    <row r="718" ht="15.75" customHeight="1">
      <c r="A718" s="25"/>
      <c r="B718" s="25"/>
      <c r="C718" s="84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</row>
    <row r="719" ht="15.75" customHeight="1">
      <c r="A719" s="25"/>
      <c r="B719" s="25"/>
      <c r="C719" s="84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</row>
    <row r="720" ht="15.75" customHeight="1">
      <c r="A720" s="25"/>
      <c r="B720" s="25"/>
      <c r="C720" s="84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</row>
    <row r="721" ht="15.75" customHeight="1">
      <c r="A721" s="25"/>
      <c r="B721" s="25"/>
      <c r="C721" s="84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</row>
    <row r="722" ht="15.75" customHeight="1">
      <c r="A722" s="25"/>
      <c r="B722" s="25"/>
      <c r="C722" s="84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</row>
    <row r="723" ht="15.75" customHeight="1">
      <c r="A723" s="25"/>
      <c r="B723" s="25"/>
      <c r="C723" s="84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</row>
    <row r="724" ht="15.75" customHeight="1">
      <c r="A724" s="25"/>
      <c r="B724" s="25"/>
      <c r="C724" s="84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</row>
    <row r="725" ht="15.75" customHeight="1">
      <c r="A725" s="25"/>
      <c r="B725" s="25"/>
      <c r="C725" s="84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</row>
    <row r="726" ht="15.75" customHeight="1">
      <c r="A726" s="25"/>
      <c r="B726" s="25"/>
      <c r="C726" s="84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</row>
    <row r="727" ht="15.75" customHeight="1">
      <c r="A727" s="25"/>
      <c r="B727" s="25"/>
      <c r="C727" s="84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</row>
    <row r="728" ht="15.75" customHeight="1">
      <c r="A728" s="25"/>
      <c r="B728" s="25"/>
      <c r="C728" s="84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</row>
    <row r="729" ht="15.75" customHeight="1">
      <c r="A729" s="25"/>
      <c r="B729" s="25"/>
      <c r="C729" s="84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</row>
    <row r="730" ht="15.75" customHeight="1">
      <c r="A730" s="25"/>
      <c r="B730" s="25"/>
      <c r="C730" s="84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</row>
    <row r="731" ht="15.75" customHeight="1">
      <c r="A731" s="25"/>
      <c r="B731" s="25"/>
      <c r="C731" s="84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</row>
    <row r="732" ht="15.75" customHeight="1">
      <c r="A732" s="25"/>
      <c r="B732" s="25"/>
      <c r="C732" s="84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</row>
    <row r="733" ht="15.75" customHeight="1">
      <c r="A733" s="25"/>
      <c r="B733" s="25"/>
      <c r="C733" s="84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</row>
    <row r="734" ht="15.75" customHeight="1">
      <c r="A734" s="25"/>
      <c r="B734" s="25"/>
      <c r="C734" s="84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</row>
    <row r="735" ht="15.75" customHeight="1">
      <c r="A735" s="25"/>
      <c r="B735" s="25"/>
      <c r="C735" s="84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</row>
    <row r="736" ht="15.75" customHeight="1">
      <c r="A736" s="25"/>
      <c r="B736" s="25"/>
      <c r="C736" s="84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</row>
    <row r="737" ht="15.75" customHeight="1">
      <c r="A737" s="25"/>
      <c r="B737" s="25"/>
      <c r="C737" s="84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</row>
    <row r="738" ht="15.75" customHeight="1">
      <c r="A738" s="25"/>
      <c r="B738" s="25"/>
      <c r="C738" s="84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</row>
    <row r="739" ht="15.75" customHeight="1">
      <c r="A739" s="25"/>
      <c r="B739" s="25"/>
      <c r="C739" s="84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</row>
    <row r="740" ht="15.75" customHeight="1">
      <c r="A740" s="25"/>
      <c r="B740" s="25"/>
      <c r="C740" s="84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</row>
    <row r="741" ht="15.75" customHeight="1">
      <c r="A741" s="25"/>
      <c r="B741" s="25"/>
      <c r="C741" s="84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</row>
    <row r="742" ht="15.75" customHeight="1">
      <c r="A742" s="25"/>
      <c r="B742" s="25"/>
      <c r="C742" s="84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</row>
    <row r="743" ht="15.75" customHeight="1">
      <c r="A743" s="25"/>
      <c r="B743" s="25"/>
      <c r="C743" s="84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</row>
    <row r="744" ht="15.75" customHeight="1">
      <c r="A744" s="25"/>
      <c r="B744" s="25"/>
      <c r="C744" s="84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</row>
    <row r="745" ht="15.75" customHeight="1">
      <c r="A745" s="25"/>
      <c r="B745" s="25"/>
      <c r="C745" s="84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</row>
    <row r="746" ht="15.75" customHeight="1">
      <c r="A746" s="25"/>
      <c r="B746" s="25"/>
      <c r="C746" s="84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</row>
    <row r="747" ht="15.75" customHeight="1">
      <c r="A747" s="25"/>
      <c r="B747" s="25"/>
      <c r="C747" s="84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</row>
    <row r="748" ht="15.75" customHeight="1">
      <c r="A748" s="25"/>
      <c r="B748" s="25"/>
      <c r="C748" s="84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</row>
    <row r="749" ht="15.75" customHeight="1">
      <c r="A749" s="25"/>
      <c r="B749" s="25"/>
      <c r="C749" s="84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</row>
    <row r="750" ht="15.75" customHeight="1">
      <c r="A750" s="25"/>
      <c r="B750" s="25"/>
      <c r="C750" s="84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</row>
    <row r="751" ht="15.75" customHeight="1">
      <c r="A751" s="25"/>
      <c r="B751" s="25"/>
      <c r="C751" s="84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</row>
    <row r="752" ht="15.75" customHeight="1">
      <c r="A752" s="25"/>
      <c r="B752" s="25"/>
      <c r="C752" s="84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</row>
    <row r="753" ht="15.75" customHeight="1">
      <c r="A753" s="25"/>
      <c r="B753" s="25"/>
      <c r="C753" s="84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</row>
    <row r="754" ht="15.75" customHeight="1">
      <c r="A754" s="25"/>
      <c r="B754" s="25"/>
      <c r="C754" s="84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</row>
    <row r="755" ht="15.75" customHeight="1">
      <c r="A755" s="25"/>
      <c r="B755" s="25"/>
      <c r="C755" s="84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</row>
    <row r="756" ht="15.75" customHeight="1">
      <c r="A756" s="25"/>
      <c r="B756" s="25"/>
      <c r="C756" s="84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</row>
    <row r="757" ht="15.75" customHeight="1">
      <c r="A757" s="25"/>
      <c r="B757" s="25"/>
      <c r="C757" s="84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</row>
    <row r="758" ht="15.75" customHeight="1">
      <c r="A758" s="25"/>
      <c r="B758" s="25"/>
      <c r="C758" s="84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</row>
    <row r="759" ht="15.75" customHeight="1">
      <c r="A759" s="25"/>
      <c r="B759" s="25"/>
      <c r="C759" s="84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</row>
    <row r="760" ht="15.75" customHeight="1">
      <c r="A760" s="25"/>
      <c r="B760" s="25"/>
      <c r="C760" s="84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</row>
    <row r="761" ht="15.75" customHeight="1">
      <c r="A761" s="25"/>
      <c r="B761" s="25"/>
      <c r="C761" s="84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</row>
    <row r="762" ht="15.75" customHeight="1">
      <c r="A762" s="25"/>
      <c r="B762" s="25"/>
      <c r="C762" s="84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</row>
    <row r="763" ht="15.75" customHeight="1">
      <c r="A763" s="25"/>
      <c r="B763" s="25"/>
      <c r="C763" s="84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</row>
    <row r="764" ht="15.75" customHeight="1">
      <c r="A764" s="25"/>
      <c r="B764" s="25"/>
      <c r="C764" s="84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</row>
    <row r="765" ht="15.75" customHeight="1">
      <c r="A765" s="25"/>
      <c r="B765" s="25"/>
      <c r="C765" s="84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</row>
    <row r="766" ht="15.75" customHeight="1">
      <c r="A766" s="25"/>
      <c r="B766" s="25"/>
      <c r="C766" s="84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</row>
    <row r="767" ht="15.75" customHeight="1">
      <c r="A767" s="25"/>
      <c r="B767" s="25"/>
      <c r="C767" s="84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</row>
    <row r="768" ht="15.75" customHeight="1">
      <c r="A768" s="25"/>
      <c r="B768" s="25"/>
      <c r="C768" s="84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</row>
    <row r="769" ht="15.75" customHeight="1">
      <c r="A769" s="25"/>
      <c r="B769" s="25"/>
      <c r="C769" s="84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</row>
    <row r="770" ht="15.75" customHeight="1">
      <c r="A770" s="25"/>
      <c r="B770" s="25"/>
      <c r="C770" s="84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</row>
    <row r="771" ht="15.75" customHeight="1">
      <c r="A771" s="25"/>
      <c r="B771" s="25"/>
      <c r="C771" s="84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</row>
    <row r="772" ht="15.75" customHeight="1">
      <c r="A772" s="25"/>
      <c r="B772" s="25"/>
      <c r="C772" s="84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</row>
    <row r="773" ht="15.75" customHeight="1">
      <c r="A773" s="25"/>
      <c r="B773" s="25"/>
      <c r="C773" s="84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</row>
    <row r="774" ht="15.75" customHeight="1">
      <c r="A774" s="25"/>
      <c r="B774" s="25"/>
      <c r="C774" s="84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</row>
    <row r="775" ht="15.75" customHeight="1">
      <c r="A775" s="25"/>
      <c r="B775" s="25"/>
      <c r="C775" s="84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</row>
    <row r="776" ht="15.75" customHeight="1">
      <c r="A776" s="25"/>
      <c r="B776" s="25"/>
      <c r="C776" s="84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</row>
    <row r="777" ht="15.75" customHeight="1">
      <c r="A777" s="25"/>
      <c r="B777" s="25"/>
      <c r="C777" s="84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</row>
    <row r="778" ht="15.75" customHeight="1">
      <c r="A778" s="25"/>
      <c r="B778" s="25"/>
      <c r="C778" s="84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</row>
    <row r="779" ht="15.75" customHeight="1">
      <c r="A779" s="25"/>
      <c r="B779" s="25"/>
      <c r="C779" s="84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</row>
    <row r="780" ht="15.75" customHeight="1">
      <c r="A780" s="25"/>
      <c r="B780" s="25"/>
      <c r="C780" s="84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</row>
    <row r="781" ht="15.75" customHeight="1">
      <c r="A781" s="25"/>
      <c r="B781" s="25"/>
      <c r="C781" s="84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</row>
    <row r="782" ht="15.75" customHeight="1">
      <c r="A782" s="25"/>
      <c r="B782" s="25"/>
      <c r="C782" s="84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</row>
    <row r="783" ht="15.75" customHeight="1">
      <c r="A783" s="25"/>
      <c r="B783" s="25"/>
      <c r="C783" s="84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</row>
    <row r="784" ht="15.75" customHeight="1">
      <c r="A784" s="25"/>
      <c r="B784" s="25"/>
      <c r="C784" s="84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</row>
    <row r="785" ht="15.75" customHeight="1">
      <c r="A785" s="25"/>
      <c r="B785" s="25"/>
      <c r="C785" s="84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</row>
    <row r="786" ht="15.75" customHeight="1">
      <c r="A786" s="25"/>
      <c r="B786" s="25"/>
      <c r="C786" s="84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</row>
    <row r="787" ht="15.75" customHeight="1">
      <c r="A787" s="25"/>
      <c r="B787" s="25"/>
      <c r="C787" s="84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</row>
    <row r="788" ht="15.75" customHeight="1">
      <c r="A788" s="25"/>
      <c r="B788" s="25"/>
      <c r="C788" s="84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</row>
    <row r="789" ht="15.75" customHeight="1">
      <c r="A789" s="25"/>
      <c r="B789" s="25"/>
      <c r="C789" s="84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</row>
    <row r="790" ht="15.75" customHeight="1">
      <c r="A790" s="25"/>
      <c r="B790" s="25"/>
      <c r="C790" s="84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</row>
    <row r="791" ht="15.75" customHeight="1">
      <c r="A791" s="25"/>
      <c r="B791" s="25"/>
      <c r="C791" s="84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</row>
    <row r="792" ht="15.75" customHeight="1">
      <c r="A792" s="25"/>
      <c r="B792" s="25"/>
      <c r="C792" s="84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</row>
    <row r="793" ht="15.75" customHeight="1">
      <c r="A793" s="25"/>
      <c r="B793" s="25"/>
      <c r="C793" s="84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</row>
    <row r="794" ht="15.75" customHeight="1">
      <c r="A794" s="25"/>
      <c r="B794" s="25"/>
      <c r="C794" s="84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</row>
    <row r="795" ht="15.75" customHeight="1">
      <c r="A795" s="25"/>
      <c r="B795" s="25"/>
      <c r="C795" s="84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</row>
    <row r="796" ht="15.75" customHeight="1">
      <c r="A796" s="25"/>
      <c r="B796" s="25"/>
      <c r="C796" s="84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</row>
    <row r="797" ht="15.75" customHeight="1">
      <c r="A797" s="25"/>
      <c r="B797" s="25"/>
      <c r="C797" s="84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</row>
    <row r="798" ht="15.75" customHeight="1">
      <c r="A798" s="25"/>
      <c r="B798" s="25"/>
      <c r="C798" s="84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</row>
    <row r="799" ht="15.75" customHeight="1">
      <c r="A799" s="25"/>
      <c r="B799" s="25"/>
      <c r="C799" s="84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</row>
    <row r="800" ht="15.75" customHeight="1">
      <c r="A800" s="25"/>
      <c r="B800" s="25"/>
      <c r="C800" s="84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</row>
    <row r="801" ht="15.75" customHeight="1">
      <c r="A801" s="25"/>
      <c r="B801" s="25"/>
      <c r="C801" s="84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</row>
    <row r="802" ht="15.75" customHeight="1">
      <c r="A802" s="25"/>
      <c r="B802" s="25"/>
      <c r="C802" s="84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</row>
    <row r="803" ht="15.75" customHeight="1">
      <c r="A803" s="25"/>
      <c r="B803" s="25"/>
      <c r="C803" s="84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</row>
    <row r="804" ht="15.75" customHeight="1">
      <c r="A804" s="25"/>
      <c r="B804" s="25"/>
      <c r="C804" s="84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</row>
    <row r="805" ht="15.75" customHeight="1">
      <c r="A805" s="25"/>
      <c r="B805" s="25"/>
      <c r="C805" s="84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</row>
    <row r="806" ht="15.75" customHeight="1">
      <c r="A806" s="25"/>
      <c r="B806" s="25"/>
      <c r="C806" s="84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</row>
    <row r="807" ht="15.75" customHeight="1">
      <c r="A807" s="25"/>
      <c r="B807" s="25"/>
      <c r="C807" s="84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</row>
    <row r="808" ht="15.75" customHeight="1">
      <c r="A808" s="25"/>
      <c r="B808" s="25"/>
      <c r="C808" s="84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</row>
    <row r="809" ht="15.75" customHeight="1">
      <c r="A809" s="25"/>
      <c r="B809" s="25"/>
      <c r="C809" s="84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</row>
    <row r="810" ht="15.75" customHeight="1">
      <c r="A810" s="25"/>
      <c r="B810" s="25"/>
      <c r="C810" s="84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</row>
    <row r="811" ht="15.75" customHeight="1">
      <c r="A811" s="25"/>
      <c r="B811" s="25"/>
      <c r="C811" s="84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</row>
    <row r="812" ht="15.75" customHeight="1">
      <c r="A812" s="25"/>
      <c r="B812" s="25"/>
      <c r="C812" s="84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</row>
    <row r="813" ht="15.75" customHeight="1">
      <c r="A813" s="25"/>
      <c r="B813" s="25"/>
      <c r="C813" s="84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</row>
    <row r="814" ht="15.75" customHeight="1">
      <c r="A814" s="25"/>
      <c r="B814" s="25"/>
      <c r="C814" s="84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</row>
    <row r="815" ht="15.75" customHeight="1">
      <c r="A815" s="25"/>
      <c r="B815" s="25"/>
      <c r="C815" s="84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</row>
    <row r="816" ht="15.75" customHeight="1">
      <c r="A816" s="25"/>
      <c r="B816" s="25"/>
      <c r="C816" s="84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</row>
    <row r="817" ht="15.75" customHeight="1">
      <c r="A817" s="25"/>
      <c r="B817" s="25"/>
      <c r="C817" s="84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</row>
    <row r="818" ht="15.75" customHeight="1">
      <c r="A818" s="25"/>
      <c r="B818" s="25"/>
      <c r="C818" s="84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</row>
    <row r="819" ht="15.75" customHeight="1">
      <c r="A819" s="25"/>
      <c r="B819" s="25"/>
      <c r="C819" s="84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</row>
    <row r="820" ht="15.75" customHeight="1">
      <c r="A820" s="25"/>
      <c r="B820" s="25"/>
      <c r="C820" s="84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</row>
    <row r="821" ht="15.75" customHeight="1">
      <c r="A821" s="25"/>
      <c r="B821" s="25"/>
      <c r="C821" s="84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</row>
    <row r="822" ht="15.75" customHeight="1">
      <c r="A822" s="25"/>
      <c r="B822" s="25"/>
      <c r="C822" s="84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</row>
    <row r="823" ht="15.75" customHeight="1">
      <c r="A823" s="25"/>
      <c r="B823" s="25"/>
      <c r="C823" s="84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</row>
    <row r="824" ht="15.75" customHeight="1">
      <c r="A824" s="25"/>
      <c r="B824" s="25"/>
      <c r="C824" s="84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</row>
    <row r="825" ht="15.75" customHeight="1">
      <c r="A825" s="25"/>
      <c r="B825" s="25"/>
      <c r="C825" s="84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</row>
    <row r="826" ht="15.75" customHeight="1">
      <c r="A826" s="25"/>
      <c r="B826" s="25"/>
      <c r="C826" s="84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</row>
    <row r="827" ht="15.75" customHeight="1">
      <c r="A827" s="25"/>
      <c r="B827" s="25"/>
      <c r="C827" s="84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</row>
    <row r="828" ht="15.75" customHeight="1">
      <c r="A828" s="25"/>
      <c r="B828" s="25"/>
      <c r="C828" s="84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</row>
    <row r="829" ht="15.75" customHeight="1">
      <c r="A829" s="25"/>
      <c r="B829" s="25"/>
      <c r="C829" s="84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</row>
    <row r="830" ht="15.75" customHeight="1">
      <c r="A830" s="25"/>
      <c r="B830" s="25"/>
      <c r="C830" s="84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</row>
    <row r="831" ht="15.75" customHeight="1">
      <c r="A831" s="25"/>
      <c r="B831" s="25"/>
      <c r="C831" s="84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</row>
    <row r="832" ht="15.75" customHeight="1">
      <c r="A832" s="25"/>
      <c r="B832" s="25"/>
      <c r="C832" s="84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</row>
    <row r="833" ht="15.75" customHeight="1">
      <c r="A833" s="25"/>
      <c r="B833" s="25"/>
      <c r="C833" s="84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</row>
    <row r="834" ht="15.75" customHeight="1">
      <c r="A834" s="25"/>
      <c r="B834" s="25"/>
      <c r="C834" s="84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</row>
    <row r="835" ht="15.75" customHeight="1">
      <c r="A835" s="25"/>
      <c r="B835" s="25"/>
      <c r="C835" s="84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</row>
    <row r="836" ht="15.75" customHeight="1">
      <c r="A836" s="25"/>
      <c r="B836" s="25"/>
      <c r="C836" s="84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</row>
    <row r="837" ht="15.75" customHeight="1">
      <c r="A837" s="25"/>
      <c r="B837" s="25"/>
      <c r="C837" s="84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</row>
    <row r="838" ht="15.75" customHeight="1">
      <c r="A838" s="25"/>
      <c r="B838" s="25"/>
      <c r="C838" s="84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</row>
    <row r="839" ht="15.75" customHeight="1">
      <c r="A839" s="25"/>
      <c r="B839" s="25"/>
      <c r="C839" s="84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</row>
    <row r="840" ht="15.75" customHeight="1">
      <c r="A840" s="25"/>
      <c r="B840" s="25"/>
      <c r="C840" s="84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</row>
    <row r="841" ht="15.75" customHeight="1">
      <c r="A841" s="25"/>
      <c r="B841" s="25"/>
      <c r="C841" s="84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</row>
    <row r="842" ht="15.75" customHeight="1">
      <c r="A842" s="25"/>
      <c r="B842" s="25"/>
      <c r="C842" s="84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</row>
    <row r="843" ht="15.75" customHeight="1">
      <c r="A843" s="25"/>
      <c r="B843" s="25"/>
      <c r="C843" s="84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</row>
    <row r="844" ht="15.75" customHeight="1">
      <c r="A844" s="25"/>
      <c r="B844" s="25"/>
      <c r="C844" s="84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</row>
    <row r="845" ht="15.75" customHeight="1">
      <c r="A845" s="25"/>
      <c r="B845" s="25"/>
      <c r="C845" s="84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</row>
    <row r="846" ht="15.75" customHeight="1">
      <c r="A846" s="25"/>
      <c r="B846" s="25"/>
      <c r="C846" s="84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</row>
    <row r="847" ht="15.75" customHeight="1">
      <c r="A847" s="25"/>
      <c r="B847" s="25"/>
      <c r="C847" s="84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</row>
    <row r="848" ht="15.75" customHeight="1">
      <c r="A848" s="25"/>
      <c r="B848" s="25"/>
      <c r="C848" s="84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</row>
    <row r="849" ht="15.75" customHeight="1">
      <c r="A849" s="25"/>
      <c r="B849" s="25"/>
      <c r="C849" s="84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</row>
    <row r="850" ht="15.75" customHeight="1">
      <c r="A850" s="25"/>
      <c r="B850" s="25"/>
      <c r="C850" s="84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</row>
    <row r="851" ht="15.75" customHeight="1">
      <c r="A851" s="25"/>
      <c r="B851" s="25"/>
      <c r="C851" s="84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</row>
    <row r="852" ht="15.75" customHeight="1">
      <c r="A852" s="25"/>
      <c r="B852" s="25"/>
      <c r="C852" s="84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</row>
    <row r="853" ht="15.75" customHeight="1">
      <c r="A853" s="25"/>
      <c r="B853" s="25"/>
      <c r="C853" s="84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</row>
    <row r="854" ht="15.75" customHeight="1">
      <c r="A854" s="25"/>
      <c r="B854" s="25"/>
      <c r="C854" s="84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</row>
    <row r="855" ht="15.75" customHeight="1">
      <c r="A855" s="25"/>
      <c r="B855" s="25"/>
      <c r="C855" s="84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</row>
    <row r="856" ht="15.75" customHeight="1">
      <c r="A856" s="25"/>
      <c r="B856" s="25"/>
      <c r="C856" s="84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</row>
    <row r="857" ht="15.75" customHeight="1">
      <c r="A857" s="25"/>
      <c r="B857" s="25"/>
      <c r="C857" s="84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</row>
    <row r="858" ht="15.75" customHeight="1">
      <c r="A858" s="25"/>
      <c r="B858" s="25"/>
      <c r="C858" s="84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</row>
    <row r="859" ht="15.75" customHeight="1">
      <c r="A859" s="25"/>
      <c r="B859" s="25"/>
      <c r="C859" s="84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</row>
    <row r="860" ht="15.75" customHeight="1">
      <c r="A860" s="25"/>
      <c r="B860" s="25"/>
      <c r="C860" s="84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</row>
    <row r="861" ht="15.75" customHeight="1">
      <c r="A861" s="25"/>
      <c r="B861" s="25"/>
      <c r="C861" s="84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</row>
    <row r="862" ht="15.75" customHeight="1">
      <c r="A862" s="25"/>
      <c r="B862" s="25"/>
      <c r="C862" s="84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</row>
    <row r="863" ht="15.75" customHeight="1">
      <c r="A863" s="25"/>
      <c r="B863" s="25"/>
      <c r="C863" s="84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</row>
    <row r="864" ht="15.75" customHeight="1">
      <c r="A864" s="25"/>
      <c r="B864" s="25"/>
      <c r="C864" s="84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</row>
    <row r="865" ht="15.75" customHeight="1">
      <c r="A865" s="25"/>
      <c r="B865" s="25"/>
      <c r="C865" s="84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</row>
    <row r="866" ht="15.75" customHeight="1">
      <c r="A866" s="25"/>
      <c r="B866" s="25"/>
      <c r="C866" s="84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</row>
    <row r="867" ht="15.75" customHeight="1">
      <c r="A867" s="25"/>
      <c r="B867" s="25"/>
      <c r="C867" s="84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</row>
    <row r="868" ht="15.75" customHeight="1">
      <c r="A868" s="25"/>
      <c r="B868" s="25"/>
      <c r="C868" s="84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</row>
    <row r="869" ht="15.75" customHeight="1">
      <c r="A869" s="25"/>
      <c r="B869" s="25"/>
      <c r="C869" s="84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</row>
    <row r="870" ht="15.75" customHeight="1">
      <c r="A870" s="25"/>
      <c r="B870" s="25"/>
      <c r="C870" s="84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</row>
    <row r="871" ht="15.75" customHeight="1">
      <c r="A871" s="25"/>
      <c r="B871" s="25"/>
      <c r="C871" s="84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</row>
    <row r="872" ht="15.75" customHeight="1">
      <c r="A872" s="25"/>
      <c r="B872" s="25"/>
      <c r="C872" s="84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</row>
    <row r="873" ht="15.75" customHeight="1">
      <c r="A873" s="25"/>
      <c r="B873" s="25"/>
      <c r="C873" s="84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</row>
    <row r="874" ht="15.75" customHeight="1">
      <c r="A874" s="25"/>
      <c r="B874" s="25"/>
      <c r="C874" s="84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</row>
    <row r="875" ht="15.75" customHeight="1">
      <c r="A875" s="25"/>
      <c r="B875" s="25"/>
      <c r="C875" s="84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</row>
    <row r="876" ht="15.75" customHeight="1">
      <c r="A876" s="25"/>
      <c r="B876" s="25"/>
      <c r="C876" s="84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</row>
    <row r="877" ht="15.75" customHeight="1">
      <c r="A877" s="25"/>
      <c r="B877" s="25"/>
      <c r="C877" s="84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</row>
    <row r="878" ht="15.75" customHeight="1">
      <c r="A878" s="25"/>
      <c r="B878" s="25"/>
      <c r="C878" s="84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</row>
    <row r="879" ht="15.75" customHeight="1">
      <c r="A879" s="25"/>
      <c r="B879" s="25"/>
      <c r="C879" s="84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</row>
    <row r="880" ht="15.75" customHeight="1">
      <c r="A880" s="25"/>
      <c r="B880" s="25"/>
      <c r="C880" s="84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</row>
    <row r="881" ht="15.75" customHeight="1">
      <c r="A881" s="25"/>
      <c r="B881" s="25"/>
      <c r="C881" s="84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</row>
    <row r="882" ht="15.75" customHeight="1">
      <c r="A882" s="25"/>
      <c r="B882" s="25"/>
      <c r="C882" s="84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</row>
    <row r="883" ht="15.75" customHeight="1">
      <c r="A883" s="25"/>
      <c r="B883" s="25"/>
      <c r="C883" s="84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</row>
    <row r="884" ht="15.75" customHeight="1">
      <c r="A884" s="25"/>
      <c r="B884" s="25"/>
      <c r="C884" s="84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</row>
    <row r="885" ht="15.75" customHeight="1">
      <c r="A885" s="25"/>
      <c r="B885" s="25"/>
      <c r="C885" s="84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</row>
    <row r="886" ht="15.75" customHeight="1">
      <c r="A886" s="25"/>
      <c r="B886" s="25"/>
      <c r="C886" s="84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</row>
    <row r="887" ht="15.75" customHeight="1">
      <c r="A887" s="25"/>
      <c r="B887" s="25"/>
      <c r="C887" s="84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</row>
    <row r="888" ht="15.75" customHeight="1">
      <c r="A888" s="25"/>
      <c r="B888" s="25"/>
      <c r="C888" s="84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</row>
    <row r="889" ht="15.75" customHeight="1">
      <c r="A889" s="25"/>
      <c r="B889" s="25"/>
      <c r="C889" s="84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</row>
    <row r="890" ht="15.75" customHeight="1">
      <c r="A890" s="25"/>
      <c r="B890" s="25"/>
      <c r="C890" s="84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</row>
    <row r="891" ht="15.75" customHeight="1">
      <c r="A891" s="25"/>
      <c r="B891" s="25"/>
      <c r="C891" s="84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</row>
    <row r="892" ht="15.75" customHeight="1">
      <c r="A892" s="25"/>
      <c r="B892" s="25"/>
      <c r="C892" s="84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</row>
    <row r="893" ht="15.75" customHeight="1">
      <c r="A893" s="25"/>
      <c r="B893" s="25"/>
      <c r="C893" s="84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</row>
    <row r="894" ht="15.75" customHeight="1">
      <c r="A894" s="25"/>
      <c r="B894" s="25"/>
      <c r="C894" s="84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</row>
    <row r="895" ht="15.75" customHeight="1">
      <c r="A895" s="25"/>
      <c r="B895" s="25"/>
      <c r="C895" s="84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</row>
    <row r="896" ht="15.75" customHeight="1">
      <c r="A896" s="25"/>
      <c r="B896" s="25"/>
      <c r="C896" s="84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</row>
    <row r="897" ht="15.75" customHeight="1">
      <c r="A897" s="25"/>
      <c r="B897" s="25"/>
      <c r="C897" s="84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</row>
    <row r="898" ht="15.75" customHeight="1">
      <c r="A898" s="25"/>
      <c r="B898" s="25"/>
      <c r="C898" s="84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</row>
    <row r="899" ht="15.75" customHeight="1">
      <c r="A899" s="25"/>
      <c r="B899" s="25"/>
      <c r="C899" s="84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</row>
    <row r="900" ht="15.75" customHeight="1">
      <c r="A900" s="25"/>
      <c r="B900" s="25"/>
      <c r="C900" s="84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</row>
    <row r="901" ht="15.75" customHeight="1">
      <c r="A901" s="25"/>
      <c r="B901" s="25"/>
      <c r="C901" s="84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</row>
    <row r="902" ht="15.75" customHeight="1">
      <c r="A902" s="25"/>
      <c r="B902" s="25"/>
      <c r="C902" s="84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</row>
    <row r="903" ht="15.75" customHeight="1">
      <c r="A903" s="25"/>
      <c r="B903" s="25"/>
      <c r="C903" s="84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</row>
    <row r="904" ht="15.75" customHeight="1">
      <c r="A904" s="25"/>
      <c r="B904" s="25"/>
      <c r="C904" s="84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</row>
    <row r="905" ht="15.75" customHeight="1">
      <c r="A905" s="25"/>
      <c r="B905" s="25"/>
      <c r="C905" s="84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</row>
    <row r="906" ht="15.75" customHeight="1">
      <c r="A906" s="25"/>
      <c r="B906" s="25"/>
      <c r="C906" s="84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</row>
    <row r="907" ht="15.75" customHeight="1">
      <c r="A907" s="25"/>
      <c r="B907" s="25"/>
      <c r="C907" s="84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</row>
    <row r="908" ht="15.75" customHeight="1">
      <c r="A908" s="25"/>
      <c r="B908" s="25"/>
      <c r="C908" s="84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</row>
    <row r="909" ht="15.75" customHeight="1">
      <c r="A909" s="25"/>
      <c r="B909" s="25"/>
      <c r="C909" s="84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</row>
    <row r="910" ht="15.75" customHeight="1">
      <c r="A910" s="25"/>
      <c r="B910" s="25"/>
      <c r="C910" s="84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</row>
    <row r="911" ht="15.75" customHeight="1">
      <c r="A911" s="25"/>
      <c r="B911" s="25"/>
      <c r="C911" s="84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</row>
    <row r="912" ht="15.75" customHeight="1">
      <c r="A912" s="25"/>
      <c r="B912" s="25"/>
      <c r="C912" s="84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</row>
    <row r="913" ht="15.75" customHeight="1">
      <c r="A913" s="25"/>
      <c r="B913" s="25"/>
      <c r="C913" s="84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</row>
    <row r="914" ht="15.75" customHeight="1">
      <c r="A914" s="25"/>
      <c r="B914" s="25"/>
      <c r="C914" s="84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</row>
    <row r="915" ht="15.75" customHeight="1">
      <c r="A915" s="25"/>
      <c r="B915" s="25"/>
      <c r="C915" s="84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</row>
    <row r="916" ht="15.75" customHeight="1">
      <c r="A916" s="25"/>
      <c r="B916" s="25"/>
      <c r="C916" s="84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</row>
    <row r="917" ht="15.75" customHeight="1">
      <c r="A917" s="25"/>
      <c r="B917" s="25"/>
      <c r="C917" s="84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</row>
    <row r="918" ht="15.75" customHeight="1">
      <c r="A918" s="25"/>
      <c r="B918" s="25"/>
      <c r="C918" s="84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</row>
    <row r="919" ht="15.75" customHeight="1">
      <c r="A919" s="25"/>
      <c r="B919" s="25"/>
      <c r="C919" s="84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</row>
    <row r="920" ht="15.75" customHeight="1">
      <c r="A920" s="25"/>
      <c r="B920" s="25"/>
      <c r="C920" s="84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</row>
    <row r="921" ht="15.75" customHeight="1">
      <c r="A921" s="25"/>
      <c r="B921" s="25"/>
      <c r="C921" s="84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</row>
    <row r="922" ht="15.75" customHeight="1">
      <c r="A922" s="25"/>
      <c r="B922" s="25"/>
      <c r="C922" s="84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</row>
    <row r="923" ht="15.75" customHeight="1">
      <c r="A923" s="25"/>
      <c r="B923" s="25"/>
      <c r="C923" s="84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</row>
    <row r="924" ht="15.75" customHeight="1">
      <c r="A924" s="25"/>
      <c r="B924" s="25"/>
      <c r="C924" s="84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</row>
    <row r="925" ht="15.75" customHeight="1">
      <c r="A925" s="25"/>
      <c r="B925" s="25"/>
      <c r="C925" s="84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</row>
    <row r="926" ht="15.75" customHeight="1">
      <c r="A926" s="25"/>
      <c r="B926" s="25"/>
      <c r="C926" s="84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</row>
    <row r="927" ht="15.75" customHeight="1">
      <c r="A927" s="25"/>
      <c r="B927" s="25"/>
      <c r="C927" s="84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</row>
    <row r="928" ht="15.75" customHeight="1">
      <c r="A928" s="25"/>
      <c r="B928" s="25"/>
      <c r="C928" s="84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</row>
    <row r="929" ht="15.75" customHeight="1">
      <c r="A929" s="25"/>
      <c r="B929" s="25"/>
      <c r="C929" s="84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</row>
    <row r="930" ht="15.75" customHeight="1">
      <c r="A930" s="25"/>
      <c r="B930" s="25"/>
      <c r="C930" s="84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</row>
    <row r="931" ht="15.75" customHeight="1">
      <c r="A931" s="25"/>
      <c r="B931" s="25"/>
      <c r="C931" s="84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</row>
    <row r="932" ht="15.75" customHeight="1">
      <c r="A932" s="25"/>
      <c r="B932" s="25"/>
      <c r="C932" s="84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</row>
    <row r="933" ht="15.75" customHeight="1">
      <c r="A933" s="25"/>
      <c r="B933" s="25"/>
      <c r="C933" s="84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</row>
    <row r="934" ht="15.75" customHeight="1">
      <c r="A934" s="25"/>
      <c r="B934" s="25"/>
      <c r="C934" s="84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</row>
    <row r="935" ht="15.75" customHeight="1">
      <c r="A935" s="25"/>
      <c r="B935" s="25"/>
      <c r="C935" s="84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</row>
    <row r="936" ht="15.75" customHeight="1">
      <c r="A936" s="25"/>
      <c r="B936" s="25"/>
      <c r="C936" s="84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</row>
    <row r="937" ht="15.75" customHeight="1">
      <c r="A937" s="25"/>
      <c r="B937" s="25"/>
      <c r="C937" s="84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</row>
    <row r="938" ht="15.75" customHeight="1">
      <c r="A938" s="25"/>
      <c r="B938" s="25"/>
      <c r="C938" s="84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</row>
    <row r="939" ht="15.75" customHeight="1">
      <c r="A939" s="25"/>
      <c r="B939" s="25"/>
      <c r="C939" s="84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</row>
    <row r="940" ht="15.75" customHeight="1">
      <c r="A940" s="25"/>
      <c r="B940" s="25"/>
      <c r="C940" s="84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</row>
    <row r="941" ht="15.75" customHeight="1">
      <c r="A941" s="25"/>
      <c r="B941" s="25"/>
      <c r="C941" s="84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</row>
    <row r="942" ht="15.75" customHeight="1">
      <c r="A942" s="25"/>
      <c r="B942" s="25"/>
      <c r="C942" s="84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</row>
    <row r="943" ht="15.75" customHeight="1">
      <c r="A943" s="25"/>
      <c r="B943" s="25"/>
      <c r="C943" s="84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</row>
    <row r="944" ht="15.75" customHeight="1">
      <c r="A944" s="25"/>
      <c r="B944" s="25"/>
      <c r="C944" s="84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</row>
    <row r="945" ht="15.75" customHeight="1">
      <c r="A945" s="25"/>
      <c r="B945" s="25"/>
      <c r="C945" s="84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</row>
    <row r="946" ht="15.75" customHeight="1">
      <c r="A946" s="25"/>
      <c r="B946" s="25"/>
      <c r="C946" s="84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</row>
    <row r="947" ht="15.75" customHeight="1">
      <c r="A947" s="25"/>
      <c r="B947" s="25"/>
      <c r="C947" s="84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</row>
    <row r="948" ht="15.75" customHeight="1">
      <c r="A948" s="25"/>
      <c r="B948" s="25"/>
      <c r="C948" s="84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</row>
    <row r="949" ht="15.75" customHeight="1">
      <c r="A949" s="25"/>
      <c r="B949" s="25"/>
      <c r="C949" s="84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</row>
    <row r="950" ht="15.75" customHeight="1">
      <c r="A950" s="25"/>
      <c r="B950" s="25"/>
      <c r="C950" s="84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</row>
    <row r="951" ht="15.75" customHeight="1">
      <c r="A951" s="25"/>
      <c r="B951" s="25"/>
      <c r="C951" s="84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</row>
    <row r="952" ht="15.75" customHeight="1">
      <c r="A952" s="25"/>
      <c r="B952" s="25"/>
      <c r="C952" s="84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</row>
    <row r="953" ht="15.75" customHeight="1">
      <c r="A953" s="25"/>
      <c r="B953" s="25"/>
      <c r="C953" s="84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</row>
    <row r="954" ht="15.75" customHeight="1">
      <c r="A954" s="25"/>
      <c r="B954" s="25"/>
      <c r="C954" s="84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</row>
    <row r="955" ht="15.75" customHeight="1">
      <c r="A955" s="25"/>
      <c r="B955" s="25"/>
      <c r="C955" s="84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</row>
    <row r="956" ht="15.75" customHeight="1">
      <c r="A956" s="25"/>
      <c r="B956" s="25"/>
      <c r="C956" s="84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</row>
    <row r="957" ht="15.75" customHeight="1">
      <c r="A957" s="25"/>
      <c r="B957" s="25"/>
      <c r="C957" s="84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</row>
    <row r="958" ht="15.75" customHeight="1">
      <c r="A958" s="25"/>
      <c r="B958" s="25"/>
      <c r="C958" s="84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</row>
    <row r="959" ht="15.75" customHeight="1">
      <c r="A959" s="25"/>
      <c r="B959" s="25"/>
      <c r="C959" s="84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</row>
    <row r="960" ht="15.75" customHeight="1">
      <c r="A960" s="25"/>
      <c r="B960" s="25"/>
      <c r="C960" s="84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</row>
    <row r="961" ht="15.75" customHeight="1">
      <c r="A961" s="25"/>
      <c r="B961" s="25"/>
      <c r="C961" s="84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</row>
    <row r="962" ht="15.75" customHeight="1">
      <c r="A962" s="25"/>
      <c r="B962" s="25"/>
      <c r="C962" s="84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</row>
    <row r="963" ht="15.75" customHeight="1">
      <c r="A963" s="25"/>
      <c r="B963" s="25"/>
      <c r="C963" s="84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</row>
    <row r="964" ht="15.75" customHeight="1">
      <c r="A964" s="25"/>
      <c r="B964" s="25"/>
      <c r="C964" s="84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</row>
    <row r="965" ht="15.75" customHeight="1">
      <c r="A965" s="25"/>
      <c r="B965" s="25"/>
      <c r="C965" s="84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</row>
    <row r="966" ht="15.75" customHeight="1">
      <c r="A966" s="25"/>
      <c r="B966" s="25"/>
      <c r="C966" s="84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</row>
    <row r="967" ht="15.75" customHeight="1">
      <c r="A967" s="25"/>
      <c r="B967" s="25"/>
      <c r="C967" s="84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</row>
    <row r="968" ht="15.75" customHeight="1">
      <c r="A968" s="25"/>
      <c r="B968" s="25"/>
      <c r="C968" s="84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</row>
    <row r="969" ht="15.75" customHeight="1">
      <c r="A969" s="25"/>
      <c r="B969" s="25"/>
      <c r="C969" s="84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</row>
    <row r="970" ht="15.75" customHeight="1">
      <c r="A970" s="25"/>
      <c r="B970" s="25"/>
      <c r="C970" s="84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</row>
    <row r="971" ht="15.75" customHeight="1">
      <c r="A971" s="25"/>
      <c r="B971" s="25"/>
      <c r="C971" s="84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</row>
    <row r="972" ht="15.75" customHeight="1">
      <c r="A972" s="25"/>
      <c r="B972" s="25"/>
      <c r="C972" s="84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</row>
    <row r="973" ht="15.75" customHeight="1">
      <c r="A973" s="25"/>
      <c r="B973" s="25"/>
      <c r="C973" s="84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</row>
    <row r="974" ht="15.75" customHeight="1">
      <c r="A974" s="25"/>
      <c r="B974" s="25"/>
      <c r="C974" s="84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</row>
    <row r="975" ht="15.75" customHeight="1">
      <c r="A975" s="25"/>
      <c r="B975" s="25"/>
      <c r="C975" s="84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</row>
    <row r="976" ht="15.75" customHeight="1">
      <c r="A976" s="25"/>
      <c r="B976" s="25"/>
      <c r="C976" s="84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</row>
    <row r="977" ht="15.75" customHeight="1">
      <c r="A977" s="25"/>
      <c r="B977" s="25"/>
      <c r="C977" s="84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</row>
    <row r="978" ht="15.75" customHeight="1">
      <c r="A978" s="25"/>
      <c r="B978" s="25"/>
      <c r="C978" s="84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</row>
    <row r="979" ht="15.75" customHeight="1">
      <c r="A979" s="25"/>
      <c r="B979" s="25"/>
      <c r="C979" s="84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</row>
    <row r="980" ht="15.75" customHeight="1">
      <c r="A980" s="25"/>
      <c r="B980" s="25"/>
      <c r="C980" s="84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</row>
    <row r="981" ht="15.75" customHeight="1">
      <c r="A981" s="25"/>
      <c r="B981" s="25"/>
      <c r="C981" s="84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</row>
    <row r="982" ht="15.75" customHeight="1">
      <c r="A982" s="25"/>
      <c r="B982" s="25"/>
      <c r="C982" s="84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</row>
    <row r="983" ht="15.75" customHeight="1">
      <c r="A983" s="25"/>
      <c r="B983" s="25"/>
      <c r="C983" s="84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</row>
    <row r="984" ht="15.75" customHeight="1">
      <c r="A984" s="25"/>
      <c r="B984" s="25"/>
      <c r="C984" s="84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</row>
    <row r="985" ht="15.75" customHeight="1">
      <c r="A985" s="25"/>
      <c r="B985" s="25"/>
      <c r="C985" s="84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</row>
    <row r="986" ht="15.75" customHeight="1">
      <c r="A986" s="25"/>
      <c r="B986" s="25"/>
      <c r="C986" s="84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</row>
    <row r="987" ht="15.75" customHeight="1">
      <c r="A987" s="25"/>
      <c r="B987" s="25"/>
      <c r="C987" s="84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</row>
    <row r="988" ht="15.75" customHeight="1">
      <c r="A988" s="25"/>
      <c r="B988" s="25"/>
      <c r="C988" s="84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</row>
    <row r="989" ht="15.75" customHeight="1">
      <c r="A989" s="25"/>
      <c r="B989" s="25"/>
      <c r="C989" s="84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</row>
    <row r="990" ht="15.75" customHeight="1">
      <c r="A990" s="25"/>
      <c r="B990" s="25"/>
      <c r="C990" s="84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</row>
    <row r="991" ht="15.75" customHeight="1">
      <c r="A991" s="25"/>
      <c r="B991" s="25"/>
      <c r="C991" s="84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</row>
    <row r="992" ht="15.75" customHeight="1">
      <c r="A992" s="25"/>
      <c r="B992" s="25"/>
      <c r="C992" s="84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</row>
    <row r="993" ht="15.75" customHeight="1">
      <c r="A993" s="25"/>
      <c r="B993" s="25"/>
      <c r="C993" s="84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</row>
    <row r="994" ht="15.75" customHeight="1">
      <c r="A994" s="25"/>
      <c r="B994" s="25"/>
      <c r="C994" s="84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</row>
    <row r="995" ht="15.75" customHeight="1">
      <c r="A995" s="25"/>
      <c r="B995" s="25"/>
      <c r="C995" s="84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</row>
    <row r="996" ht="15.75" customHeight="1">
      <c r="A996" s="25"/>
      <c r="B996" s="25"/>
      <c r="C996" s="84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</row>
    <row r="997" ht="15.75" customHeight="1">
      <c r="A997" s="25"/>
      <c r="B997" s="25"/>
      <c r="C997" s="84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</row>
    <row r="998" ht="15.75" customHeight="1">
      <c r="A998" s="25"/>
      <c r="B998" s="25"/>
      <c r="C998" s="84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</row>
    <row r="999" ht="15.75" customHeight="1">
      <c r="A999" s="25"/>
      <c r="B999" s="25"/>
      <c r="C999" s="84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</row>
    <row r="1000" ht="15.75" customHeight="1">
      <c r="A1000" s="25"/>
      <c r="B1000" s="25"/>
      <c r="C1000" s="84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</row>
  </sheetData>
  <printOptions/>
  <pageMargins bottom="0.75" footer="0.0" header="0.0" left="0.7" right="0.7" top="0.75"/>
  <pageSetup orientation="landscape"/>
  <drawing r:id="rId1"/>
</worksheet>
</file>