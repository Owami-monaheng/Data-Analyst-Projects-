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hidePivotFieldList="1"/>
  <mc:AlternateContent xmlns:mc="http://schemas.openxmlformats.org/markup-compatibility/2006">
    <mc:Choice Requires="x15">
      <x15ac:absPath xmlns:x15ac="http://schemas.microsoft.com/office/spreadsheetml/2010/11/ac" url="/Users/Owami/Downloads/"/>
    </mc:Choice>
  </mc:AlternateContent>
  <xr:revisionPtr revIDLastSave="0" documentId="8_{06C3C4DB-741A-7143-B901-41B08E66EDF3}" xr6:coauthVersionLast="47" xr6:coauthVersionMax="47" xr10:uidLastSave="{00000000-0000-0000-0000-000000000000}"/>
  <bookViews>
    <workbookView xWindow="0" yWindow="500" windowWidth="28800" windowHeight="17500" activeTab="2" xr2:uid="{00000000-000D-0000-FFFF-FFFF00000000}"/>
  </bookViews>
  <sheets>
    <sheet name="Cover" sheetId="1" r:id="rId1"/>
    <sheet name="Analysis Brief" sheetId="2" r:id="rId2"/>
    <sheet name="Prospect Data" sheetId="3" r:id="rId3"/>
    <sheet name="Scoring Model" sheetId="4" r:id="rId4"/>
    <sheet name="Pipeline Dashboard" sheetId="5" r:id="rId5"/>
    <sheet name="Segment Analysis" sheetId="6" r:id="rId6"/>
    <sheet name="Assumptions &amp; Notes" sheetId="7" r:id="rId7"/>
    <sheet name="Average calc + written finding" sheetId="12" r:id="rId8"/>
    <sheet name="Geographic Summary table" sheetId="10" r:id="rId9"/>
    <sheet name="Avg Net worth vs Risk Profile" sheetId="15" r:id="rId10"/>
  </sheets>
  <definedNames>
    <definedName name="_xlnm._FilterDatabase" localSheetId="7" hidden="1">'Average calc + written finding'!$A$1:$B$201</definedName>
    <definedName name="_xlnm._FilterDatabase" localSheetId="2" hidden="1">'Prospect Data'!$A$1:$U$201</definedName>
    <definedName name="_xlnm._FilterDatabase" localSheetId="3" hidden="1">'Scoring Model'!$B$10:$M$210</definedName>
    <definedName name="_xlchart.v1.10" hidden="1">'Pipeline Dashboard'!$G$12</definedName>
    <definedName name="_xlchart.v1.11" hidden="1">'Pipeline Dashboard'!$G$13:$G$20</definedName>
    <definedName name="_xlchart.v1.12" hidden="1">'Segment Analysis'!$H$6:$H$15</definedName>
    <definedName name="_xlchart.v1.13" hidden="1">'Segment Analysis'!$J$5</definedName>
    <definedName name="_xlchart.v1.14" hidden="1">'Segment Analysis'!$J$6:$J$15</definedName>
    <definedName name="_xlchart.v1.15" hidden="1">'Segment Analysis'!$K$5</definedName>
    <definedName name="_xlchart.v1.16" hidden="1">'Segment Analysis'!$K$6:$K$15</definedName>
    <definedName name="_xlchart.v1.3" hidden="1">'Scoring Model'!$C$11:$C$20</definedName>
    <definedName name="_xlchart.v1.4" hidden="1">'Scoring Model'!$J$10</definedName>
    <definedName name="_xlchart.v1.5" hidden="1">'Scoring Model'!$J$11:$J$20</definedName>
    <definedName name="_xlchart.v1.6" hidden="1">'Scoring Model'!$B$11:$B$210</definedName>
    <definedName name="_xlchart.v1.7" hidden="1">'Scoring Model'!$J$10</definedName>
    <definedName name="_xlchart.v1.8" hidden="1">'Scoring Model'!$J$11:$J$210</definedName>
    <definedName name="_xlchart.v1.9" hidden="1">'Pipeline Dashboard'!$B$13:$B$20</definedName>
    <definedName name="_xlchart.v2.0" hidden="1">'Scoring Model'!$C$11:$C$20</definedName>
    <definedName name="_xlchart.v2.1" hidden="1">'Scoring Model'!$J$10</definedName>
    <definedName name="_xlchart.v2.2" hidden="1">'Scoring Model'!$J$11:$J$20</definedName>
  </definedNames>
  <calcPr calcId="191029" iterateDelta="1E-4"/>
  <pivotCaches>
    <pivotCache cacheId="85" r:id="rId11"/>
    <pivotCache cacheId="111" r:id="rId12"/>
    <pivotCache cacheId="119"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6" l="1"/>
  <c r="E32" i="6"/>
  <c r="D32" i="6"/>
  <c r="C32" i="6"/>
  <c r="G21" i="5"/>
  <c r="E21" i="5"/>
  <c r="C21" i="5"/>
  <c r="M150" i="4"/>
  <c r="L150" i="4"/>
  <c r="M165" i="4"/>
  <c r="L165" i="4"/>
  <c r="M88" i="4"/>
  <c r="L88" i="4"/>
  <c r="M181" i="4"/>
  <c r="L181" i="4"/>
  <c r="M13" i="4"/>
  <c r="L13" i="4"/>
  <c r="M98" i="4"/>
  <c r="L98" i="4"/>
  <c r="M209" i="4"/>
  <c r="L209" i="4"/>
  <c r="M93" i="4"/>
  <c r="L93" i="4"/>
  <c r="M175" i="4"/>
  <c r="L175" i="4"/>
  <c r="M24" i="4"/>
  <c r="L24" i="4"/>
  <c r="M77" i="4"/>
  <c r="L77" i="4"/>
  <c r="M121" i="4"/>
  <c r="L121" i="4"/>
  <c r="M141" i="4"/>
  <c r="L141" i="4"/>
  <c r="M50" i="4"/>
  <c r="L50" i="4"/>
  <c r="M97" i="4"/>
  <c r="L97" i="4"/>
  <c r="M69" i="4"/>
  <c r="L69" i="4"/>
  <c r="M110" i="4"/>
  <c r="L110" i="4"/>
  <c r="M81" i="4"/>
  <c r="L81" i="4"/>
  <c r="M149" i="4"/>
  <c r="L149" i="4"/>
  <c r="M17" i="4"/>
  <c r="L17" i="4"/>
  <c r="M176" i="4"/>
  <c r="L176" i="4"/>
  <c r="M84" i="4"/>
  <c r="L84" i="4"/>
  <c r="M129" i="4"/>
  <c r="L129" i="4"/>
  <c r="M71" i="4"/>
  <c r="L71" i="4"/>
  <c r="M170" i="4"/>
  <c r="L170" i="4"/>
  <c r="M147" i="4"/>
  <c r="L147" i="4"/>
  <c r="M21" i="4"/>
  <c r="L21" i="4"/>
  <c r="M120" i="4"/>
  <c r="L120" i="4"/>
  <c r="M53" i="4"/>
  <c r="L53" i="4"/>
  <c r="M156" i="4"/>
  <c r="L156" i="4"/>
  <c r="M59" i="4"/>
  <c r="L59" i="4"/>
  <c r="M78" i="4"/>
  <c r="L78" i="4"/>
  <c r="M152" i="4"/>
  <c r="L152" i="4"/>
  <c r="M208" i="4"/>
  <c r="L208" i="4"/>
  <c r="M167" i="4"/>
  <c r="L167" i="4"/>
  <c r="M18" i="4"/>
  <c r="L18" i="4"/>
  <c r="M154" i="4"/>
  <c r="L154" i="4"/>
  <c r="M92" i="4"/>
  <c r="L92" i="4"/>
  <c r="M210" i="4"/>
  <c r="L210" i="4"/>
  <c r="M202" i="4"/>
  <c r="L202" i="4"/>
  <c r="M102" i="4"/>
  <c r="L102" i="4"/>
  <c r="M100" i="4"/>
  <c r="L100" i="4"/>
  <c r="M67" i="4"/>
  <c r="L67" i="4"/>
  <c r="M106" i="4"/>
  <c r="L106" i="4"/>
  <c r="M16" i="4"/>
  <c r="L16" i="4"/>
  <c r="M55" i="4"/>
  <c r="L55" i="4"/>
  <c r="M111" i="4"/>
  <c r="L111" i="4"/>
  <c r="M38" i="4"/>
  <c r="L38" i="4"/>
  <c r="M34" i="4"/>
  <c r="L34" i="4"/>
  <c r="M96" i="4"/>
  <c r="L96" i="4"/>
  <c r="M29" i="4"/>
  <c r="L29" i="4"/>
  <c r="M101" i="4"/>
  <c r="L101" i="4"/>
  <c r="M117" i="4"/>
  <c r="L117" i="4"/>
  <c r="M173" i="4"/>
  <c r="L173" i="4"/>
  <c r="M166" i="4"/>
  <c r="L166" i="4"/>
  <c r="M91" i="4"/>
  <c r="L91" i="4"/>
  <c r="M32" i="4"/>
  <c r="L32" i="4"/>
  <c r="M58" i="4"/>
  <c r="L58" i="4"/>
  <c r="M138" i="4"/>
  <c r="L138" i="4"/>
  <c r="M87" i="4"/>
  <c r="L87" i="4"/>
  <c r="M144" i="4"/>
  <c r="L144" i="4"/>
  <c r="M204" i="4"/>
  <c r="L204" i="4"/>
  <c r="M89" i="4"/>
  <c r="L89" i="4"/>
  <c r="M151" i="4"/>
  <c r="L151" i="4"/>
  <c r="M95" i="4"/>
  <c r="L95" i="4"/>
  <c r="M40" i="4"/>
  <c r="L40" i="4"/>
  <c r="M203" i="4"/>
  <c r="L203" i="4"/>
  <c r="M82" i="4"/>
  <c r="L82" i="4"/>
  <c r="M153" i="4"/>
  <c r="L153" i="4"/>
  <c r="M137" i="4"/>
  <c r="L137" i="4"/>
  <c r="M200" i="4"/>
  <c r="L200" i="4"/>
  <c r="M183" i="4"/>
  <c r="L183" i="4"/>
  <c r="M31" i="4"/>
  <c r="L31" i="4"/>
  <c r="M79" i="4"/>
  <c r="L79" i="4"/>
  <c r="M179" i="4"/>
  <c r="L179" i="4"/>
  <c r="M25" i="4"/>
  <c r="L25" i="4"/>
  <c r="M194" i="4"/>
  <c r="L194" i="4"/>
  <c r="M178" i="4"/>
  <c r="L178" i="4"/>
  <c r="M51" i="4"/>
  <c r="L51" i="4"/>
  <c r="M146" i="4"/>
  <c r="L146" i="4"/>
  <c r="M199" i="4"/>
  <c r="L199" i="4"/>
  <c r="M52" i="4"/>
  <c r="L52" i="4"/>
  <c r="M45" i="4"/>
  <c r="L45" i="4"/>
  <c r="M30" i="4"/>
  <c r="L30" i="4"/>
  <c r="M116" i="4"/>
  <c r="L116" i="4"/>
  <c r="M128" i="4"/>
  <c r="L128" i="4"/>
  <c r="M125" i="4"/>
  <c r="L125" i="4"/>
  <c r="M174" i="4"/>
  <c r="L174" i="4"/>
  <c r="M20" i="4"/>
  <c r="L20" i="4"/>
  <c r="M198" i="4"/>
  <c r="L198" i="4"/>
  <c r="M43" i="4"/>
  <c r="L43" i="4"/>
  <c r="M157" i="4"/>
  <c r="L157" i="4"/>
  <c r="M54" i="4"/>
  <c r="L54" i="4"/>
  <c r="M155" i="4"/>
  <c r="L155" i="4"/>
  <c r="M115" i="4"/>
  <c r="L115" i="4"/>
  <c r="M39" i="4"/>
  <c r="L39" i="4"/>
  <c r="M119" i="4"/>
  <c r="L119" i="4"/>
  <c r="M109" i="4"/>
  <c r="L109" i="4"/>
  <c r="M159" i="4"/>
  <c r="L159" i="4"/>
  <c r="M44" i="4"/>
  <c r="L44" i="4"/>
  <c r="M76" i="4"/>
  <c r="L76" i="4"/>
  <c r="M205" i="4"/>
  <c r="L205" i="4"/>
  <c r="M127" i="4"/>
  <c r="L127" i="4"/>
  <c r="M61" i="4"/>
  <c r="L61" i="4"/>
  <c r="M130" i="4"/>
  <c r="L130" i="4"/>
  <c r="M168" i="4"/>
  <c r="L168" i="4"/>
  <c r="M184" i="4"/>
  <c r="L184" i="4"/>
  <c r="M57" i="4"/>
  <c r="L57" i="4"/>
  <c r="M72" i="4"/>
  <c r="L72" i="4"/>
  <c r="M46" i="4"/>
  <c r="L46" i="4"/>
  <c r="M70" i="4"/>
  <c r="L70" i="4"/>
  <c r="M12" i="4"/>
  <c r="L12" i="4"/>
  <c r="M139" i="4"/>
  <c r="L139" i="4"/>
  <c r="M133" i="4"/>
  <c r="L133" i="4"/>
  <c r="M19" i="4"/>
  <c r="L19" i="4"/>
  <c r="M47" i="4"/>
  <c r="L47" i="4"/>
  <c r="M37" i="4"/>
  <c r="L37" i="4"/>
  <c r="M49" i="4"/>
  <c r="L49" i="4"/>
  <c r="M113" i="4"/>
  <c r="L113" i="4"/>
  <c r="M126" i="4"/>
  <c r="L126" i="4"/>
  <c r="M33" i="4"/>
  <c r="L33" i="4"/>
  <c r="M114" i="4"/>
  <c r="L114" i="4"/>
  <c r="M188" i="4"/>
  <c r="L188" i="4"/>
  <c r="M192" i="4"/>
  <c r="L192" i="4"/>
  <c r="M14" i="4"/>
  <c r="L14" i="4"/>
  <c r="M85" i="4"/>
  <c r="L85" i="4"/>
  <c r="M143" i="4"/>
  <c r="L143" i="4"/>
  <c r="M193" i="4"/>
  <c r="L193" i="4"/>
  <c r="M42" i="4"/>
  <c r="L42" i="4"/>
  <c r="M123" i="4"/>
  <c r="L123" i="4"/>
  <c r="M65" i="4"/>
  <c r="L65" i="4"/>
  <c r="M148" i="4"/>
  <c r="L148" i="4"/>
  <c r="M90" i="4"/>
  <c r="L90" i="4"/>
  <c r="M48" i="4"/>
  <c r="L48" i="4"/>
  <c r="M124" i="4"/>
  <c r="L124" i="4"/>
  <c r="M63" i="4"/>
  <c r="L63" i="4"/>
  <c r="M190" i="4"/>
  <c r="L190" i="4"/>
  <c r="M36" i="4"/>
  <c r="L36" i="4"/>
  <c r="M107" i="4"/>
  <c r="L107" i="4"/>
  <c r="M145" i="4"/>
  <c r="L145" i="4"/>
  <c r="M83" i="4"/>
  <c r="L83" i="4"/>
  <c r="M131" i="4"/>
  <c r="L131" i="4"/>
  <c r="M73" i="4"/>
  <c r="L73" i="4"/>
  <c r="M136" i="4"/>
  <c r="L136" i="4"/>
  <c r="M172" i="4"/>
  <c r="L172" i="4"/>
  <c r="M75" i="4"/>
  <c r="L75" i="4"/>
  <c r="M80" i="4"/>
  <c r="L80" i="4"/>
  <c r="M158" i="4"/>
  <c r="L158" i="4"/>
  <c r="M11" i="4"/>
  <c r="L11" i="4"/>
  <c r="M171" i="4"/>
  <c r="L171" i="4"/>
  <c r="M99" i="4"/>
  <c r="L99" i="4"/>
  <c r="M28" i="4"/>
  <c r="L28" i="4"/>
  <c r="M177" i="4"/>
  <c r="L177" i="4"/>
  <c r="M35" i="4"/>
  <c r="L35" i="4"/>
  <c r="M112" i="4"/>
  <c r="L112" i="4"/>
  <c r="M103" i="4"/>
  <c r="L103" i="4"/>
  <c r="M186" i="4"/>
  <c r="L186" i="4"/>
  <c r="M15" i="4"/>
  <c r="L15" i="4"/>
  <c r="M140" i="4"/>
  <c r="L140" i="4"/>
  <c r="M207" i="4"/>
  <c r="L207" i="4"/>
  <c r="M169" i="4"/>
  <c r="L169" i="4"/>
  <c r="M68" i="4"/>
  <c r="L68" i="4"/>
  <c r="M104" i="4"/>
  <c r="L104" i="4"/>
  <c r="M135" i="4"/>
  <c r="L135" i="4"/>
  <c r="M161" i="4"/>
  <c r="L161" i="4"/>
  <c r="M62" i="4"/>
  <c r="L62" i="4"/>
  <c r="M163" i="4"/>
  <c r="L163" i="4"/>
  <c r="M182" i="4"/>
  <c r="L182" i="4"/>
  <c r="M132" i="4"/>
  <c r="L132" i="4"/>
  <c r="M197" i="4"/>
  <c r="L197" i="4"/>
  <c r="M27" i="4"/>
  <c r="L27" i="4"/>
  <c r="M189" i="4"/>
  <c r="L189" i="4"/>
  <c r="M66" i="4"/>
  <c r="L66" i="4"/>
  <c r="M201" i="4"/>
  <c r="L201" i="4"/>
  <c r="M86" i="4"/>
  <c r="L86" i="4"/>
  <c r="M74" i="4"/>
  <c r="L74" i="4"/>
  <c r="M118" i="4"/>
  <c r="L118" i="4"/>
  <c r="M94" i="4"/>
  <c r="L94" i="4"/>
  <c r="M64" i="4"/>
  <c r="L64" i="4"/>
  <c r="M196" i="4"/>
  <c r="L196" i="4"/>
  <c r="M134" i="4"/>
  <c r="L134" i="4"/>
  <c r="M56" i="4"/>
  <c r="L56" i="4"/>
  <c r="M195" i="4"/>
  <c r="L195" i="4"/>
  <c r="M108" i="4"/>
  <c r="L108" i="4"/>
  <c r="M180" i="4"/>
  <c r="L180" i="4"/>
  <c r="M122" i="4"/>
  <c r="L122" i="4"/>
  <c r="M23" i="4"/>
  <c r="L23" i="4"/>
  <c r="M162" i="4"/>
  <c r="L162" i="4"/>
  <c r="M26" i="4"/>
  <c r="L26" i="4"/>
  <c r="M191" i="4"/>
  <c r="L191" i="4"/>
  <c r="M22" i="4"/>
  <c r="L22" i="4"/>
  <c r="M60" i="4"/>
  <c r="L60" i="4"/>
  <c r="M105" i="4"/>
  <c r="L105" i="4"/>
  <c r="M185" i="4"/>
  <c r="L185" i="4"/>
  <c r="M41" i="4"/>
  <c r="L41" i="4"/>
  <c r="M160" i="4"/>
  <c r="L160" i="4"/>
  <c r="M142" i="4"/>
  <c r="L142" i="4"/>
  <c r="M206" i="4"/>
  <c r="L206" i="4"/>
  <c r="M164" i="4"/>
  <c r="L164" i="4"/>
  <c r="M187" i="4"/>
  <c r="L187" i="4"/>
</calcChain>
</file>

<file path=xl/sharedStrings.xml><?xml version="1.0" encoding="utf-8"?>
<sst xmlns="http://schemas.openxmlformats.org/spreadsheetml/2006/main" count="4228" uniqueCount="1005">
  <si>
    <t>INVESTEC WEALTH &amp; INVESTMENT</t>
  </si>
  <si>
    <t>Prospect Analyst – Client Acquisition Intelligence</t>
  </si>
  <si>
    <t>Portfolio Project | Mock Case Study</t>
  </si>
  <si>
    <t>PROJECT OVERVIEW</t>
  </si>
  <si>
    <t>Objective:</t>
  </si>
  <si>
    <t>Identify, score and segment high-net-worth (HNW) prospects across South Africa's wealth tiers to support Investec Private Client growth targets.</t>
  </si>
  <si>
    <t>Scope:</t>
  </si>
  <si>
    <t>200 simulated prospects | 12-month pipeline | 5-tier wealth segmentation | Conversion funnel analysis</t>
  </si>
  <si>
    <t>Data Sources:</t>
  </si>
  <si>
    <t>Mock CRM export, SA Treasury wealth estimates, LinkedIn Sales Navigator proxy, internal referral logs</t>
  </si>
  <si>
    <t>Tools Used:</t>
  </si>
  <si>
    <t>Microsoft Excel (Power Query, PivotTables, Charts) | Methodology: RFM Scoring, Conversion Rate Analysis, Segment Prioritisation</t>
  </si>
  <si>
    <t>Sheets:</t>
  </si>
  <si>
    <t>Cover  ›  Prospect Data  ›  Scoring Model  ›  Pipeline Dashboard  ›  Segment Analysis  ›  Assumptions</t>
  </si>
  <si>
    <t>INVESTEC WEALTH &amp; INVESTMENT  |  INTERNAL ANALYST BRIEF</t>
  </si>
  <si>
    <t>Prospect Intelligence Project  ·  Analyst Desk  ·  Strictly Internal</t>
  </si>
  <si>
    <t>TO:</t>
  </si>
  <si>
    <t>[Your Name]  –  Junior Business / Prospect Analyst</t>
  </si>
  <si>
    <t>FROM:</t>
  </si>
  <si>
    <t>Sarah Mthembu  –  Head of Client Acquisition, Investec W&amp;I</t>
  </si>
  <si>
    <t>DATE:</t>
  </si>
  <si>
    <t>14 January 2025</t>
  </si>
  <si>
    <t>RE:</t>
  </si>
  <si>
    <t>Q1 2025 Prospect Intelligence Analysis – CRM Data Review</t>
  </si>
  <si>
    <t>PRIORITY:</t>
  </si>
  <si>
    <t>HIGH  |  Deadline: 31 January 2025</t>
  </si>
  <si>
    <t>1.  PROJECT BACKGROUND</t>
  </si>
  <si>
    <t>As part of our Q1 2025 growth initiative, the Acquisition team has compiled a CRM export of 200 identified prospects across South Africa's major wealth tiers. Your task is to clean, analyse and summarise this dataset to support strategic decision-making by the Relationship Management (RM) team and senior leadership.
The data covers prospect demographics, estimated net worth, pipeline stage, referral source, engagement activity and product interest. You are required to derive actionable insights and produce a series of visualisations that will be presented at the Q1 Acquisition Review on 3 February 2025.</t>
  </si>
  <si>
    <t>2.  ANALYTICAL QUESTIONS  –  Answer Each Using the Dataset</t>
  </si>
  <si>
    <t>#</t>
  </si>
  <si>
    <t>Analytical Question</t>
  </si>
  <si>
    <t>Output Required</t>
  </si>
  <si>
    <t>Sheet Ref</t>
  </si>
  <si>
    <t>Status</t>
  </si>
  <si>
    <t>Q1</t>
  </si>
  <si>
    <t>Which wealth tier generates the highest total AUM potential and what proportion of the overall pipeline does it represent?</t>
  </si>
  <si>
    <t>Summary table + Pie chart</t>
  </si>
  <si>
    <t>Segment Analysis</t>
  </si>
  <si>
    <t>✅ Completed</t>
  </si>
  <si>
    <t>Q2</t>
  </si>
  <si>
    <t>What is the current stage distribution of prospects in the pipeline? Where are the biggest drop-off points between stages?</t>
  </si>
  <si>
    <t>Funnel table + Bar chart</t>
  </si>
  <si>
    <t>Pipeline Dashboard</t>
  </si>
  <si>
    <t>Q3</t>
  </si>
  <si>
    <t>Which referral source produces prospects with the highest composite score and conversion rate? What does this imply for acquisition strategy?</t>
  </si>
  <si>
    <t>Ranked table + Commentary</t>
  </si>
  <si>
    <t>Q4</t>
  </si>
  <si>
    <t>Build a prospect scoring model that prioritises leads based on net worth, engagement, pipeline stage and number of interactions. Rank all 200 prospects.</t>
  </si>
  <si>
    <t>Weighted score table + Rank column</t>
  </si>
  <si>
    <t>Scoring Model</t>
  </si>
  <si>
    <t>Q5</t>
  </si>
  <si>
    <t>Identify the Top 20 prospects by composite score. What industries and provinces are they concentrated in?</t>
  </si>
  <si>
    <t>Filtered table + written insight</t>
  </si>
  <si>
    <t>Q6</t>
  </si>
  <si>
    <t>Which industries hold the greatest untapped AUM potential? Rank the top 5 and recommend where the RM team should focus outreach.</t>
  </si>
  <si>
    <t>Industry ranking table</t>
  </si>
  <si>
    <t>Q7</t>
  </si>
  <si>
    <t>Analyse the monthly trend in prospect contacts, proposals sent and conversions across FY2025. Are there seasonal patterns?</t>
  </si>
  <si>
    <t>Line chart + trend commentary</t>
  </si>
  <si>
    <t>Q8</t>
  </si>
  <si>
    <t>What is the weighted AUM value of the current pipeline (probability × AUM potential × count per stage)? Compare this to the R5bn annual target.</t>
  </si>
  <si>
    <t>Weighted pipeline value calc</t>
  </si>
  <si>
    <t>Q9</t>
  </si>
  <si>
    <t>Segment prospects by risk profile (Conservative / Moderate / Aggressive / Balanced). Which segment has the highest average net worth?</t>
  </si>
  <si>
    <t>Cross-tab table</t>
  </si>
  <si>
    <t>Prospect Data</t>
  </si>
  <si>
    <t>📌 For Extension</t>
  </si>
  <si>
    <t>Q10</t>
  </si>
  <si>
    <t>Which province shows the highest concentration of HNW and Ultra HNW prospects? Create a geographic summary table.</t>
  </si>
  <si>
    <t>Province breakdown table</t>
  </si>
  <si>
    <t>Q11</t>
  </si>
  <si>
    <t>Calculate the average number of interactions required before a prospect reaches 'Proposal Sent' or 'Won' stage. What does this suggest about the sales cycle?</t>
  </si>
  <si>
    <t>Average calc + written finding</t>
  </si>
  <si>
    <t>Q12</t>
  </si>
  <si>
    <t>If the team can only prioritise 30 prospects this quarter, which 30 would you recommend and why? Justify using the scoring model.</t>
  </si>
  <si>
    <t>Top-30 shortlist + rationale</t>
  </si>
  <si>
    <t>3.  VISUALISATION TASKS  –  Required Charts for Q1 Review Presentation</t>
  </si>
  <si>
    <t>Chart / Visual Title</t>
  </si>
  <si>
    <t>Chart Type</t>
  </si>
  <si>
    <t>Data Source</t>
  </si>
  <si>
    <t>Key Message to Convey</t>
  </si>
  <si>
    <t>V1</t>
  </si>
  <si>
    <t>Pipeline Stage Distribution – Count of Prospects per Stage</t>
  </si>
  <si>
    <t>Horizontal Bar Chart</t>
  </si>
  <si>
    <t>Show where prospects are concentrated; flag bottlenecks</t>
  </si>
  <si>
    <t>V2</t>
  </si>
  <si>
    <t>Wealth Tier vs Total AUM Potential</t>
  </si>
  <si>
    <t>Stacked Bar / Pie</t>
  </si>
  <si>
    <t>Ultra HNW is small in count but dominant in value</t>
  </si>
  <si>
    <t>V3</t>
  </si>
  <si>
    <t>Composite Score Distribution – All 200 Prospects</t>
  </si>
  <si>
    <t>Histogram / Bell Curve</t>
  </si>
  <si>
    <t>Show spread of scores; highlight priority band ≥75</t>
  </si>
  <si>
    <t>V4</t>
  </si>
  <si>
    <t>Top 10 Prospects by Composite Score</t>
  </si>
  <si>
    <t>Bar Chart (Ranked)</t>
  </si>
  <si>
    <t>Identify who to call first; support RM prioritisation</t>
  </si>
  <si>
    <t>V5</t>
  </si>
  <si>
    <t>Referral Source vs Average Score &amp; Win Rate</t>
  </si>
  <si>
    <t>Clustered Bar Chart</t>
  </si>
  <si>
    <t>Client referrals outperform all other channels</t>
  </si>
  <si>
    <t>V6</t>
  </si>
  <si>
    <t>Monthly Contact Activity Trend (FY2025)</t>
  </si>
  <si>
    <t>Line Chart (3 series)</t>
  </si>
  <si>
    <t>Identify peak activity months; spot conversion lag</t>
  </si>
  <si>
    <t>V7</t>
  </si>
  <si>
    <t>Industry Breakdown by AUM Potential</t>
  </si>
  <si>
    <t>Treemap / Bar Chart</t>
  </si>
  <si>
    <t>Financial Services and Mining lead in AUM opportunity</t>
  </si>
  <si>
    <t>V8</t>
  </si>
  <si>
    <t>Weighted Pipeline Value vs R5bn Target</t>
  </si>
  <si>
    <t>Bullet / Progress Chart</t>
  </si>
  <si>
    <t>Current weighted AUM vs annual acquisition target</t>
  </si>
  <si>
    <t>4.  DELIVERABLES CHECKLIST</t>
  </si>
  <si>
    <t>☑</t>
  </si>
  <si>
    <t>Clean, structured dataset with correct data types, no blanks in key fields, consistent naming conventions</t>
  </si>
  <si>
    <t>Prospect scoring model with documented assumptions and adjustable weighting inputs</t>
  </si>
  <si>
    <t>Pipeline funnel table with count, weighted AUM and conversion probability per stage</t>
  </si>
  <si>
    <t>Segment analysis by wealth tier, referral source and industry</t>
  </si>
  <si>
    <t>8 charts / visualisations embedded or linked in the workbook</t>
  </si>
  <si>
    <t>Written commentary of ≥2 sentences per analytical question (can be in cell comments or a separate Notes column)</t>
  </si>
  <si>
    <t>Assumptions sheet documenting all inputs, scoring bands and data caveats</t>
  </si>
  <si>
    <t>○</t>
  </si>
  <si>
    <t>Extension: Provincial geographic breakdown (Q10)</t>
  </si>
  <si>
    <t>Extension: Top-30 priority shortlist with written justification (Q12)</t>
  </si>
  <si>
    <t>Prospect ID</t>
  </si>
  <si>
    <t>First Name</t>
  </si>
  <si>
    <t>Last Name</t>
  </si>
  <si>
    <t>Age</t>
  </si>
  <si>
    <t>Gender</t>
  </si>
  <si>
    <t>Province</t>
  </si>
  <si>
    <t>Occupation</t>
  </si>
  <si>
    <t>Industry</t>
  </si>
  <si>
    <t>Estimated Net Worth (R)</t>
  </si>
  <si>
    <t>Wealth Tier</t>
  </si>
  <si>
    <t>Referral Source</t>
  </si>
  <si>
    <t>First Contact Date</t>
  </si>
  <si>
    <t>Last Interaction Date</t>
  </si>
  <si>
    <t>No. Interactions</t>
  </si>
  <si>
    <t>Products Discussed</t>
  </si>
  <si>
    <t>Engagement Score (1-10)</t>
  </si>
  <si>
    <t>Risk Profile</t>
  </si>
  <si>
    <t>Pipeline Stage</t>
  </si>
  <si>
    <t>Probability (%)</t>
  </si>
  <si>
    <t>Estimated AUM Potential (R)</t>
  </si>
  <si>
    <t>Notes</t>
  </si>
  <si>
    <t>INV-0001</t>
  </si>
  <si>
    <t>Sipho</t>
  </si>
  <si>
    <t>Pretorius</t>
  </si>
  <si>
    <t>Male</t>
  </si>
  <si>
    <t>Gauteng</t>
  </si>
  <si>
    <t>Chartered Accountant</t>
  </si>
  <si>
    <t>Healthcare</t>
  </si>
  <si>
    <t>Affluent (R2m–R5m)</t>
  </si>
  <si>
    <t>LinkedIn Outreach</t>
  </si>
  <si>
    <t>2025-08-05</t>
  </si>
  <si>
    <t>2025-08-12</t>
  </si>
  <si>
    <t>Private Banking</t>
  </si>
  <si>
    <t>Moderate</t>
  </si>
  <si>
    <t>Proposal Sent</t>
  </si>
  <si>
    <t>Decision expected next quarter</t>
  </si>
  <si>
    <t>INV-0002</t>
  </si>
  <si>
    <t>Zanele</t>
  </si>
  <si>
    <t>Jacobs</t>
  </si>
  <si>
    <t>Female</t>
  </si>
  <si>
    <t>CEO</t>
  </si>
  <si>
    <t>Mining &amp; Resources</t>
  </si>
  <si>
    <t>Events &amp; Seminars</t>
  </si>
  <si>
    <t>2025-06-22</t>
  </si>
  <si>
    <t>2025-07-03</t>
  </si>
  <si>
    <t>Fixed Income</t>
  </si>
  <si>
    <t>Aggressive</t>
  </si>
  <si>
    <t>Won</t>
  </si>
  <si>
    <t>Follow up Q3 – bonus season</t>
  </si>
  <si>
    <t>INV-0003</t>
  </si>
  <si>
    <t>Nicole</t>
  </si>
  <si>
    <t>Smith</t>
  </si>
  <si>
    <t>Medical Specialist</t>
  </si>
  <si>
    <t>Agriculture</t>
  </si>
  <si>
    <t>Private Banking Referral</t>
  </si>
  <si>
    <t>2025-01-24</t>
  </si>
  <si>
    <t>2025-03-12</t>
  </si>
  <si>
    <t>Estate Planning</t>
  </si>
  <si>
    <t>On Hold</t>
  </si>
  <si>
    <t>Introduced via legal firm partner</t>
  </si>
  <si>
    <t>INV-0004</t>
  </si>
  <si>
    <t>Lisa</t>
  </si>
  <si>
    <t>Zwane</t>
  </si>
  <si>
    <t>Emerging HNW (R5m–R10m)</t>
  </si>
  <si>
    <t>2025-08-25</t>
  </si>
  <si>
    <t>2025-09-23</t>
  </si>
  <si>
    <t>Tax Structuring</t>
  </si>
  <si>
    <t>Conservative</t>
  </si>
  <si>
    <t>Qualified</t>
  </si>
  <si>
    <t>Interested in impact investing</t>
  </si>
  <si>
    <t>INV-0005</t>
  </si>
  <si>
    <t>Sarah</t>
  </si>
  <si>
    <t>Khumalo</t>
  </si>
  <si>
    <t>Eastern Cape</t>
  </si>
  <si>
    <t>Attorney</t>
  </si>
  <si>
    <t>Technology</t>
  </si>
  <si>
    <t>Executive Search Firm</t>
  </si>
  <si>
    <t>2025-05-16</t>
  </si>
  <si>
    <t>2025-05-29</t>
  </si>
  <si>
    <t>Balanced</t>
  </si>
  <si>
    <t>Engaged</t>
  </si>
  <si>
    <t>Referred to private banking team</t>
  </si>
  <si>
    <t>INV-0006</t>
  </si>
  <si>
    <t>Nkosinathi</t>
  </si>
  <si>
    <t>Western Cape</t>
  </si>
  <si>
    <t>Retired Executive</t>
  </si>
  <si>
    <t>Manufacturing</t>
  </si>
  <si>
    <t>2025-05-09</t>
  </si>
  <si>
    <t>2025-06-18</t>
  </si>
  <si>
    <t>INV-0007</t>
  </si>
  <si>
    <t>Andile</t>
  </si>
  <si>
    <t>Dlamini</t>
  </si>
  <si>
    <t>Mpumalanga</t>
  </si>
  <si>
    <t>Executive Director</t>
  </si>
  <si>
    <t>Consulting</t>
  </si>
  <si>
    <t>Mass Affluent (&lt;R2m)</t>
  </si>
  <si>
    <t>Digital Campaign</t>
  </si>
  <si>
    <t>2025-09-17</t>
  </si>
  <si>
    <t>2025-10-30</t>
  </si>
  <si>
    <t>Offshore Investments</t>
  </si>
  <si>
    <t>INV-0008</t>
  </si>
  <si>
    <t>Fatima</t>
  </si>
  <si>
    <t>Free State</t>
  </si>
  <si>
    <t>Ultra HNW (R50m+)</t>
  </si>
  <si>
    <t>2025-09-06</t>
  </si>
  <si>
    <t>2025-11-02</t>
  </si>
  <si>
    <t>Re-engage post year-end</t>
  </si>
  <si>
    <t>INV-0009</t>
  </si>
  <si>
    <t>Mahlangu</t>
  </si>
  <si>
    <t>KwaZulu-Natal</t>
  </si>
  <si>
    <t>Engineer</t>
  </si>
  <si>
    <t>Legal</t>
  </si>
  <si>
    <t>2025-04-26</t>
  </si>
  <si>
    <t>2025-05-05</t>
  </si>
  <si>
    <t>Wealth Management</t>
  </si>
  <si>
    <t>INV-0010</t>
  </si>
  <si>
    <t>James</t>
  </si>
  <si>
    <t>Mokoena</t>
  </si>
  <si>
    <t>CFO</t>
  </si>
  <si>
    <t>HNW (R10m–R50m)</t>
  </si>
  <si>
    <t>2025-03-09</t>
  </si>
  <si>
    <t>2025-04-29</t>
  </si>
  <si>
    <t>Currency Solutions</t>
  </si>
  <si>
    <t>INV-0011</t>
  </si>
  <si>
    <t>Priya</t>
  </si>
  <si>
    <t>Ndlovu</t>
  </si>
  <si>
    <t>Financial Services</t>
  </si>
  <si>
    <t>2025-07-26</t>
  </si>
  <si>
    <t>2025-09-15</t>
  </si>
  <si>
    <t>Attending Investec Golf Day</t>
  </si>
  <si>
    <t>INV-0012</t>
  </si>
  <si>
    <t>Naidoo</t>
  </si>
  <si>
    <t>Investment Banker</t>
  </si>
  <si>
    <t>Referral – Existing Client</t>
  </si>
  <si>
    <t>2025-05-02</t>
  </si>
  <si>
    <t>2025-05-17</t>
  </si>
  <si>
    <t>INV-0013</t>
  </si>
  <si>
    <t>Emma</t>
  </si>
  <si>
    <t>2025-04-22</t>
  </si>
  <si>
    <t>2025-04-30</t>
  </si>
  <si>
    <t>Identified</t>
  </si>
  <si>
    <t>High probability – verbal commitment</t>
  </si>
  <si>
    <t>INV-0014</t>
  </si>
  <si>
    <t>Coetzee</t>
  </si>
  <si>
    <t>Cold Outreach</t>
  </si>
  <si>
    <t>2025-10-19</t>
  </si>
  <si>
    <t>2025-11-08</t>
  </si>
  <si>
    <t>Negotiation</t>
  </si>
  <si>
    <t>Family office opportunity</t>
  </si>
  <si>
    <t>INV-0015</t>
  </si>
  <si>
    <t>Kyle</t>
  </si>
  <si>
    <t>Meyer</t>
  </si>
  <si>
    <t>Real Estate</t>
  </si>
  <si>
    <t>2025-08-23</t>
  </si>
  <si>
    <t>2025-10-06</t>
  </si>
  <si>
    <t>INV-0016</t>
  </si>
  <si>
    <t>Stefan</t>
  </si>
  <si>
    <t>Nkosi</t>
  </si>
  <si>
    <t>2025-06-03</t>
  </si>
  <si>
    <t>2025-07-20</t>
  </si>
  <si>
    <t>INV-0017</t>
  </si>
  <si>
    <t>Lerato</t>
  </si>
  <si>
    <t>2025-10-02</t>
  </si>
  <si>
    <t>INV-0018</t>
  </si>
  <si>
    <t>2025-03-07</t>
  </si>
  <si>
    <t>2025-03-14</t>
  </si>
  <si>
    <t>Equity Portfolio</t>
  </si>
  <si>
    <t>Competitor relationship – price sensitive</t>
  </si>
  <si>
    <t>INV-0019</t>
  </si>
  <si>
    <t>Pillay</t>
  </si>
  <si>
    <t>Broker Network</t>
  </si>
  <si>
    <t>2025-05-08</t>
  </si>
  <si>
    <t>2025-05-30</t>
  </si>
  <si>
    <t>Needs estate planning review</t>
  </si>
  <si>
    <t>INV-0020</t>
  </si>
  <si>
    <t>Portfolio Manager</t>
  </si>
  <si>
    <t>2025-09-18</t>
  </si>
  <si>
    <t>2025-10-18</t>
  </si>
  <si>
    <t>INV-0021</t>
  </si>
  <si>
    <t>Luca</t>
  </si>
  <si>
    <t>2025-04-08</t>
  </si>
  <si>
    <t>INV-0022</t>
  </si>
  <si>
    <t>Amahle</t>
  </si>
  <si>
    <t>2025-08-04</t>
  </si>
  <si>
    <t>2025-09-20</t>
  </si>
  <si>
    <t>Request for offshore structuring</t>
  </si>
  <si>
    <t>INV-0023</t>
  </si>
  <si>
    <t>Michelle</t>
  </si>
  <si>
    <t>2025-05-26</t>
  </si>
  <si>
    <t>2025-07-02</t>
  </si>
  <si>
    <t>INV-0024</t>
  </si>
  <si>
    <t>Retail</t>
  </si>
  <si>
    <t>2025-09-11</t>
  </si>
  <si>
    <t>2025-10-11</t>
  </si>
  <si>
    <t>INV-0025</t>
  </si>
  <si>
    <t>Nomvula</t>
  </si>
  <si>
    <t>2025-09-16</t>
  </si>
  <si>
    <t>INV-0026</t>
  </si>
  <si>
    <t>2025-06-13</t>
  </si>
  <si>
    <t>2025-07-22</t>
  </si>
  <si>
    <t>INV-0027</t>
  </si>
  <si>
    <t>Claire</t>
  </si>
  <si>
    <t>2025-07-14</t>
  </si>
  <si>
    <t>2025-08-18</t>
  </si>
  <si>
    <t>INV-0028</t>
  </si>
  <si>
    <t>2025-08-28</t>
  </si>
  <si>
    <t>2025-09-10</t>
  </si>
  <si>
    <t>INV-0029</t>
  </si>
  <si>
    <t>Entrepreneur</t>
  </si>
  <si>
    <t>2025-05-10</t>
  </si>
  <si>
    <t>2025-07-07</t>
  </si>
  <si>
    <t>Lost</t>
  </si>
  <si>
    <t>INV-0030</t>
  </si>
  <si>
    <t>Brendan</t>
  </si>
  <si>
    <t>INV-0031</t>
  </si>
  <si>
    <t>2025-06-04</t>
  </si>
  <si>
    <t>2025-08-02</t>
  </si>
  <si>
    <t>INV-0032</t>
  </si>
  <si>
    <t>2025-10-03</t>
  </si>
  <si>
    <t>2025-11-26</t>
  </si>
  <si>
    <t>INV-0033</t>
  </si>
  <si>
    <t>Bongiwe</t>
  </si>
  <si>
    <t>Property Developer</t>
  </si>
  <si>
    <t>2025-04-04</t>
  </si>
  <si>
    <t>INV-0034</t>
  </si>
  <si>
    <t>Michael</t>
  </si>
  <si>
    <t>2025-09-09</t>
  </si>
  <si>
    <t>2025-10-12</t>
  </si>
  <si>
    <t>INV-0035</t>
  </si>
  <si>
    <t>2025-05-28</t>
  </si>
  <si>
    <t>INV-0036</t>
  </si>
  <si>
    <t>Pieter</t>
  </si>
  <si>
    <t>Sithebe</t>
  </si>
  <si>
    <t>2025-04-27</t>
  </si>
  <si>
    <t>2025-05-25</t>
  </si>
  <si>
    <t>INV-0037</t>
  </si>
  <si>
    <t>2025-07-09</t>
  </si>
  <si>
    <t>INV-0038</t>
  </si>
  <si>
    <t>David</t>
  </si>
  <si>
    <t>2025-08-16</t>
  </si>
  <si>
    <t>INV-0039</t>
  </si>
  <si>
    <t>2025-07-29</t>
  </si>
  <si>
    <t>2025-08-31</t>
  </si>
  <si>
    <t>INV-0040</t>
  </si>
  <si>
    <t>2025-10-25</t>
  </si>
  <si>
    <t>INV-0041</t>
  </si>
  <si>
    <t>2025-02-11</t>
  </si>
  <si>
    <t>2025-03-26</t>
  </si>
  <si>
    <t>INV-0042</t>
  </si>
  <si>
    <t>2025-10-27</t>
  </si>
  <si>
    <t>2025-11-28</t>
  </si>
  <si>
    <t>INV-0043</t>
  </si>
  <si>
    <t>2025-03-01</t>
  </si>
  <si>
    <t>2025-04-24</t>
  </si>
  <si>
    <t>INV-0044</t>
  </si>
  <si>
    <t>2025-01-15</t>
  </si>
  <si>
    <t>INV-0045</t>
  </si>
  <si>
    <t>2025-06-08</t>
  </si>
  <si>
    <t>INV-0046</t>
  </si>
  <si>
    <t>Thabo</t>
  </si>
  <si>
    <t>2025-10-24</t>
  </si>
  <si>
    <t>2025-12-10</t>
  </si>
  <si>
    <t>INV-0047</t>
  </si>
  <si>
    <t>2025-06-12</t>
  </si>
  <si>
    <t>2025-08-03</t>
  </si>
  <si>
    <t>INV-0048</t>
  </si>
  <si>
    <t>Ayasha</t>
  </si>
  <si>
    <t>2025-08-29</t>
  </si>
  <si>
    <t>2025-10-23</t>
  </si>
  <si>
    <t>INV-0049</t>
  </si>
  <si>
    <t>2025-08-11</t>
  </si>
  <si>
    <t>2025-08-22</t>
  </si>
  <si>
    <t>INV-0050</t>
  </si>
  <si>
    <t>2025-02-10</t>
  </si>
  <si>
    <t>INV-0051</t>
  </si>
  <si>
    <t>Gareth</t>
  </si>
  <si>
    <t>2025-08-06</t>
  </si>
  <si>
    <t>2025-09-24</t>
  </si>
  <si>
    <t>INV-0052</t>
  </si>
  <si>
    <t>2025-01-05</t>
  </si>
  <si>
    <t>2025-02-15</t>
  </si>
  <si>
    <t>INV-0053</t>
  </si>
  <si>
    <t>2025-08-14</t>
  </si>
  <si>
    <t>2025-08-21</t>
  </si>
  <si>
    <t>INV-0054</t>
  </si>
  <si>
    <t>2025-06-23</t>
  </si>
  <si>
    <t>INV-0055</t>
  </si>
  <si>
    <t>2025-11-25</t>
  </si>
  <si>
    <t>INV-0056</t>
  </si>
  <si>
    <t>2025-06-05</t>
  </si>
  <si>
    <t>2025-07-11</t>
  </si>
  <si>
    <t>INV-0057</t>
  </si>
  <si>
    <t>INV-0058</t>
  </si>
  <si>
    <t>Ferreira</t>
  </si>
  <si>
    <t>2025-06-20</t>
  </si>
  <si>
    <t>2025-07-10</t>
  </si>
  <si>
    <t>INV-0059</t>
  </si>
  <si>
    <t>INV-0060</t>
  </si>
  <si>
    <t>2025-01-23</t>
  </si>
  <si>
    <t>2025-03-15</t>
  </si>
  <si>
    <t>INV-0061</t>
  </si>
  <si>
    <t>2025-09-29</t>
  </si>
  <si>
    <t>2025-10-22</t>
  </si>
  <si>
    <t>INV-0062</t>
  </si>
  <si>
    <t>Ruan</t>
  </si>
  <si>
    <t>2025-05-11</t>
  </si>
  <si>
    <t>INV-0063</t>
  </si>
  <si>
    <t>2025-01-27</t>
  </si>
  <si>
    <t>2025-02-19</t>
  </si>
  <si>
    <t>INV-0064</t>
  </si>
  <si>
    <t>2025-10-13</t>
  </si>
  <si>
    <t>INV-0065</t>
  </si>
  <si>
    <t>Botha</t>
  </si>
  <si>
    <t>2025-10-17</t>
  </si>
  <si>
    <t>INV-0066</t>
  </si>
  <si>
    <t>Van der Merwe</t>
  </si>
  <si>
    <t>2025-08-15</t>
  </si>
  <si>
    <t>INV-0067</t>
  </si>
  <si>
    <t>INV-0068</t>
  </si>
  <si>
    <t>2025-11-23</t>
  </si>
  <si>
    <t>INV-0069</t>
  </si>
  <si>
    <t>2025-07-30</t>
  </si>
  <si>
    <t>INV-0070</t>
  </si>
  <si>
    <t>2025-03-20</t>
  </si>
  <si>
    <t>2025-05-12</t>
  </si>
  <si>
    <t>INV-0071</t>
  </si>
  <si>
    <t>2025-09-26</t>
  </si>
  <si>
    <t>INV-0072</t>
  </si>
  <si>
    <t>John</t>
  </si>
  <si>
    <t>2025-09-01</t>
  </si>
  <si>
    <t>2025-10-08</t>
  </si>
  <si>
    <t>INV-0073</t>
  </si>
  <si>
    <t>INV-0074</t>
  </si>
  <si>
    <t>2025-02-13</t>
  </si>
  <si>
    <t>INV-0075</t>
  </si>
  <si>
    <t>INV-0076</t>
  </si>
  <si>
    <t>2025-02-23</t>
  </si>
  <si>
    <t>INV-0077</t>
  </si>
  <si>
    <t>2025-09-28</t>
  </si>
  <si>
    <t>2025-10-29</t>
  </si>
  <si>
    <t>INV-0078</t>
  </si>
  <si>
    <t>INV-0079</t>
  </si>
  <si>
    <t>2025-03-13</t>
  </si>
  <si>
    <t>INV-0080</t>
  </si>
  <si>
    <t>2025-02-26</t>
  </si>
  <si>
    <t>2025-04-25</t>
  </si>
  <si>
    <t>INV-0081</t>
  </si>
  <si>
    <t>2025-09-05</t>
  </si>
  <si>
    <t>INV-0082</t>
  </si>
  <si>
    <t>2025-09-03</t>
  </si>
  <si>
    <t>INV-0083</t>
  </si>
  <si>
    <t>INV-0084</t>
  </si>
  <si>
    <t>INV-0085</t>
  </si>
  <si>
    <t>2025-09-02</t>
  </si>
  <si>
    <t>INV-0086</t>
  </si>
  <si>
    <t>2025-05-07</t>
  </si>
  <si>
    <t>INV-0087</t>
  </si>
  <si>
    <t>2025-05-14</t>
  </si>
  <si>
    <t>INV-0088</t>
  </si>
  <si>
    <t>2025-03-22</t>
  </si>
  <si>
    <t>INV-0089</t>
  </si>
  <si>
    <t>2025-07-23</t>
  </si>
  <si>
    <t>INV-0090</t>
  </si>
  <si>
    <t>2025-08-10</t>
  </si>
  <si>
    <t>INV-0091</t>
  </si>
  <si>
    <t>2025-07-19</t>
  </si>
  <si>
    <t>INV-0092</t>
  </si>
  <si>
    <t>2025-01-16</t>
  </si>
  <si>
    <t>2025-02-21</t>
  </si>
  <si>
    <t>INV-0093</t>
  </si>
  <si>
    <t>2025-06-26</t>
  </si>
  <si>
    <t>INV-0094</t>
  </si>
  <si>
    <t>2025-12-13</t>
  </si>
  <si>
    <t>INV-0095</t>
  </si>
  <si>
    <t>2025-09-21</t>
  </si>
  <si>
    <t>INV-0096</t>
  </si>
  <si>
    <t>2025-05-24</t>
  </si>
  <si>
    <t>INV-0097</t>
  </si>
  <si>
    <t>INV-0098</t>
  </si>
  <si>
    <t>2025-09-13</t>
  </si>
  <si>
    <t>INV-0099</t>
  </si>
  <si>
    <t>2025-10-21</t>
  </si>
  <si>
    <t>2025-12-09</t>
  </si>
  <si>
    <t>INV-0100</t>
  </si>
  <si>
    <t>2025-07-12</t>
  </si>
  <si>
    <t>INV-0101</t>
  </si>
  <si>
    <t>2025-04-17</t>
  </si>
  <si>
    <t>INV-0102</t>
  </si>
  <si>
    <t>2025-07-17</t>
  </si>
  <si>
    <t>INV-0103</t>
  </si>
  <si>
    <t>INV-0104</t>
  </si>
  <si>
    <t>2025-11-09</t>
  </si>
  <si>
    <t>INV-0105</t>
  </si>
  <si>
    <t>2025-06-29</t>
  </si>
  <si>
    <t>INV-0106</t>
  </si>
  <si>
    <t>2025-07-27</t>
  </si>
  <si>
    <t>2025-09-22</t>
  </si>
  <si>
    <t>INV-0107</t>
  </si>
  <si>
    <t>2025-10-26</t>
  </si>
  <si>
    <t>INV-0108</t>
  </si>
  <si>
    <t>Tanya</t>
  </si>
  <si>
    <t>INV-0109</t>
  </si>
  <si>
    <t>2025-10-16</t>
  </si>
  <si>
    <t>INV-0110</t>
  </si>
  <si>
    <t>INV-0111</t>
  </si>
  <si>
    <t>2025-04-03</t>
  </si>
  <si>
    <t>2025-05-27</t>
  </si>
  <si>
    <t>INV-0112</t>
  </si>
  <si>
    <t>2025-01-12</t>
  </si>
  <si>
    <t>2025-02-05</t>
  </si>
  <si>
    <t>INV-0113</t>
  </si>
  <si>
    <t>2025-04-16</t>
  </si>
  <si>
    <t>INV-0114</t>
  </si>
  <si>
    <t>2025-06-14</t>
  </si>
  <si>
    <t>2025-07-04</t>
  </si>
  <si>
    <t>INV-0115</t>
  </si>
  <si>
    <t>2025-03-18</t>
  </si>
  <si>
    <t>2025-04-11</t>
  </si>
  <si>
    <t>INV-0116</t>
  </si>
  <si>
    <t>2025-06-19</t>
  </si>
  <si>
    <t>INV-0117</t>
  </si>
  <si>
    <t>2025-01-08</t>
  </si>
  <si>
    <t>2025-01-26</t>
  </si>
  <si>
    <t>INV-0118</t>
  </si>
  <si>
    <t>2025-02-20</t>
  </si>
  <si>
    <t>INV-0119</t>
  </si>
  <si>
    <t>2025-12-16</t>
  </si>
  <si>
    <t>INV-0120</t>
  </si>
  <si>
    <t>2025-01-18</t>
  </si>
  <si>
    <t>2025-03-17</t>
  </si>
  <si>
    <t>INV-0121</t>
  </si>
  <si>
    <t>2025-01-09</t>
  </si>
  <si>
    <t>2025-01-14</t>
  </si>
  <si>
    <t>INV-0122</t>
  </si>
  <si>
    <t>INV-0123</t>
  </si>
  <si>
    <t>2025-02-12</t>
  </si>
  <si>
    <t>INV-0124</t>
  </si>
  <si>
    <t>INV-0125</t>
  </si>
  <si>
    <t>INV-0126</t>
  </si>
  <si>
    <t>INV-0127</t>
  </si>
  <si>
    <t>INV-0128</t>
  </si>
  <si>
    <t>2025-03-27</t>
  </si>
  <si>
    <t>2025-04-28</t>
  </si>
  <si>
    <t>INV-0129</t>
  </si>
  <si>
    <t>INV-0130</t>
  </si>
  <si>
    <t>INV-0131</t>
  </si>
  <si>
    <t>INV-0132</t>
  </si>
  <si>
    <t>2025-02-24</t>
  </si>
  <si>
    <t>INV-0133</t>
  </si>
  <si>
    <t>INV-0134</t>
  </si>
  <si>
    <t>2025-08-20</t>
  </si>
  <si>
    <t>2025-09-14</t>
  </si>
  <si>
    <t>INV-0135</t>
  </si>
  <si>
    <t>2025-04-05</t>
  </si>
  <si>
    <t>2025-04-21</t>
  </si>
  <si>
    <t>INV-0136</t>
  </si>
  <si>
    <t>2025-06-16</t>
  </si>
  <si>
    <t>INV-0137</t>
  </si>
  <si>
    <t>2025-04-02</t>
  </si>
  <si>
    <t>INV-0138</t>
  </si>
  <si>
    <t>INV-0139</t>
  </si>
  <si>
    <t>INV-0140</t>
  </si>
  <si>
    <t>INV-0141</t>
  </si>
  <si>
    <t>INV-0142</t>
  </si>
  <si>
    <t>2025-08-07</t>
  </si>
  <si>
    <t>INV-0143</t>
  </si>
  <si>
    <t>2025-11-12</t>
  </si>
  <si>
    <t>INV-0144</t>
  </si>
  <si>
    <t>2025-05-18</t>
  </si>
  <si>
    <t>INV-0145</t>
  </si>
  <si>
    <t>INV-0146</t>
  </si>
  <si>
    <t>INV-0147</t>
  </si>
  <si>
    <t>INV-0148</t>
  </si>
  <si>
    <t>2025-03-05</t>
  </si>
  <si>
    <t>INV-0149</t>
  </si>
  <si>
    <t>2025-11-05</t>
  </si>
  <si>
    <t>INV-0150</t>
  </si>
  <si>
    <t>2025-04-07</t>
  </si>
  <si>
    <t>INV-0151</t>
  </si>
  <si>
    <t>2025-07-25</t>
  </si>
  <si>
    <t>INV-0152</t>
  </si>
  <si>
    <t>2025-10-04</t>
  </si>
  <si>
    <t>INV-0153</t>
  </si>
  <si>
    <t>INV-0154</t>
  </si>
  <si>
    <t>INV-0155</t>
  </si>
  <si>
    <t>2025-02-09</t>
  </si>
  <si>
    <t>INV-0156</t>
  </si>
  <si>
    <t>INV-0157</t>
  </si>
  <si>
    <t>2025-01-01</t>
  </si>
  <si>
    <t>INV-0158</t>
  </si>
  <si>
    <t>INV-0159</t>
  </si>
  <si>
    <t>2025-03-11</t>
  </si>
  <si>
    <t>2025-05-04</t>
  </si>
  <si>
    <t>INV-0160</t>
  </si>
  <si>
    <t>2025-01-21</t>
  </si>
  <si>
    <t>2025-02-08</t>
  </si>
  <si>
    <t>INV-0161</t>
  </si>
  <si>
    <t>2025-03-25</t>
  </si>
  <si>
    <t>INV-0162</t>
  </si>
  <si>
    <t>2025-07-01</t>
  </si>
  <si>
    <t>INV-0163</t>
  </si>
  <si>
    <t>2025-05-06</t>
  </si>
  <si>
    <t>2025-06-21</t>
  </si>
  <si>
    <t>INV-0164</t>
  </si>
  <si>
    <t>2025-11-30</t>
  </si>
  <si>
    <t>INV-0165</t>
  </si>
  <si>
    <t>INV-0166</t>
  </si>
  <si>
    <t>INV-0167</t>
  </si>
  <si>
    <t>2025-01-31</t>
  </si>
  <si>
    <t>2025-02-06</t>
  </si>
  <si>
    <t>INV-0168</t>
  </si>
  <si>
    <t>2025-06-28</t>
  </si>
  <si>
    <t>INV-0169</t>
  </si>
  <si>
    <t>2025-10-28</t>
  </si>
  <si>
    <t>INV-0170</t>
  </si>
  <si>
    <t>2025-08-19</t>
  </si>
  <si>
    <t>INV-0171</t>
  </si>
  <si>
    <t>2025-01-11</t>
  </si>
  <si>
    <t>INV-0172</t>
  </si>
  <si>
    <t>INV-0173</t>
  </si>
  <si>
    <t>2025-02-25</t>
  </si>
  <si>
    <t>INV-0174</t>
  </si>
  <si>
    <t>INV-0175</t>
  </si>
  <si>
    <t>INV-0176</t>
  </si>
  <si>
    <t>INV-0177</t>
  </si>
  <si>
    <t>2025-04-01</t>
  </si>
  <si>
    <t>INV-0178</t>
  </si>
  <si>
    <t>2025-08-17</t>
  </si>
  <si>
    <t>INV-0179</t>
  </si>
  <si>
    <t>INV-0180</t>
  </si>
  <si>
    <t>2025-04-09</t>
  </si>
  <si>
    <t>2025-06-06</t>
  </si>
  <si>
    <t>INV-0181</t>
  </si>
  <si>
    <t>INV-0182</t>
  </si>
  <si>
    <t>2025-09-04</t>
  </si>
  <si>
    <t>INV-0183</t>
  </si>
  <si>
    <t>INV-0184</t>
  </si>
  <si>
    <t>INV-0185</t>
  </si>
  <si>
    <t>2025-06-11</t>
  </si>
  <si>
    <t>INV-0186</t>
  </si>
  <si>
    <t>2025-03-06</t>
  </si>
  <si>
    <t>INV-0187</t>
  </si>
  <si>
    <t>INV-0188</t>
  </si>
  <si>
    <t>INV-0189</t>
  </si>
  <si>
    <t>2025-01-20</t>
  </si>
  <si>
    <t>2025-02-28</t>
  </si>
  <si>
    <t>INV-0190</t>
  </si>
  <si>
    <t>2025-02-03</t>
  </si>
  <si>
    <t>INV-0191</t>
  </si>
  <si>
    <t>INV-0192</t>
  </si>
  <si>
    <t>INV-0193</t>
  </si>
  <si>
    <t>INV-0194</t>
  </si>
  <si>
    <t>2025-05-01</t>
  </si>
  <si>
    <t>INV-0195</t>
  </si>
  <si>
    <t>INV-0196</t>
  </si>
  <si>
    <t>INV-0197</t>
  </si>
  <si>
    <t>INV-0198</t>
  </si>
  <si>
    <t>2025-10-31</t>
  </si>
  <si>
    <t>INV-0199</t>
  </si>
  <si>
    <t>INV-0200</t>
  </si>
  <si>
    <t>2025-01-10</t>
  </si>
  <si>
    <t>SCORING WEIGHTS (Assumptions)</t>
  </si>
  <si>
    <t>WEALTH TIER SCORES</t>
  </si>
  <si>
    <t>Net Worth (40%)</t>
  </si>
  <si>
    <t>← Adjustable</t>
  </si>
  <si>
    <t>← Tier score</t>
  </si>
  <si>
    <t>Engagement Score (25%)</t>
  </si>
  <si>
    <t>Pipeline Stage (20%)</t>
  </si>
  <si>
    <t>No. Interactions (15%)</t>
  </si>
  <si>
    <t>Name</t>
  </si>
  <si>
    <t>Net Worth (R)</t>
  </si>
  <si>
    <t>Eng. Score</t>
  </si>
  <si>
    <t>NW Score</t>
  </si>
  <si>
    <t>Stage Score</t>
  </si>
  <si>
    <t>Int. Score</t>
  </si>
  <si>
    <t>COMPOSITE SCORE</t>
  </si>
  <si>
    <t>Priority Rank</t>
  </si>
  <si>
    <t>Recommendation</t>
  </si>
  <si>
    <t>Sipho Pretorius</t>
  </si>
  <si>
    <t>Zanele Jacobs</t>
  </si>
  <si>
    <t>Nicole Smith</t>
  </si>
  <si>
    <t>Lisa Zwane</t>
  </si>
  <si>
    <t>Sarah Khumalo</t>
  </si>
  <si>
    <t>Nkosinathi Smith</t>
  </si>
  <si>
    <t>Andile Dlamini</t>
  </si>
  <si>
    <t>Fatima Dlamini</t>
  </si>
  <si>
    <t>Zanele Mahlangu</t>
  </si>
  <si>
    <t>James Mokoena</t>
  </si>
  <si>
    <t>Priya Ndlovu</t>
  </si>
  <si>
    <t>Fatima Naidoo</t>
  </si>
  <si>
    <t>Emma Jacobs</t>
  </si>
  <si>
    <t>Sipho Coetzee</t>
  </si>
  <si>
    <t>Kyle Meyer</t>
  </si>
  <si>
    <t>Stefan Nkosi</t>
  </si>
  <si>
    <t>Lerato Khumalo</t>
  </si>
  <si>
    <t>Nicole Ndlovu</t>
  </si>
  <si>
    <t>Lerato Pillay</t>
  </si>
  <si>
    <t>Emma Naidoo</t>
  </si>
  <si>
    <t>Luca Ndlovu</t>
  </si>
  <si>
    <t>Amahle Smith</t>
  </si>
  <si>
    <t>Michelle Meyer</t>
  </si>
  <si>
    <t>Sipho Naidoo</t>
  </si>
  <si>
    <t>Nomvula Mahlangu</t>
  </si>
  <si>
    <t>Michelle Coetzee</t>
  </si>
  <si>
    <t>Claire Meyer</t>
  </si>
  <si>
    <t>Andile Naidoo</t>
  </si>
  <si>
    <t>Brendan Dlamini</t>
  </si>
  <si>
    <t>Sarah Dlamini</t>
  </si>
  <si>
    <t>Nomvula Ndlovu</t>
  </si>
  <si>
    <t>Bongiwe Jacobs</t>
  </si>
  <si>
    <t>Michael Khumalo</t>
  </si>
  <si>
    <t>Fatima Mahlangu</t>
  </si>
  <si>
    <t>Pieter Sithebe</t>
  </si>
  <si>
    <t>Kyle Sithebe</t>
  </si>
  <si>
    <t>David Nkosi</t>
  </si>
  <si>
    <t>Brendan Khumalo</t>
  </si>
  <si>
    <t>Kyle Naidoo</t>
  </si>
  <si>
    <t>Fatima Smith</t>
  </si>
  <si>
    <t>Brendan Pretorius</t>
  </si>
  <si>
    <t>Stefan Ndlovu</t>
  </si>
  <si>
    <t>Amahle Jacobs</t>
  </si>
  <si>
    <t>Andile Smith</t>
  </si>
  <si>
    <t>Thabo Ndlovu</t>
  </si>
  <si>
    <t>Bongiwe Meyer</t>
  </si>
  <si>
    <t>Ayasha Smith</t>
  </si>
  <si>
    <t>Priya Sithebe</t>
  </si>
  <si>
    <t>Priya Zwane</t>
  </si>
  <si>
    <t>Gareth Jacobs</t>
  </si>
  <si>
    <t>Lerato Zwane</t>
  </si>
  <si>
    <t>Kyle Khumalo</t>
  </si>
  <si>
    <t>David Mahlangu</t>
  </si>
  <si>
    <t>Ayasha Mahlangu</t>
  </si>
  <si>
    <t>Bongiwe Naidoo</t>
  </si>
  <si>
    <t>Nomvula Ferreira</t>
  </si>
  <si>
    <t>Pieter Mokoena</t>
  </si>
  <si>
    <t>Andile Jacobs</t>
  </si>
  <si>
    <t>Ruan Jacobs</t>
  </si>
  <si>
    <t>Michelle Pillay</t>
  </si>
  <si>
    <t>Nomvula Botha</t>
  </si>
  <si>
    <t>Gareth Van der Merwe</t>
  </si>
  <si>
    <t>Nicole Nkosi</t>
  </si>
  <si>
    <t>Michael Mahlangu</t>
  </si>
  <si>
    <t>Ayasha Zwane</t>
  </si>
  <si>
    <t>Gareth Zwane</t>
  </si>
  <si>
    <t>Ayasha Meyer</t>
  </si>
  <si>
    <t>John Coetzee</t>
  </si>
  <si>
    <t>Michael Botha</t>
  </si>
  <si>
    <t>Emma Pillay</t>
  </si>
  <si>
    <t>Kyle Ndlovu</t>
  </si>
  <si>
    <t>Thabo Sithebe</t>
  </si>
  <si>
    <t>Pieter Coetzee</t>
  </si>
  <si>
    <t>Stefan Naidoo</t>
  </si>
  <si>
    <t>Sarah Nkosi</t>
  </si>
  <si>
    <t>Zanele Ndlovu</t>
  </si>
  <si>
    <t>Pieter Smith</t>
  </si>
  <si>
    <t>Bongiwe Ferreira</t>
  </si>
  <si>
    <t>Fatima Ndlovu</t>
  </si>
  <si>
    <t>David Jacobs</t>
  </si>
  <si>
    <t>Priya Pretorius</t>
  </si>
  <si>
    <t>Nomvula Zwane</t>
  </si>
  <si>
    <t>Amahle Mokoena</t>
  </si>
  <si>
    <t>Stefan Coetzee</t>
  </si>
  <si>
    <t>Ayasha Van der Merwe</t>
  </si>
  <si>
    <t>Sarah Van der Merwe</t>
  </si>
  <si>
    <t>David Smith</t>
  </si>
  <si>
    <t>Nomvula Mokoena</t>
  </si>
  <si>
    <t>Nicole Coetzee</t>
  </si>
  <si>
    <t>Pieter Van der Merwe</t>
  </si>
  <si>
    <t>Nicole Sithebe</t>
  </si>
  <si>
    <t>Lerato Sithebe</t>
  </si>
  <si>
    <t>John Mahlangu</t>
  </si>
  <si>
    <t>Bongiwe Mahlangu</t>
  </si>
  <si>
    <t>Ruan Sithebe</t>
  </si>
  <si>
    <t>Michelle Sithebe</t>
  </si>
  <si>
    <t>Amahle Pretorius</t>
  </si>
  <si>
    <t>Tanya Smith</t>
  </si>
  <si>
    <t>Nicole Zwane</t>
  </si>
  <si>
    <t>Gareth Coetzee</t>
  </si>
  <si>
    <t>Ruan Zwane</t>
  </si>
  <si>
    <t>Kyle Zwane</t>
  </si>
  <si>
    <t>Zanele Smith</t>
  </si>
  <si>
    <t>Brendan Van der Merwe</t>
  </si>
  <si>
    <t>Brendan Jacobs</t>
  </si>
  <si>
    <t>Amahle Van der Merwe</t>
  </si>
  <si>
    <t>Michelle Nkosi</t>
  </si>
  <si>
    <t>Fatima Botha</t>
  </si>
  <si>
    <t>Sipho Khumalo</t>
  </si>
  <si>
    <t>Michael Ndlovu</t>
  </si>
  <si>
    <t>Emma Van der Merwe</t>
  </si>
  <si>
    <t>Claire Pillay</t>
  </si>
  <si>
    <t>Lisa Ferreira</t>
  </si>
  <si>
    <t>David Mokoena</t>
  </si>
  <si>
    <t>Ruan Meyer</t>
  </si>
  <si>
    <t>Pieter Jacobs</t>
  </si>
  <si>
    <t>Lerato Ferreira</t>
  </si>
  <si>
    <t>Michelle Ndlovu</t>
  </si>
  <si>
    <t>Nkosinathi Pillay</t>
  </si>
  <si>
    <t>Gareth Naidoo</t>
  </si>
  <si>
    <t>Nomvula Khumalo</t>
  </si>
  <si>
    <t>Lerato Smith</t>
  </si>
  <si>
    <t>Andile Pillay</t>
  </si>
  <si>
    <t>Thabo Van der Merwe</t>
  </si>
  <si>
    <t>Nicole Pretorius</t>
  </si>
  <si>
    <t>Fatima Pillay</t>
  </si>
  <si>
    <t>Sipho Smith</t>
  </si>
  <si>
    <t>Sipho Ferreira</t>
  </si>
  <si>
    <t>Tanya Pillay</t>
  </si>
  <si>
    <t>Priya Khumalo</t>
  </si>
  <si>
    <t>James Mahlangu</t>
  </si>
  <si>
    <t>Claire Smith</t>
  </si>
  <si>
    <t>Claire Mokoena</t>
  </si>
  <si>
    <t>Andile Zwane</t>
  </si>
  <si>
    <t>Sarah Jacobs</t>
  </si>
  <si>
    <t>David Dlamini</t>
  </si>
  <si>
    <t>Pieter Pretorius</t>
  </si>
  <si>
    <t>Thabo Pretorius</t>
  </si>
  <si>
    <t>Michelle Khumalo</t>
  </si>
  <si>
    <t>Emma Botha</t>
  </si>
  <si>
    <t>John Pretorius</t>
  </si>
  <si>
    <t>Kyle Coetzee</t>
  </si>
  <si>
    <t>Bongiwe Botha</t>
  </si>
  <si>
    <t>Pieter Dlamini</t>
  </si>
  <si>
    <t>Nkosinathi Sithebe</t>
  </si>
  <si>
    <t>Stefan Sithebe</t>
  </si>
  <si>
    <t>Lerato Mahlangu</t>
  </si>
  <si>
    <t>Fatima Pretorius</t>
  </si>
  <si>
    <t>Luca Zwane</t>
  </si>
  <si>
    <t>Luca Jacobs</t>
  </si>
  <si>
    <t>Nicole Meyer</t>
  </si>
  <si>
    <t>Emma Ferreira</t>
  </si>
  <si>
    <t>Emma Sithebe</t>
  </si>
  <si>
    <t>Ayasha Jacobs</t>
  </si>
  <si>
    <t>Thabo Dlamini</t>
  </si>
  <si>
    <t>Lerato Nkosi</t>
  </si>
  <si>
    <t>Andile Mokoena</t>
  </si>
  <si>
    <t>Emma Ndlovu</t>
  </si>
  <si>
    <t>Thabo Smith</t>
  </si>
  <si>
    <t>Michelle Mahlangu</t>
  </si>
  <si>
    <t>Tanya Ndlovu</t>
  </si>
  <si>
    <t>Gareth Pretorius</t>
  </si>
  <si>
    <t>Kyle Botha</t>
  </si>
  <si>
    <t>Luca Pillay</t>
  </si>
  <si>
    <t>Luca Pretorius</t>
  </si>
  <si>
    <t>Nkosinathi Mahlangu</t>
  </si>
  <si>
    <t>INVESTEC PROSPECT PIPELINE DASHBOARD</t>
  </si>
  <si>
    <t>Prospect Analyst  |  FY2025  |  Mock Portfolio Case Study</t>
  </si>
  <si>
    <t>Total Prospects</t>
  </si>
  <si>
    <t>Active Pipeline</t>
  </si>
  <si>
    <t>Conversion Rate</t>
  </si>
  <si>
    <t>Total AUM Potential</t>
  </si>
  <si>
    <t>Avg. Engagement</t>
  </si>
  <si>
    <t>Priority Prospects</t>
  </si>
  <si>
    <t>200</t>
  </si>
  <si>
    <t>142</t>
  </si>
  <si>
    <t>14.5%</t>
  </si>
  <si>
    <t>R 4.2 Billion</t>
  </si>
  <si>
    <t>6.4 / 10</t>
  </si>
  <si>
    <t>38</t>
  </si>
  <si>
    <t>In Database</t>
  </si>
  <si>
    <t>Stages 2–5</t>
  </si>
  <si>
    <t>Won / Qualified</t>
  </si>
  <si>
    <t>Identified Segment</t>
  </si>
  <si>
    <t>Across All Prospects</t>
  </si>
  <si>
    <t>Score ≥ 75</t>
  </si>
  <si>
    <t>PIPELINE STAGE SUMMARY</t>
  </si>
  <si>
    <t>WEALTH SEGMENT BREAKDOWN</t>
  </si>
  <si>
    <t>Stage</t>
  </si>
  <si>
    <t>Count</t>
  </si>
  <si>
    <t>% of Total</t>
  </si>
  <si>
    <t>Avg AUM Potential (R)</t>
  </si>
  <si>
    <t>Conversion Prob</t>
  </si>
  <si>
    <t>Weighted AUM (R)</t>
  </si>
  <si>
    <t>Stage Action</t>
  </si>
  <si>
    <t>Avg AUM (R)</t>
  </si>
  <si>
    <t>Total AUM (R)</t>
  </si>
  <si>
    <t>Win Rate</t>
  </si>
  <si>
    <t>Priority</t>
  </si>
  <si>
    <t>Assign Analyst</t>
  </si>
  <si>
    <t>22%</t>
  </si>
  <si>
    <t>★★★★★</t>
  </si>
  <si>
    <t>Book Discovery Call</t>
  </si>
  <si>
    <t>18%</t>
  </si>
  <si>
    <t>★★★★</t>
  </si>
  <si>
    <t>Share Value Prop</t>
  </si>
  <si>
    <t>15%</t>
  </si>
  <si>
    <t>★★★</t>
  </si>
  <si>
    <t>Follow Up Weekly</t>
  </si>
  <si>
    <t>12%</t>
  </si>
  <si>
    <t>★★</t>
  </si>
  <si>
    <t>Involve Relationship Manager</t>
  </si>
  <si>
    <t>8%</t>
  </si>
  <si>
    <t>★</t>
  </si>
  <si>
    <t>Onboard → Referral Ask</t>
  </si>
  <si>
    <t>Re-engage Next Quarter</t>
  </si>
  <si>
    <t>Archive &amp; Post-mortem</t>
  </si>
  <si>
    <t>TOTAL / WEIGHTED</t>
  </si>
  <si>
    <t>SEGMENT ANALYSIS – PROSPECT INTELLIGENCE BREAKDOWN</t>
  </si>
  <si>
    <t>REFERRAL SOURCE ANALYSIS</t>
  </si>
  <si>
    <t>TOP INDUSTRIES BY AUM POTENTIAL</t>
  </si>
  <si>
    <t>Prospects</t>
  </si>
  <si>
    <t>% Share</t>
  </si>
  <si>
    <t>Avg Score</t>
  </si>
  <si>
    <t>Priority Score</t>
  </si>
  <si>
    <t>MONTHLY PROSPECT CONTACT TREND (FY2025)</t>
  </si>
  <si>
    <t>Month</t>
  </si>
  <si>
    <t>New Prospects</t>
  </si>
  <si>
    <t>Contacts Made</t>
  </si>
  <si>
    <t>Proposals</t>
  </si>
  <si>
    <t>Conversions</t>
  </si>
  <si>
    <t>Jan</t>
  </si>
  <si>
    <t>Feb</t>
  </si>
  <si>
    <t>Mar</t>
  </si>
  <si>
    <t>Apr</t>
  </si>
  <si>
    <t>May</t>
  </si>
  <si>
    <t>Jun</t>
  </si>
  <si>
    <t>Jul</t>
  </si>
  <si>
    <t>Aug</t>
  </si>
  <si>
    <t>Sep</t>
  </si>
  <si>
    <t>Oct</t>
  </si>
  <si>
    <t>Nov</t>
  </si>
  <si>
    <t>Dec</t>
  </si>
  <si>
    <t>TOTAL</t>
  </si>
  <si>
    <t>MODEL ASSUMPTIONS &amp; DATA DICTIONARY</t>
  </si>
  <si>
    <t>SCORING MODEL</t>
  </si>
  <si>
    <t>Net Worth Weight</t>
  </si>
  <si>
    <t>40%</t>
  </si>
  <si>
    <t>Highest weight – primary value indicator for private client revenue</t>
  </si>
  <si>
    <t>Engagement Weight</t>
  </si>
  <si>
    <t>25%</t>
  </si>
  <si>
    <t>Reflects relationship depth and likelihood of conversion</t>
  </si>
  <si>
    <t>Pipeline Stage Weight</t>
  </si>
  <si>
    <t>20%</t>
  </si>
  <si>
    <t>Stage proximity to close</t>
  </si>
  <si>
    <t>Interactions Weight</t>
  </si>
  <si>
    <t>Activity-based signal of interest</t>
  </si>
  <si>
    <t>COMPOSITE SCORE BANDS</t>
  </si>
  <si>
    <t>75–100</t>
  </si>
  <si>
    <t>Priority – Immediate Action</t>
  </si>
  <si>
    <t>Assign senior RM; escalate to Private Banking</t>
  </si>
  <si>
    <t>50–74</t>
  </si>
  <si>
    <t>High Potential – Schedule Meet</t>
  </si>
  <si>
    <t>Book discovery/financial planning session</t>
  </si>
  <si>
    <t>30–49</t>
  </si>
  <si>
    <t>Medium – Nurture</t>
  </si>
  <si>
    <t>Quarterly touchpoints; invite to events</t>
  </si>
  <si>
    <t>15–29</t>
  </si>
  <si>
    <t>Low – Monitor</t>
  </si>
  <si>
    <t>Newsletter / digital only</t>
  </si>
  <si>
    <t>&lt;15</t>
  </si>
  <si>
    <t>Deprioritise</t>
  </si>
  <si>
    <t>Archive; review in 6 months</t>
  </si>
  <si>
    <t>DATA NOTES</t>
  </si>
  <si>
    <t>Data Type</t>
  </si>
  <si>
    <t>Simulated mock data</t>
  </si>
  <si>
    <t>All names, figures and contact dates are fictitious</t>
  </si>
  <si>
    <t>Net Worth</t>
  </si>
  <si>
    <t>Estimated SA wealth tiers</t>
  </si>
  <si>
    <t>Based on publicly available SA HNW market segmentation</t>
  </si>
  <si>
    <t>AUM Potential</t>
  </si>
  <si>
    <t>30%–80% of net worth</t>
  </si>
  <si>
    <t>Proxy for investable assets; subject to qualification call</t>
  </si>
  <si>
    <t>Blended historical proxy</t>
  </si>
  <si>
    <t>Based on industry benchmarks, not Investec proprietary data</t>
  </si>
  <si>
    <t>Currency</t>
  </si>
  <si>
    <t>South African Rand (ZAR / R)</t>
  </si>
  <si>
    <t>All monetary values in ZAR</t>
  </si>
  <si>
    <t>DISCLAIMER</t>
  </si>
  <si>
    <t>This workbook is a portfolio case study created for illustrative purposes only. It does not represent actual Investec data, clients, or internal methodology.</t>
  </si>
  <si>
    <t>Rsik Profile</t>
  </si>
  <si>
    <t xml:space="preserve">province </t>
  </si>
  <si>
    <t xml:space="preserve">Count of province </t>
  </si>
  <si>
    <t>Grand Total</t>
  </si>
  <si>
    <t>Average of No. Interactions</t>
  </si>
  <si>
    <t>Row Labels</t>
  </si>
  <si>
    <t>(blank)</t>
  </si>
  <si>
    <t>Average number of interactions required before a prospect reaches 'Proposal Sent' or 'Won' stage.</t>
  </si>
  <si>
    <t>Average of Estimated Net Worth (R)</t>
  </si>
  <si>
    <t>Prospects in the ''province'' coloumn that are apart of the Balanced ''Risk Profile'' have the highest average estimated net worth of R62 290 750</t>
  </si>
  <si>
    <t>NOTE: This brief and all associated data are simulated for portfolio and training purposes only. No real client, proprietary or confidential Investec information has been used. Analyst: Owami Monaheng  ·  Reviewed by: S. Mthembu  ·  Version 1.0</t>
  </si>
  <si>
    <t>Analyst: Owami Monaheng  |  Date: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</si>
</sst>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R#,##0"/>
    <numFmt numFmtId="165" formatCode="0.0"/>
    <numFmt numFmtId="166" formatCode="0.0%"/>
  </numFmts>
  <fonts count="37" x14ac:knownFonts="1">
    <font>
      <sz val="11"/>
      <color theme="1"/>
      <name val="Calibri"/>
      <family val="2"/>
      <scheme val="minor"/>
    </font>
    <font>
      <b/>
      <sz val="18"/>
      <color rgb="FFC9A84C"/>
      <name val="Arial"/>
      <family val="2"/>
    </font>
    <font>
      <sz val="13"/>
      <color rgb="FFFFFFFF"/>
      <name val="Arial"/>
      <family val="2"/>
    </font>
    <font>
      <sz val="11"/>
      <color rgb="FFD9D9D9"/>
      <name val="Arial"/>
      <family val="2"/>
    </font>
    <font>
      <sz val="10"/>
      <color rgb="FFD9D9D9"/>
      <name val="Arial"/>
      <family val="2"/>
    </font>
    <font>
      <b/>
      <sz val="11"/>
      <color rgb="FF002060"/>
      <name val="Arial"/>
      <family val="2"/>
    </font>
    <font>
      <b/>
      <sz val="10"/>
      <color rgb="FF1F4E79"/>
      <name val="Arial"/>
      <family val="2"/>
    </font>
    <font>
      <sz val="10"/>
      <color rgb="FF404040"/>
      <name val="Arial"/>
      <family val="2"/>
    </font>
    <font>
      <b/>
      <sz val="11"/>
      <color rgb="FFFFFFFF"/>
      <name val="Arial"/>
      <family val="2"/>
    </font>
    <font>
      <sz val="9"/>
      <name val="Arial"/>
      <family val="2"/>
    </font>
    <font>
      <sz val="10"/>
      <name val="Arial"/>
      <family val="2"/>
    </font>
    <font>
      <b/>
      <sz val="10"/>
      <color rgb="FF0000FF"/>
      <name val="Arial"/>
      <family val="2"/>
    </font>
    <font>
      <i/>
      <sz val="9"/>
      <color rgb="FF808080"/>
      <name val="Arial"/>
      <family val="2"/>
    </font>
    <font>
      <b/>
      <sz val="10"/>
      <color rgb="FFFFFFFF"/>
      <name val="Arial"/>
      <family val="2"/>
    </font>
    <font>
      <b/>
      <sz val="9"/>
      <name val="Arial"/>
      <family val="2"/>
    </font>
    <font>
      <sz val="9"/>
      <color rgb="FF0000FF"/>
      <name val="Arial"/>
      <family val="2"/>
    </font>
    <font>
      <b/>
      <sz val="16"/>
      <color rgb="FFFFFFFF"/>
      <name val="Arial"/>
      <family val="2"/>
    </font>
    <font>
      <b/>
      <sz val="9"/>
      <color rgb="FFFFFFFF"/>
      <name val="Arial"/>
      <family val="2"/>
    </font>
    <font>
      <b/>
      <sz val="16"/>
      <color rgb="FF002060"/>
      <name val="Arial"/>
      <family val="2"/>
    </font>
    <font>
      <sz val="8"/>
      <color rgb="FF808080"/>
      <name val="Arial"/>
      <family val="2"/>
    </font>
    <font>
      <b/>
      <sz val="14"/>
      <color rgb="FFFFFFFF"/>
      <name val="Arial"/>
      <family val="2"/>
    </font>
    <font>
      <b/>
      <sz val="13"/>
      <color rgb="FFFFFFFF"/>
      <name val="Arial"/>
      <family val="2"/>
    </font>
    <font>
      <b/>
      <sz val="9"/>
      <color rgb="FF002060"/>
      <name val="Arial"/>
      <family val="2"/>
    </font>
    <font>
      <i/>
      <sz val="9"/>
      <color rgb="FF606060"/>
      <name val="Arial"/>
      <family val="2"/>
    </font>
    <font>
      <b/>
      <sz val="15"/>
      <color rgb="FFFFFFFF"/>
      <name val="Arial"/>
      <family val="2"/>
    </font>
    <font>
      <sz val="10"/>
      <color rgb="FF202020"/>
      <name val="Arial"/>
      <family val="2"/>
    </font>
    <font>
      <b/>
      <sz val="9"/>
      <color rgb="FF202020"/>
      <name val="Arial"/>
      <family val="2"/>
    </font>
    <font>
      <sz val="9"/>
      <color rgb="FF202020"/>
      <name val="Arial"/>
      <family val="2"/>
    </font>
    <font>
      <sz val="9"/>
      <color rgb="FF375623"/>
      <name val="Arial"/>
      <family val="2"/>
    </font>
    <font>
      <sz val="9"/>
      <color rgb="FFC9A84C"/>
      <name val="Arial"/>
      <family val="2"/>
    </font>
    <font>
      <b/>
      <sz val="11"/>
      <color rgb="FF375623"/>
      <name val="Arial"/>
      <family val="2"/>
    </font>
    <font>
      <b/>
      <sz val="11"/>
      <color rgb="FFC9A84C"/>
      <name val="Arial"/>
      <family val="2"/>
    </font>
    <font>
      <i/>
      <sz val="8"/>
      <color rgb="FF808080"/>
      <name val="Arial"/>
      <family val="2"/>
    </font>
    <font>
      <b/>
      <sz val="11"/>
      <color theme="1"/>
      <name val="Calibri"/>
      <family val="2"/>
      <scheme val="minor"/>
    </font>
    <font>
      <b/>
      <sz val="13"/>
      <color theme="1"/>
      <name val="Calibri"/>
      <family val="2"/>
      <scheme val="minor"/>
    </font>
    <font>
      <b/>
      <sz val="14"/>
      <color theme="1"/>
      <name val="Calibri"/>
      <family val="2"/>
      <scheme val="minor"/>
    </font>
    <font>
      <b/>
      <sz val="13"/>
      <color theme="1"/>
      <name val="Arial"/>
      <family val="2"/>
    </font>
  </fonts>
  <fills count="8">
    <fill>
      <patternFill patternType="none"/>
    </fill>
    <fill>
      <patternFill patternType="gray125"/>
    </fill>
    <fill>
      <patternFill patternType="solid">
        <fgColor rgb="FF002060"/>
      </patternFill>
    </fill>
    <fill>
      <patternFill patternType="solid">
        <fgColor rgb="FFC9A84C"/>
      </patternFill>
    </fill>
    <fill>
      <patternFill patternType="solid">
        <fgColor rgb="FFF2F2F2"/>
      </patternFill>
    </fill>
    <fill>
      <patternFill patternType="solid">
        <fgColor rgb="FFFFFFFF"/>
      </patternFill>
    </fill>
    <fill>
      <patternFill patternType="solid">
        <fgColor rgb="FF1F4E79"/>
      </patternFill>
    </fill>
    <fill>
      <patternFill patternType="solid">
        <fgColor theme="6"/>
        <bgColor indexed="64"/>
      </patternFill>
    </fill>
  </fills>
  <borders count="8">
    <border>
      <left/>
      <right/>
      <top/>
      <bottom/>
      <diagonal/>
    </border>
    <border>
      <left/>
      <right/>
      <top/>
      <bottom style="medium">
        <color rgb="FF002060"/>
      </bottom>
      <diagonal/>
    </border>
    <border>
      <left style="thin">
        <color rgb="FFBFBFBF"/>
      </left>
      <right style="thin">
        <color rgb="FFBFBFBF"/>
      </right>
      <top style="thin">
        <color rgb="FFBFBFBF"/>
      </top>
      <bottom style="thin">
        <color rgb="FFBFBFBF"/>
      </bottom>
      <diagonal/>
    </border>
    <border>
      <left/>
      <right/>
      <top/>
      <bottom style="medium">
        <color rgb="FF00206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indexed="64"/>
      </right>
      <top style="thin">
        <color rgb="FFBFBFBF"/>
      </top>
      <bottom style="thin">
        <color rgb="FFBFBFBF"/>
      </bottom>
      <diagonal/>
    </border>
  </borders>
  <cellStyleXfs count="1">
    <xf numFmtId="0" fontId="0" fillId="0" borderId="0"/>
  </cellStyleXfs>
  <cellXfs count="99">
    <xf numFmtId="0" fontId="0" fillId="0" borderId="0" xfId="0"/>
    <xf numFmtId="0" fontId="0" fillId="2" borderId="0" xfId="0" applyFill="1"/>
    <xf numFmtId="0" fontId="0" fillId="3" borderId="0" xfId="0" applyFill="1"/>
    <xf numFmtId="0" fontId="6" fillId="0" borderId="0" xfId="0" applyFont="1" applyAlignment="1">
      <alignment horizontal="left" vertical="center" wrapText="1"/>
    </xf>
    <xf numFmtId="0" fontId="8" fillId="2" borderId="2" xfId="0" applyFont="1" applyFill="1" applyBorder="1" applyAlignment="1">
      <alignment horizontal="center" vertical="center" wrapText="1"/>
    </xf>
    <xf numFmtId="0" fontId="9" fillId="4" borderId="2" xfId="0" applyFont="1" applyFill="1" applyBorder="1" applyAlignment="1">
      <alignment horizontal="left" vertical="center" wrapText="1"/>
    </xf>
    <xf numFmtId="164" fontId="9" fillId="4" borderId="2" xfId="0" applyNumberFormat="1" applyFont="1" applyFill="1" applyBorder="1" applyAlignment="1">
      <alignment horizontal="left" vertical="center" wrapText="1"/>
    </xf>
    <xf numFmtId="9" fontId="9" fillId="4" borderId="2" xfId="0" applyNumberFormat="1" applyFont="1" applyFill="1" applyBorder="1" applyAlignment="1">
      <alignment horizontal="left" vertical="center" wrapText="1"/>
    </xf>
    <xf numFmtId="0" fontId="9" fillId="5" borderId="2" xfId="0" applyFont="1" applyFill="1" applyBorder="1" applyAlignment="1">
      <alignment horizontal="left" vertical="center" wrapText="1"/>
    </xf>
    <xf numFmtId="164" fontId="9" fillId="5" borderId="2" xfId="0" applyNumberFormat="1" applyFont="1" applyFill="1" applyBorder="1" applyAlignment="1">
      <alignment horizontal="left" vertical="center" wrapText="1"/>
    </xf>
    <xf numFmtId="9" fontId="9" fillId="5" borderId="2" xfId="0" applyNumberFormat="1" applyFont="1" applyFill="1" applyBorder="1" applyAlignment="1">
      <alignment horizontal="left" vertical="center" wrapText="1"/>
    </xf>
    <xf numFmtId="0" fontId="10" fillId="4" borderId="2" xfId="0" applyFont="1" applyFill="1" applyBorder="1"/>
    <xf numFmtId="9" fontId="11" fillId="4" borderId="2" xfId="0" applyNumberFormat="1" applyFont="1" applyFill="1" applyBorder="1" applyAlignment="1">
      <alignment horizontal="center" vertical="center" wrapText="1"/>
    </xf>
    <xf numFmtId="0" fontId="12" fillId="0" borderId="2" xfId="0" applyFont="1" applyBorder="1"/>
    <xf numFmtId="0" fontId="11" fillId="4" borderId="2" xfId="0" applyFont="1" applyFill="1" applyBorder="1" applyAlignment="1">
      <alignment horizontal="center" vertical="center" wrapText="1"/>
    </xf>
    <xf numFmtId="0" fontId="13" fillId="6" borderId="2" xfId="0" applyFont="1" applyFill="1" applyBorder="1" applyAlignment="1">
      <alignment horizontal="center" vertical="center" wrapText="1"/>
    </xf>
    <xf numFmtId="165" fontId="14" fillId="5" borderId="2" xfId="0" applyNumberFormat="1" applyFont="1" applyFill="1" applyBorder="1" applyAlignment="1">
      <alignment horizontal="left" vertical="center" wrapText="1"/>
    </xf>
    <xf numFmtId="0" fontId="15" fillId="5" borderId="2" xfId="0" applyFont="1" applyFill="1" applyBorder="1" applyAlignment="1">
      <alignment horizontal="center" vertical="center" wrapText="1"/>
    </xf>
    <xf numFmtId="0" fontId="15" fillId="5" borderId="2" xfId="0" applyFont="1" applyFill="1" applyBorder="1" applyAlignment="1">
      <alignment horizontal="left" vertical="center" wrapText="1"/>
    </xf>
    <xf numFmtId="165" fontId="14" fillId="4" borderId="2" xfId="0" applyNumberFormat="1" applyFont="1" applyFill="1" applyBorder="1" applyAlignment="1">
      <alignment horizontal="left" vertical="center" wrapText="1"/>
    </xf>
    <xf numFmtId="0" fontId="15" fillId="4" borderId="2" xfId="0" applyFont="1" applyFill="1" applyBorder="1" applyAlignment="1">
      <alignment horizontal="center" vertical="center" wrapText="1"/>
    </xf>
    <xf numFmtId="0" fontId="15" fillId="4" borderId="2" xfId="0" applyFont="1" applyFill="1" applyBorder="1" applyAlignment="1">
      <alignment horizontal="left" vertical="center" wrapText="1"/>
    </xf>
    <xf numFmtId="0" fontId="17" fillId="6"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166" fontId="9" fillId="5" borderId="2" xfId="0" applyNumberFormat="1" applyFont="1" applyFill="1" applyBorder="1" applyAlignment="1">
      <alignment horizontal="center" vertical="center" wrapText="1"/>
    </xf>
    <xf numFmtId="164" fontId="9" fillId="5" borderId="2" xfId="0" applyNumberFormat="1" applyFont="1" applyFill="1" applyBorder="1" applyAlignment="1">
      <alignment horizontal="center" vertical="center" wrapText="1"/>
    </xf>
    <xf numFmtId="9" fontId="9" fillId="5" borderId="2" xfId="0" applyNumberFormat="1" applyFont="1" applyFill="1" applyBorder="1" applyAlignment="1">
      <alignment horizontal="center" vertical="center" wrapText="1"/>
    </xf>
    <xf numFmtId="0" fontId="9" fillId="4" borderId="2" xfId="0" applyFont="1" applyFill="1" applyBorder="1" applyAlignment="1">
      <alignment horizontal="center" vertical="center" wrapText="1"/>
    </xf>
    <xf numFmtId="166" fontId="9" fillId="4" borderId="2" xfId="0" applyNumberFormat="1" applyFont="1" applyFill="1" applyBorder="1" applyAlignment="1">
      <alignment horizontal="center" vertical="center" wrapText="1"/>
    </xf>
    <xf numFmtId="164" fontId="9" fillId="4" borderId="2" xfId="0" applyNumberFormat="1" applyFont="1" applyFill="1" applyBorder="1" applyAlignment="1">
      <alignment horizontal="center" vertical="center" wrapText="1"/>
    </xf>
    <xf numFmtId="9" fontId="9" fillId="4" borderId="2" xfId="0" applyNumberFormat="1" applyFont="1" applyFill="1" applyBorder="1" applyAlignment="1">
      <alignment horizontal="center" vertical="center" wrapText="1"/>
    </xf>
    <xf numFmtId="0" fontId="17" fillId="2" borderId="2" xfId="0" applyFont="1" applyFill="1" applyBorder="1" applyAlignment="1">
      <alignment horizontal="center" vertical="center" wrapText="1"/>
    </xf>
    <xf numFmtId="164" fontId="17" fillId="2" borderId="2" xfId="0" applyNumberFormat="1" applyFont="1" applyFill="1" applyBorder="1" applyAlignment="1">
      <alignment horizontal="center" vertical="center" wrapText="1"/>
    </xf>
    <xf numFmtId="0" fontId="22" fillId="5" borderId="2" xfId="0" applyFont="1" applyFill="1" applyBorder="1" applyAlignment="1">
      <alignment horizontal="left" vertical="center" wrapText="1"/>
    </xf>
    <xf numFmtId="0" fontId="23" fillId="5" borderId="2" xfId="0" applyFont="1" applyFill="1" applyBorder="1" applyAlignment="1">
      <alignment horizontal="left" vertical="center" wrapText="1"/>
    </xf>
    <xf numFmtId="0" fontId="22" fillId="4" borderId="2" xfId="0" applyFont="1" applyFill="1" applyBorder="1" applyAlignment="1">
      <alignment horizontal="left" vertical="center" wrapText="1"/>
    </xf>
    <xf numFmtId="0" fontId="23" fillId="4" borderId="2" xfId="0" applyFont="1" applyFill="1" applyBorder="1" applyAlignment="1">
      <alignment horizontal="left" vertical="center" wrapText="1"/>
    </xf>
    <xf numFmtId="0" fontId="13" fillId="6" borderId="2" xfId="0" applyFont="1" applyFill="1" applyBorder="1" applyAlignment="1">
      <alignment horizontal="left" vertical="center"/>
    </xf>
    <xf numFmtId="0" fontId="17" fillId="6" borderId="2" xfId="0" applyFont="1" applyFill="1" applyBorder="1" applyAlignment="1">
      <alignment horizontal="center" vertical="center"/>
    </xf>
    <xf numFmtId="0" fontId="26" fillId="4" borderId="2" xfId="0" applyFont="1" applyFill="1" applyBorder="1" applyAlignment="1">
      <alignment horizontal="center" vertical="center" wrapText="1"/>
    </xf>
    <xf numFmtId="0" fontId="27" fillId="4" borderId="2" xfId="0" applyFont="1" applyFill="1" applyBorder="1" applyAlignment="1">
      <alignment horizontal="left" vertical="center" wrapText="1"/>
    </xf>
    <xf numFmtId="0" fontId="27" fillId="4" borderId="2" xfId="0" applyFont="1" applyFill="1" applyBorder="1" applyAlignment="1">
      <alignment horizontal="center" vertical="center" wrapText="1"/>
    </xf>
    <xf numFmtId="0" fontId="28" fillId="4" borderId="2" xfId="0" applyFont="1" applyFill="1" applyBorder="1" applyAlignment="1">
      <alignment horizontal="center" vertical="center" wrapText="1"/>
    </xf>
    <xf numFmtId="0" fontId="26" fillId="5" borderId="2" xfId="0" applyFont="1" applyFill="1" applyBorder="1" applyAlignment="1">
      <alignment horizontal="center" vertical="center" wrapText="1"/>
    </xf>
    <xf numFmtId="0" fontId="27" fillId="5" borderId="2" xfId="0" applyFont="1" applyFill="1" applyBorder="1" applyAlignment="1">
      <alignment horizontal="left" vertical="center" wrapText="1"/>
    </xf>
    <xf numFmtId="0" fontId="27" fillId="5" borderId="2" xfId="0" applyFont="1" applyFill="1" applyBorder="1" applyAlignment="1">
      <alignment horizontal="center" vertical="center" wrapText="1"/>
    </xf>
    <xf numFmtId="0" fontId="28" fillId="5" borderId="2" xfId="0" applyFont="1" applyFill="1" applyBorder="1" applyAlignment="1">
      <alignment horizontal="center" vertical="center" wrapText="1"/>
    </xf>
    <xf numFmtId="0" fontId="30" fillId="4" borderId="2" xfId="0" applyFont="1" applyFill="1" applyBorder="1" applyAlignment="1">
      <alignment horizontal="center" vertical="center"/>
    </xf>
    <xf numFmtId="0" fontId="30" fillId="5" borderId="2" xfId="0" applyFont="1" applyFill="1" applyBorder="1" applyAlignment="1">
      <alignment horizontal="center" vertical="center"/>
    </xf>
    <xf numFmtId="0" fontId="31" fillId="4" borderId="2" xfId="0" applyFont="1" applyFill="1" applyBorder="1" applyAlignment="1">
      <alignment horizontal="center" vertical="center"/>
    </xf>
    <xf numFmtId="0" fontId="5" fillId="0" borderId="1" xfId="0" applyFont="1" applyBorder="1"/>
    <xf numFmtId="0" fontId="0" fillId="0" borderId="3" xfId="0" applyBorder="1"/>
    <xf numFmtId="0" fontId="3" fillId="2" borderId="0" xfId="0" applyFont="1" applyFill="1" applyAlignment="1">
      <alignment horizontal="center" vertical="center" wrapText="1"/>
    </xf>
    <xf numFmtId="0" fontId="0" fillId="0" borderId="0" xfId="0"/>
    <xf numFmtId="0" fontId="7" fillId="0" borderId="0" xfId="0" applyFont="1" applyAlignment="1">
      <alignment horizontal="left" vertical="center" wrapText="1"/>
    </xf>
    <xf numFmtId="0" fontId="4"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9" fillId="4" borderId="2" xfId="0" applyFont="1" applyFill="1" applyBorder="1" applyAlignment="1">
      <alignment horizontal="left" vertical="center" wrapText="1"/>
    </xf>
    <xf numFmtId="0" fontId="25" fillId="4" borderId="2" xfId="0" applyFont="1" applyFill="1" applyBorder="1" applyAlignment="1">
      <alignment horizontal="left" vertical="center"/>
    </xf>
    <xf numFmtId="0" fontId="0" fillId="0" borderId="4" xfId="0" applyBorder="1"/>
    <xf numFmtId="0" fontId="0" fillId="0" borderId="5" xfId="0" applyBorder="1"/>
    <xf numFmtId="0" fontId="4" fillId="2" borderId="0" xfId="0" applyFont="1" applyFill="1" applyAlignment="1">
      <alignment horizontal="center" vertical="center"/>
    </xf>
    <xf numFmtId="0" fontId="25" fillId="5" borderId="2" xfId="0" applyFont="1" applyFill="1" applyBorder="1" applyAlignment="1">
      <alignment horizontal="left" vertical="center"/>
    </xf>
    <xf numFmtId="0" fontId="9" fillId="5" borderId="2" xfId="0" applyFont="1" applyFill="1" applyBorder="1" applyAlignment="1">
      <alignment horizontal="left" vertical="center" wrapText="1"/>
    </xf>
    <xf numFmtId="0" fontId="24" fillId="2" borderId="0" xfId="0" applyFont="1" applyFill="1" applyAlignment="1">
      <alignment horizontal="center" vertical="center"/>
    </xf>
    <xf numFmtId="0" fontId="25" fillId="4" borderId="2" xfId="0" applyFont="1" applyFill="1" applyBorder="1" applyAlignment="1">
      <alignment horizontal="left" vertical="top" wrapText="1"/>
    </xf>
    <xf numFmtId="0" fontId="8" fillId="2" borderId="2" xfId="0" applyFont="1" applyFill="1" applyBorder="1" applyAlignment="1">
      <alignment horizontal="left" vertical="center"/>
    </xf>
    <xf numFmtId="0" fontId="32" fillId="4" borderId="2" xfId="0" applyFont="1" applyFill="1" applyBorder="1" applyAlignment="1">
      <alignment horizontal="left" vertical="center" wrapText="1"/>
    </xf>
    <xf numFmtId="0" fontId="8" fillId="2" borderId="0" xfId="0" applyFont="1" applyFill="1" applyAlignment="1">
      <alignment horizontal="center" vertical="center" wrapText="1"/>
    </xf>
    <xf numFmtId="0" fontId="19" fillId="4" borderId="0" xfId="0" applyFont="1" applyFill="1" applyAlignment="1">
      <alignment horizontal="center" vertical="center" wrapText="1"/>
    </xf>
    <xf numFmtId="0" fontId="18" fillId="5" borderId="0" xfId="0" applyFont="1" applyFill="1" applyAlignment="1">
      <alignment horizontal="center" vertical="center" wrapText="1"/>
    </xf>
    <xf numFmtId="0" fontId="17" fillId="6" borderId="0" xfId="0" applyFont="1" applyFill="1" applyAlignment="1">
      <alignment horizontal="center" vertical="center" wrapText="1"/>
    </xf>
    <xf numFmtId="0" fontId="16" fillId="2" borderId="0" xfId="0" applyFont="1" applyFill="1" applyAlignment="1">
      <alignment horizontal="center" vertical="center" wrapText="1"/>
    </xf>
    <xf numFmtId="0" fontId="13" fillId="6" borderId="0" xfId="0" applyFont="1" applyFill="1" applyAlignment="1">
      <alignment horizontal="center" vertical="center" wrapText="1"/>
    </xf>
    <xf numFmtId="0" fontId="20" fillId="2" borderId="0" xfId="0" applyFont="1" applyFill="1" applyAlignment="1">
      <alignment horizontal="center" vertical="center" wrapText="1"/>
    </xf>
    <xf numFmtId="0" fontId="13" fillId="6" borderId="2" xfId="0" applyFont="1" applyFill="1" applyBorder="1" applyAlignment="1">
      <alignment horizontal="left" vertical="center" wrapText="1"/>
    </xf>
    <xf numFmtId="0" fontId="21" fillId="2" borderId="0" xfId="0" applyFont="1" applyFill="1" applyAlignment="1">
      <alignment horizontal="center" vertical="center" wrapText="1"/>
    </xf>
    <xf numFmtId="0" fontId="17" fillId="6" borderId="6" xfId="0" applyFont="1" applyFill="1" applyBorder="1" applyAlignment="1">
      <alignment horizontal="center" vertical="center" wrapText="1"/>
    </xf>
    <xf numFmtId="0" fontId="0" fillId="0" borderId="0" xfId="0" applyAlignment="1">
      <alignment horizontal="left"/>
    </xf>
    <xf numFmtId="0" fontId="0" fillId="0" borderId="0" xfId="0" applyNumberFormat="1"/>
    <xf numFmtId="0" fontId="0" fillId="0" borderId="0" xfId="0" pivotButton="1"/>
    <xf numFmtId="0" fontId="33" fillId="0" borderId="0" xfId="0" applyFont="1"/>
    <xf numFmtId="0" fontId="34" fillId="0" borderId="0" xfId="0" applyFont="1"/>
    <xf numFmtId="0" fontId="27" fillId="7" borderId="2" xfId="0" applyFont="1" applyFill="1" applyBorder="1" applyAlignment="1">
      <alignment horizontal="left" vertical="center" wrapText="1"/>
    </xf>
    <xf numFmtId="0" fontId="0" fillId="7" borderId="0" xfId="0" applyFill="1" applyAlignment="1">
      <alignment horizontal="left"/>
    </xf>
    <xf numFmtId="0" fontId="0" fillId="7" borderId="0" xfId="0" applyNumberFormat="1" applyFill="1"/>
    <xf numFmtId="0" fontId="35" fillId="0" borderId="0" xfId="0" applyFont="1"/>
    <xf numFmtId="164" fontId="0" fillId="0" borderId="0" xfId="0" applyNumberFormat="1"/>
    <xf numFmtId="0" fontId="36" fillId="0" borderId="0" xfId="0" applyFont="1"/>
    <xf numFmtId="0" fontId="0" fillId="7" borderId="0" xfId="0" applyFill="1"/>
    <xf numFmtId="164" fontId="0" fillId="7" borderId="0" xfId="0" applyNumberFormat="1" applyFill="1"/>
    <xf numFmtId="0" fontId="9" fillId="7" borderId="2" xfId="0" applyFont="1" applyFill="1" applyBorder="1" applyAlignment="1">
      <alignment horizontal="left" vertical="center" wrapText="1"/>
    </xf>
    <xf numFmtId="0" fontId="14" fillId="7"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0" fillId="0" borderId="0" xfId="0" applyBorder="1"/>
    <xf numFmtId="0" fontId="28" fillId="5" borderId="0" xfId="0" applyFont="1" applyFill="1" applyBorder="1" applyAlignment="1">
      <alignment horizontal="center" vertical="center" wrapText="1"/>
    </xf>
    <xf numFmtId="0" fontId="28" fillId="5" borderId="7" xfId="0" applyFont="1" applyFill="1" applyBorder="1" applyAlignment="1">
      <alignment horizontal="center" vertical="center" wrapText="1"/>
    </xf>
    <xf numFmtId="0" fontId="29" fillId="5" borderId="7" xfId="0" applyFont="1" applyFill="1" applyBorder="1" applyAlignment="1">
      <alignment horizontal="center" vertical="center" wrapText="1"/>
    </xf>
  </cellXfs>
  <cellStyles count="1">
    <cellStyle name="Normal" xfId="0" builtinId="0"/>
  </cellStyles>
  <dxfs count="6">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Prospects by Composite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'Scoring Model'!$J$10</c:f>
              <c:strCache>
                <c:ptCount val="1"/>
                <c:pt idx="0">
                  <c:v>COMPOSITE SCORE</c:v>
                </c:pt>
              </c:strCache>
            </c:strRef>
          </c:tx>
          <c:spPr>
            <a:solidFill>
              <a:schemeClr val="accent1"/>
            </a:solidFill>
            <a:ln>
              <a:noFill/>
            </a:ln>
            <a:effectLst/>
          </c:spPr>
          <c:invertIfNegative val="0"/>
          <c:cat>
            <c:strRef>
              <c:f>'Scoring Model'!$C$11:$C$20</c:f>
              <c:strCache>
                <c:ptCount val="10"/>
                <c:pt idx="0">
                  <c:v>Lerato Zwane</c:v>
                </c:pt>
                <c:pt idx="1">
                  <c:v>Nomvula Zwane</c:v>
                </c:pt>
                <c:pt idx="2">
                  <c:v>Kyle Botha</c:v>
                </c:pt>
                <c:pt idx="3">
                  <c:v>Kyle Meyer</c:v>
                </c:pt>
                <c:pt idx="4">
                  <c:v>Stefan Ndlovu</c:v>
                </c:pt>
                <c:pt idx="5">
                  <c:v>Sarah Jacobs</c:v>
                </c:pt>
                <c:pt idx="6">
                  <c:v>Ayasha Jacobs</c:v>
                </c:pt>
                <c:pt idx="7">
                  <c:v>Sipho Pretorius</c:v>
                </c:pt>
                <c:pt idx="8">
                  <c:v>David Jacobs</c:v>
                </c:pt>
                <c:pt idx="9">
                  <c:v>Kyle Zwane</c:v>
                </c:pt>
              </c:strCache>
            </c:strRef>
          </c:cat>
          <c:val>
            <c:numRef>
              <c:f>'Scoring Model'!$J$11:$J$20</c:f>
              <c:numCache>
                <c:formatCode>0.0</c:formatCode>
                <c:ptCount val="10"/>
                <c:pt idx="0">
                  <c:v>95.7</c:v>
                </c:pt>
                <c:pt idx="1">
                  <c:v>89.4</c:v>
                </c:pt>
                <c:pt idx="2">
                  <c:v>80.900000000000006</c:v>
                </c:pt>
                <c:pt idx="3">
                  <c:v>79.7</c:v>
                </c:pt>
                <c:pt idx="4">
                  <c:v>79.400000000000006</c:v>
                </c:pt>
                <c:pt idx="5">
                  <c:v>78.5</c:v>
                </c:pt>
                <c:pt idx="6">
                  <c:v>78.3</c:v>
                </c:pt>
                <c:pt idx="7">
                  <c:v>78.2</c:v>
                </c:pt>
                <c:pt idx="8">
                  <c:v>77.099999999999994</c:v>
                </c:pt>
                <c:pt idx="9">
                  <c:v>76.599999999999994</c:v>
                </c:pt>
              </c:numCache>
            </c:numRef>
          </c:val>
          <c:extLst>
            <c:ext xmlns:c16="http://schemas.microsoft.com/office/drawing/2014/chart" uri="{C3380CC4-5D6E-409C-BE32-E72D297353CC}">
              <c16:uniqueId val="{00000000-0C45-8F4E-8EC9-B47F6220FF12}"/>
            </c:ext>
          </c:extLst>
        </c:ser>
        <c:dLbls>
          <c:showLegendKey val="0"/>
          <c:showVal val="0"/>
          <c:showCatName val="0"/>
          <c:showSerName val="0"/>
          <c:showPercent val="0"/>
          <c:showBubbleSize val="0"/>
        </c:dLbls>
        <c:gapWidth val="182"/>
        <c:axId val="1674475280"/>
        <c:axId val="1674476992"/>
      </c:barChart>
      <c:catAx>
        <c:axId val="167447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76992"/>
        <c:crosses val="autoZero"/>
        <c:auto val="1"/>
        <c:lblAlgn val="ctr"/>
        <c:lblOffset val="100"/>
        <c:noMultiLvlLbl val="0"/>
      </c:catAx>
      <c:valAx>
        <c:axId val="167447699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75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effectLst/>
              </a:rPr>
              <a:t>Pipeline Stage Distribution – Count of Prospects per Stage</a:t>
            </a:r>
            <a:r>
              <a:rPr lang="en-ZA" sz="1400" b="0" i="0" u="none" strike="noStrike"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'Pipeline Dashboard'!$C$12</c:f>
              <c:strCache>
                <c:ptCount val="1"/>
                <c:pt idx="0">
                  <c:v>Count</c:v>
                </c:pt>
              </c:strCache>
            </c:strRef>
          </c:tx>
          <c:spPr>
            <a:solidFill>
              <a:schemeClr val="accent1"/>
            </a:solidFill>
            <a:ln>
              <a:noFill/>
            </a:ln>
            <a:effectLst/>
          </c:spPr>
          <c:invertIfNegative val="0"/>
          <c:cat>
            <c:strRef>
              <c:f>'Pipeline Dashboard'!$B$13:$B$20</c:f>
              <c:strCache>
                <c:ptCount val="8"/>
                <c:pt idx="0">
                  <c:v>Identified</c:v>
                </c:pt>
                <c:pt idx="1">
                  <c:v>Qualified</c:v>
                </c:pt>
                <c:pt idx="2">
                  <c:v>Engaged</c:v>
                </c:pt>
                <c:pt idx="3">
                  <c:v>Proposal Sent</c:v>
                </c:pt>
                <c:pt idx="4">
                  <c:v>Negotiation</c:v>
                </c:pt>
                <c:pt idx="5">
                  <c:v>Won</c:v>
                </c:pt>
                <c:pt idx="6">
                  <c:v>On Hold</c:v>
                </c:pt>
                <c:pt idx="7">
                  <c:v>Lost</c:v>
                </c:pt>
              </c:strCache>
            </c:strRef>
          </c:cat>
          <c:val>
            <c:numRef>
              <c:f>'Pipeline Dashboard'!$C$13:$C$20</c:f>
              <c:numCache>
                <c:formatCode>General</c:formatCode>
                <c:ptCount val="8"/>
                <c:pt idx="0">
                  <c:v>28</c:v>
                </c:pt>
                <c:pt idx="1">
                  <c:v>35</c:v>
                </c:pt>
                <c:pt idx="2">
                  <c:v>42</c:v>
                </c:pt>
                <c:pt idx="3">
                  <c:v>22</c:v>
                </c:pt>
                <c:pt idx="4">
                  <c:v>15</c:v>
                </c:pt>
                <c:pt idx="5">
                  <c:v>29</c:v>
                </c:pt>
                <c:pt idx="6">
                  <c:v>18</c:v>
                </c:pt>
                <c:pt idx="7">
                  <c:v>11</c:v>
                </c:pt>
              </c:numCache>
            </c:numRef>
          </c:val>
          <c:extLst>
            <c:ext xmlns:c16="http://schemas.microsoft.com/office/drawing/2014/chart" uri="{C3380CC4-5D6E-409C-BE32-E72D297353CC}">
              <c16:uniqueId val="{00000000-C21D-0A45-B651-A6CDB3318042}"/>
            </c:ext>
          </c:extLst>
        </c:ser>
        <c:dLbls>
          <c:showLegendKey val="0"/>
          <c:showVal val="0"/>
          <c:showCatName val="0"/>
          <c:showSerName val="0"/>
          <c:showPercent val="0"/>
          <c:showBubbleSize val="0"/>
        </c:dLbls>
        <c:gapWidth val="182"/>
        <c:axId val="1996454528"/>
        <c:axId val="1571868624"/>
      </c:barChart>
      <c:catAx>
        <c:axId val="199645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868624"/>
        <c:crosses val="autoZero"/>
        <c:auto val="1"/>
        <c:lblAlgn val="ctr"/>
        <c:lblOffset val="100"/>
        <c:noMultiLvlLbl val="0"/>
      </c:catAx>
      <c:valAx>
        <c:axId val="157186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54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'Pipeline Dashboard'!$M$12</c:f>
              <c:strCache>
                <c:ptCount val="1"/>
                <c:pt idx="0">
                  <c:v>Avg AUM (R)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'Pipeline Dashboard'!$K$13:$K$17</c:f>
              <c:strCache>
                <c:ptCount val="5"/>
                <c:pt idx="0">
                  <c:v>Ultra HNW (R50m+)</c:v>
                </c:pt>
                <c:pt idx="1">
                  <c:v>HNW (R10m–R50m)</c:v>
                </c:pt>
                <c:pt idx="2">
                  <c:v>Emerging HNW (R5m–R10m)</c:v>
                </c:pt>
                <c:pt idx="3">
                  <c:v>Affluent (R2m–R5m)</c:v>
                </c:pt>
                <c:pt idx="4">
                  <c:v>Mass Affluent (&lt;R2m)</c:v>
                </c:pt>
              </c:strCache>
            </c:strRef>
          </c:cat>
          <c:val>
            <c:numRef>
              <c:f>'Pipeline Dashboard'!$M$13:$M$17</c:f>
              <c:numCache>
                <c:formatCode>\R#\ ##0</c:formatCode>
                <c:ptCount val="5"/>
                <c:pt idx="0">
                  <c:v>280000000</c:v>
                </c:pt>
                <c:pt idx="1">
                  <c:v>52000000</c:v>
                </c:pt>
                <c:pt idx="2">
                  <c:v>18000000</c:v>
                </c:pt>
                <c:pt idx="3">
                  <c:v>6500000</c:v>
                </c:pt>
                <c:pt idx="4">
                  <c:v>1200000</c:v>
                </c:pt>
              </c:numCache>
            </c:numRef>
          </c:val>
          <c:extLst>
            <c:ext xmlns:c16="http://schemas.microsoft.com/office/drawing/2014/chart" uri="{C3380CC4-5D6E-409C-BE32-E72D297353CC}">
              <c16:uniqueId val="{00000000-F66E-9443-BEFC-6884A8B0434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'Segment Analysis'!$J$5</c:f>
              <c:strCache>
                <c:ptCount val="1"/>
                <c:pt idx="0">
                  <c:v>Total AUM (R)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'Segment Analysis'!$H$6:$H$15</c:f>
              <c:strCache>
                <c:ptCount val="10"/>
                <c:pt idx="0">
                  <c:v>Financial Services</c:v>
                </c:pt>
                <c:pt idx="1">
                  <c:v>Mining &amp; Resources</c:v>
                </c:pt>
                <c:pt idx="2">
                  <c:v>Real Estate</c:v>
                </c:pt>
                <c:pt idx="3">
                  <c:v>Technology</c:v>
                </c:pt>
                <c:pt idx="4">
                  <c:v>Healthcare</c:v>
                </c:pt>
                <c:pt idx="5">
                  <c:v>Legal</c:v>
                </c:pt>
                <c:pt idx="6">
                  <c:v>Consulting</c:v>
                </c:pt>
                <c:pt idx="7">
                  <c:v>Manufacturing</c:v>
                </c:pt>
                <c:pt idx="8">
                  <c:v>Retail</c:v>
                </c:pt>
                <c:pt idx="9">
                  <c:v>Agriculture</c:v>
                </c:pt>
              </c:strCache>
            </c:strRef>
          </c:cat>
          <c:val>
            <c:numRef>
              <c:f>'Segment Analysis'!$J$6:$J$15</c:f>
              <c:numCache>
                <c:formatCode>\R#\ ##0</c:formatCode>
                <c:ptCount val="10"/>
                <c:pt idx="0">
                  <c:v>820000000</c:v>
                </c:pt>
                <c:pt idx="1">
                  <c:v>650000000</c:v>
                </c:pt>
                <c:pt idx="2">
                  <c:v>480000000</c:v>
                </c:pt>
                <c:pt idx="3">
                  <c:v>310000000</c:v>
                </c:pt>
                <c:pt idx="4">
                  <c:v>290000000</c:v>
                </c:pt>
                <c:pt idx="5">
                  <c:v>220000000</c:v>
                </c:pt>
                <c:pt idx="6">
                  <c:v>190000000</c:v>
                </c:pt>
                <c:pt idx="7">
                  <c:v>150000000</c:v>
                </c:pt>
                <c:pt idx="8">
                  <c:v>120000000</c:v>
                </c:pt>
                <c:pt idx="9">
                  <c:v>90000000</c:v>
                </c:pt>
              </c:numCache>
            </c:numRef>
          </c:val>
          <c:extLst>
            <c:ext xmlns:c16="http://schemas.microsoft.com/office/drawing/2014/chart" uri="{C3380CC4-5D6E-409C-BE32-E72D297353CC}">
              <c16:uniqueId val="{00000000-33A4-734F-9A3A-6A5906EE919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Referral Source vs Average Score &amp; Win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'Segment Analysis'!$E$5</c:f>
              <c:strCache>
                <c:ptCount val="1"/>
                <c:pt idx="0">
                  <c:v>Avg Score</c:v>
                </c:pt>
              </c:strCache>
            </c:strRef>
          </c:tx>
          <c:spPr>
            <a:solidFill>
              <a:schemeClr val="accent1"/>
            </a:solidFill>
            <a:ln>
              <a:noFill/>
            </a:ln>
            <a:effectLst/>
          </c:spPr>
          <c:invertIfNegative val="0"/>
          <c:cat>
            <c:strRef>
              <c:f>'Segment Analysis'!$B$6:$B$13</c:f>
              <c:strCache>
                <c:ptCount val="8"/>
                <c:pt idx="0">
                  <c:v>Referral – Existing Client</c:v>
                </c:pt>
                <c:pt idx="1">
                  <c:v>Private Banking Referral</c:v>
                </c:pt>
                <c:pt idx="2">
                  <c:v>Broker Network</c:v>
                </c:pt>
                <c:pt idx="3">
                  <c:v>Events &amp; Seminars</c:v>
                </c:pt>
                <c:pt idx="4">
                  <c:v>LinkedIn Outreach</c:v>
                </c:pt>
                <c:pt idx="5">
                  <c:v>Digital Campaign</c:v>
                </c:pt>
                <c:pt idx="6">
                  <c:v>Executive Search Firm</c:v>
                </c:pt>
                <c:pt idx="7">
                  <c:v>Cold Outreach</c:v>
                </c:pt>
              </c:strCache>
            </c:strRef>
          </c:cat>
          <c:val>
            <c:numRef>
              <c:f>'Segment Analysis'!$E$6:$E$13</c:f>
              <c:numCache>
                <c:formatCode>General</c:formatCode>
                <c:ptCount val="8"/>
                <c:pt idx="0">
                  <c:v>72.3</c:v>
                </c:pt>
                <c:pt idx="1">
                  <c:v>68.5</c:v>
                </c:pt>
                <c:pt idx="2">
                  <c:v>61.2</c:v>
                </c:pt>
                <c:pt idx="3">
                  <c:v>58.7</c:v>
                </c:pt>
                <c:pt idx="4">
                  <c:v>49.3</c:v>
                </c:pt>
                <c:pt idx="5">
                  <c:v>44.1</c:v>
                </c:pt>
                <c:pt idx="6">
                  <c:v>55.8</c:v>
                </c:pt>
                <c:pt idx="7">
                  <c:v>31.2</c:v>
                </c:pt>
              </c:numCache>
            </c:numRef>
          </c:val>
          <c:extLst>
            <c:ext xmlns:c16="http://schemas.microsoft.com/office/drawing/2014/chart" uri="{C3380CC4-5D6E-409C-BE32-E72D297353CC}">
              <c16:uniqueId val="{00000000-55A8-8749-8BB4-B4A35DB5B04C}"/>
            </c:ext>
          </c:extLst>
        </c:ser>
        <c:ser>
          <c:idx val="1"/>
          <c:order val="1"/>
          <c:tx>
            <c:strRef>
              <c:f>'Segment Analysis'!$F$5</c:f>
              <c:strCache>
                <c:ptCount val="1"/>
                <c:pt idx="0">
                  <c:v>Win Rate</c:v>
                </c:pt>
              </c:strCache>
            </c:strRef>
          </c:tx>
          <c:spPr>
            <a:solidFill>
              <a:schemeClr val="accent2"/>
            </a:solidFill>
            <a:ln>
              <a:noFill/>
            </a:ln>
            <a:effectLst/>
          </c:spPr>
          <c:invertIfNegative val="0"/>
          <c:cat>
            <c:strRef>
              <c:f>'Segment Analysis'!$B$6:$B$13</c:f>
              <c:strCache>
                <c:ptCount val="8"/>
                <c:pt idx="0">
                  <c:v>Referral – Existing Client</c:v>
                </c:pt>
                <c:pt idx="1">
                  <c:v>Private Banking Referral</c:v>
                </c:pt>
                <c:pt idx="2">
                  <c:v>Broker Network</c:v>
                </c:pt>
                <c:pt idx="3">
                  <c:v>Events &amp; Seminars</c:v>
                </c:pt>
                <c:pt idx="4">
                  <c:v>LinkedIn Outreach</c:v>
                </c:pt>
                <c:pt idx="5">
                  <c:v>Digital Campaign</c:v>
                </c:pt>
                <c:pt idx="6">
                  <c:v>Executive Search Firm</c:v>
                </c:pt>
                <c:pt idx="7">
                  <c:v>Cold Outreach</c:v>
                </c:pt>
              </c:strCache>
            </c:strRef>
          </c:cat>
          <c:val>
            <c:numRef>
              <c:f>'Segment Analysis'!$F$6:$F$13</c:f>
              <c:numCache>
                <c:formatCode>0.0%</c:formatCode>
                <c:ptCount val="8"/>
                <c:pt idx="0">
                  <c:v>0.24</c:v>
                </c:pt>
                <c:pt idx="1">
                  <c:v>0.21</c:v>
                </c:pt>
                <c:pt idx="2">
                  <c:v>0.17</c:v>
                </c:pt>
                <c:pt idx="3">
                  <c:v>0.15</c:v>
                </c:pt>
                <c:pt idx="4">
                  <c:v>0.1</c:v>
                </c:pt>
                <c:pt idx="5">
                  <c:v>0.08</c:v>
                </c:pt>
                <c:pt idx="6">
                  <c:v>0.13</c:v>
                </c:pt>
                <c:pt idx="7">
                  <c:v>0.04</c:v>
                </c:pt>
              </c:numCache>
            </c:numRef>
          </c:val>
          <c:extLst>
            <c:ext xmlns:c16="http://schemas.microsoft.com/office/drawing/2014/chart" uri="{C3380CC4-5D6E-409C-BE32-E72D297353CC}">
              <c16:uniqueId val="{00000001-55A8-8749-8BB4-B4A35DB5B04C}"/>
            </c:ext>
          </c:extLst>
        </c:ser>
        <c:dLbls>
          <c:showLegendKey val="0"/>
          <c:showVal val="0"/>
          <c:showCatName val="0"/>
          <c:showSerName val="0"/>
          <c:showPercent val="0"/>
          <c:showBubbleSize val="0"/>
        </c:dLbls>
        <c:gapWidth val="219"/>
        <c:overlap val="-27"/>
        <c:axId val="1603573120"/>
        <c:axId val="1520747616"/>
      </c:barChart>
      <c:catAx>
        <c:axId val="160357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47616"/>
        <c:crosses val="autoZero"/>
        <c:auto val="1"/>
        <c:lblAlgn val="ctr"/>
        <c:lblOffset val="100"/>
        <c:noMultiLvlLbl val="0"/>
      </c:catAx>
      <c:valAx>
        <c:axId val="152074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573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 Contact Activity Trend (FY2025)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'Segment Analysis'!$C$19</c:f>
              <c:strCache>
                <c:ptCount val="1"/>
                <c:pt idx="0">
                  <c:v>New Prospects</c:v>
                </c:pt>
              </c:strCache>
            </c:strRef>
          </c:tx>
          <c:spPr>
            <a:ln w="28575" cap="rnd">
              <a:solidFill>
                <a:schemeClr val="accent1"/>
              </a:solidFill>
              <a:round/>
            </a:ln>
            <a:effectLst/>
          </c:spPr>
          <c:marker>
            <c:symbol val="none"/>
          </c:marker>
          <c:cat>
            <c:strRef>
              <c:f>'Segment Analysis'!$B$20:$B$31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'Segment Analysis'!$C$20:$C$31</c:f>
              <c:numCache>
                <c:formatCode>General</c:formatCode>
                <c:ptCount val="12"/>
                <c:pt idx="0">
                  <c:v>19</c:v>
                </c:pt>
                <c:pt idx="1">
                  <c:v>24</c:v>
                </c:pt>
                <c:pt idx="2">
                  <c:v>17</c:v>
                </c:pt>
                <c:pt idx="3">
                  <c:v>25</c:v>
                </c:pt>
                <c:pt idx="4">
                  <c:v>24</c:v>
                </c:pt>
                <c:pt idx="5">
                  <c:v>10</c:v>
                </c:pt>
                <c:pt idx="6">
                  <c:v>27</c:v>
                </c:pt>
                <c:pt idx="7">
                  <c:v>11</c:v>
                </c:pt>
                <c:pt idx="8">
                  <c:v>23</c:v>
                </c:pt>
                <c:pt idx="9">
                  <c:v>16</c:v>
                </c:pt>
                <c:pt idx="10">
                  <c:v>16</c:v>
                </c:pt>
                <c:pt idx="11">
                  <c:v>20</c:v>
                </c:pt>
              </c:numCache>
            </c:numRef>
          </c:val>
          <c:smooth val="0"/>
          <c:extLst>
            <c:ext xmlns:c16="http://schemas.microsoft.com/office/drawing/2014/chart" uri="{C3380CC4-5D6E-409C-BE32-E72D297353CC}">
              <c16:uniqueId val="{00000000-8870-4842-9DCB-134A081BA562}"/>
            </c:ext>
          </c:extLst>
        </c:ser>
        <c:ser>
          <c:idx val="1"/>
          <c:order val="1"/>
          <c:tx>
            <c:strRef>
              <c:f>'Segment Analysis'!$D$19</c:f>
              <c:strCache>
                <c:ptCount val="1"/>
                <c:pt idx="0">
                  <c:v>Contacts Made</c:v>
                </c:pt>
              </c:strCache>
            </c:strRef>
          </c:tx>
          <c:spPr>
            <a:ln w="28575" cap="rnd">
              <a:solidFill>
                <a:schemeClr val="accent2"/>
              </a:solidFill>
              <a:round/>
            </a:ln>
            <a:effectLst/>
          </c:spPr>
          <c:marker>
            <c:symbol val="none"/>
          </c:marker>
          <c:cat>
            <c:strRef>
              <c:f>'Segment Analysis'!$B$20:$B$31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'Segment Analysis'!$D$20:$D$31</c:f>
              <c:numCache>
                <c:formatCode>General</c:formatCode>
                <c:ptCount val="12"/>
                <c:pt idx="0">
                  <c:v>62</c:v>
                </c:pt>
                <c:pt idx="1">
                  <c:v>51</c:v>
                </c:pt>
                <c:pt idx="2">
                  <c:v>59</c:v>
                </c:pt>
                <c:pt idx="3">
                  <c:v>75</c:v>
                </c:pt>
                <c:pt idx="4">
                  <c:v>37</c:v>
                </c:pt>
                <c:pt idx="5">
                  <c:v>51</c:v>
                </c:pt>
                <c:pt idx="6">
                  <c:v>63</c:v>
                </c:pt>
                <c:pt idx="7">
                  <c:v>40</c:v>
                </c:pt>
                <c:pt idx="8">
                  <c:v>36</c:v>
                </c:pt>
                <c:pt idx="9">
                  <c:v>42</c:v>
                </c:pt>
                <c:pt idx="10">
                  <c:v>59</c:v>
                </c:pt>
                <c:pt idx="11">
                  <c:v>36</c:v>
                </c:pt>
              </c:numCache>
            </c:numRef>
          </c:val>
          <c:smooth val="0"/>
          <c:extLst>
            <c:ext xmlns:c16="http://schemas.microsoft.com/office/drawing/2014/chart" uri="{C3380CC4-5D6E-409C-BE32-E72D297353CC}">
              <c16:uniqueId val="{00000001-8870-4842-9DCB-134A081BA562}"/>
            </c:ext>
          </c:extLst>
        </c:ser>
        <c:ser>
          <c:idx val="2"/>
          <c:order val="2"/>
          <c:tx>
            <c:strRef>
              <c:f>'Segment Analysis'!$E$19</c:f>
              <c:strCache>
                <c:ptCount val="1"/>
                <c:pt idx="0">
                  <c:v>Proposals</c:v>
                </c:pt>
              </c:strCache>
            </c:strRef>
          </c:tx>
          <c:spPr>
            <a:ln w="28575" cap="rnd">
              <a:solidFill>
                <a:schemeClr val="accent3"/>
              </a:solidFill>
              <a:round/>
            </a:ln>
            <a:effectLst/>
          </c:spPr>
          <c:marker>
            <c:symbol val="none"/>
          </c:marker>
          <c:cat>
            <c:strRef>
              <c:f>'Segment Analysis'!$B$20:$B$31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'Segment Analysis'!$E$20:$E$31</c:f>
              <c:numCache>
                <c:formatCode>General</c:formatCode>
                <c:ptCount val="12"/>
                <c:pt idx="0">
                  <c:v>13</c:v>
                </c:pt>
                <c:pt idx="1">
                  <c:v>10</c:v>
                </c:pt>
                <c:pt idx="2">
                  <c:v>10</c:v>
                </c:pt>
                <c:pt idx="3">
                  <c:v>15</c:v>
                </c:pt>
                <c:pt idx="4">
                  <c:v>6</c:v>
                </c:pt>
                <c:pt idx="5">
                  <c:v>10</c:v>
                </c:pt>
                <c:pt idx="6">
                  <c:v>10</c:v>
                </c:pt>
                <c:pt idx="7">
                  <c:v>12</c:v>
                </c:pt>
                <c:pt idx="8">
                  <c:v>9</c:v>
                </c:pt>
                <c:pt idx="9">
                  <c:v>6</c:v>
                </c:pt>
                <c:pt idx="10">
                  <c:v>18</c:v>
                </c:pt>
                <c:pt idx="11">
                  <c:v>17</c:v>
                </c:pt>
              </c:numCache>
            </c:numRef>
          </c:val>
          <c:smooth val="0"/>
          <c:extLst>
            <c:ext xmlns:c16="http://schemas.microsoft.com/office/drawing/2014/chart" uri="{C3380CC4-5D6E-409C-BE32-E72D297353CC}">
              <c16:uniqueId val="{00000002-8870-4842-9DCB-134A081BA562}"/>
            </c:ext>
          </c:extLst>
        </c:ser>
        <c:dLbls>
          <c:showLegendKey val="0"/>
          <c:showVal val="0"/>
          <c:showCatName val="0"/>
          <c:showSerName val="0"/>
          <c:showPercent val="0"/>
          <c:showBubbleSize val="0"/>
        </c:dLbls>
        <c:smooth val="0"/>
        <c:axId val="1568974480"/>
        <c:axId val="1587473360"/>
      </c:lineChart>
      <c:catAx>
        <c:axId val="156897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473360"/>
        <c:crosses val="autoZero"/>
        <c:auto val="1"/>
        <c:lblAlgn val="ctr"/>
        <c:lblOffset val="100"/>
        <c:noMultiLvlLbl val="0"/>
      </c:catAx>
      <c:valAx>
        <c:axId val="158747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74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Composite Score Distribution – All 200 Prospects</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Composite Score Distribution – All 200 Prospects</a:t>
          </a:r>
        </a:p>
      </cx:txPr>
    </cx:title>
    <cx:plotArea>
      <cx:plotAreaRegion>
        <cx:series layoutId="clusteredColumn" uniqueId="{05D395B4-99CE-9141-BC96-458DA74FC90D}">
          <cx:tx>
            <cx:txData>
              <cx:f>_xlchart.v1.7</cx:f>
              <cx:v>COMPOSITE SCORE</cx:v>
            </cx:txData>
          </cx:tx>
          <cx:dataPt idx="7">
            <cx:spPr>
              <a:solidFill>
                <a:srgbClr val="9BBB59"/>
              </a:solidFill>
            </cx:spPr>
          </cx:dataPt>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Weighted AUM (R)</cx:v>
        </cx:txData>
      </cx:tx>
      <cx:txPr>
        <a:bodyPr rot="0" spcFirstLastPara="1" vertOverflow="ellipsis" vert="horz" wrap="square" lIns="38100" tIns="19050" rIns="38100" bIns="19050" anchor="ctr" anchorCtr="1" compatLnSpc="0"/>
        <a:lstStyle/>
        <a:p>
          <a:pPr algn="ctr" rtl="0">
            <a:defRPr sz="1400" b="0" i="0" u="none" strike="noStrike" baseline="0">
              <a:solidFill>
                <a:sysClr val="windowText" lastClr="000000">
                  <a:lumMod val="65000"/>
                  <a:lumOff val="35000"/>
                </a:sysClr>
              </a:solidFill>
              <a:latin typeface="+mn-lt"/>
              <a:ea typeface="+mn-ea"/>
              <a:cs typeface="+mn-cs"/>
            </a:defRPr>
          </a:pPr>
          <a:r>
            <a:rPr kumimoji="0" lang="en-US" sz="1400" b="0" i="0" u="none" strike="noStrike" kern="0" cap="none" spc="0" normalizeH="0" baseline="0" noProof="0">
              <a:ln>
                <a:noFill/>
              </a:ln>
              <a:solidFill>
                <a:sysClr val="windowText" lastClr="000000">
                  <a:lumMod val="65000"/>
                  <a:lumOff val="35000"/>
                </a:sysClr>
              </a:solidFill>
              <a:effectLst/>
              <a:uLnTx/>
              <a:uFillTx/>
              <a:latin typeface="Calibri"/>
            </a:rPr>
            <a:t>Weighted AUM (R)</a:t>
          </a:r>
        </a:p>
      </cx:txPr>
    </cx:title>
    <cx:plotArea>
      <cx:plotAreaRegion>
        <cx:series layoutId="sunburst" uniqueId="{1070FBA5-6E70-CB45-9CA5-6601F6AFABDF}">
          <cx:tx>
            <cx:txData>
              <cx:f>_xlchart.v1.10</cx:f>
              <cx:v>Weighted AUM (R)</cx:v>
            </cx:txData>
          </cx:tx>
          <cx:dataLabels pos="outEnd">
            <cx:visibility seriesName="0" categoryName="0" value="1"/>
          </cx:dataLabels>
          <cx:dataId val="0"/>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data id="1">
      <cx:strDim type="cat">
        <cx:f>_xlchart.v1.12</cx:f>
      </cx:strDim>
      <cx:numDim type="size">
        <cx:f>_xlchart.v1.16</cx:f>
      </cx:numDim>
    </cx:data>
  </cx:chartData>
  <cx:chart>
    <cx:title pos="t" align="ctr" overlay="0">
      <cx:tx>
        <cx:txData>
          <cx:v>Chart Title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GB" sz="1400" b="0" i="0" u="none" strike="noStrike" kern="1200" cap="none" spc="0" normalizeH="0" baseline="0" noProof="0">
              <a:ln>
                <a:noFill/>
              </a:ln>
              <a:solidFill>
                <a:sysClr val="windowText" lastClr="000000">
                  <a:lumMod val="65000"/>
                  <a:lumOff val="35000"/>
                </a:sysClr>
              </a:solidFill>
              <a:effectLst/>
              <a:uLnTx/>
              <a:uFillTx/>
              <a:latin typeface="Calibri"/>
            </a:rPr>
            <a:t>Chart Title</a:t>
          </a:r>
        </a:p>
      </cx:txPr>
    </cx:title>
    <cx:plotArea>
      <cx:plotAreaRegion>
        <cx:series layoutId="treemap" uniqueId="{CC1614BA-FA2C-804F-B487-25C187BC2038}" formatIdx="0">
          <cx:tx>
            <cx:txData>
              <cx:f>_xlchart.v1.13</cx:f>
              <cx:v>Total AUM (R)</cx:v>
            </cx:txData>
          </cx:tx>
          <cx:dataId val="0"/>
          <cx:layoutPr/>
        </cx:series>
        <cx:series layoutId="treemap" hidden="1" uniqueId="{924CA228-C110-A047-B918-3AACE2F3AE3E}" formatIdx="1">
          <cx:tx>
            <cx:txData>
              <cx:f>_xlchart.v1.15</cx:f>
              <cx:v>Avg AUM (R)</cx:v>
            </cx:txData>
          </cx:tx>
          <cx:dataId val="1"/>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11</xdr:col>
      <xdr:colOff>0</xdr:colOff>
      <xdr:row>1</xdr:row>
      <xdr:rowOff>0</xdr:rowOff>
    </xdr:from>
    <xdr:to>
      <xdr:col>16</xdr:col>
      <xdr:colOff>156234</xdr:colOff>
      <xdr:row>7</xdr:row>
      <xdr:rowOff>363658</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5E99AB56-5B5D-A446-92B1-FFDC218E2F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072299" y="394138"/>
              <a:ext cx="4520946" cy="272848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414575</xdr:colOff>
      <xdr:row>0</xdr:row>
      <xdr:rowOff>387424</xdr:rowOff>
    </xdr:from>
    <xdr:to>
      <xdr:col>23</xdr:col>
      <xdr:colOff>286115</xdr:colOff>
      <xdr:row>7</xdr:row>
      <xdr:rowOff>371658</xdr:rowOff>
    </xdr:to>
    <xdr:graphicFrame macro="">
      <xdr:nvGraphicFramePr>
        <xdr:cNvPr id="7" name="Chart 6">
          <a:extLst>
            <a:ext uri="{FF2B5EF4-FFF2-40B4-BE49-F238E27FC236}">
              <a16:creationId xmlns:a16="http://schemas.microsoft.com/office/drawing/2014/main" id="{5F8BD24C-A1F5-3BA5-0895-845BA8688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141633</xdr:rowOff>
    </xdr:from>
    <xdr:to>
      <xdr:col>5</xdr:col>
      <xdr:colOff>73715</xdr:colOff>
      <xdr:row>38</xdr:row>
      <xdr:rowOff>54113</xdr:rowOff>
    </xdr:to>
    <xdr:graphicFrame macro="">
      <xdr:nvGraphicFramePr>
        <xdr:cNvPr id="3" name="Chart 2">
          <a:extLst>
            <a:ext uri="{FF2B5EF4-FFF2-40B4-BE49-F238E27FC236}">
              <a16:creationId xmlns:a16="http://schemas.microsoft.com/office/drawing/2014/main" id="{67BD8912-C8D3-DD71-877E-6143FED71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1035050</xdr:colOff>
      <xdr:row>18</xdr:row>
      <xdr:rowOff>38100</xdr:rowOff>
    </xdr:from>
    <xdr:to>
      <xdr:col>13</xdr:col>
      <xdr:colOff>882650</xdr:colOff>
      <xdr:row>32</xdr:row>
      <xdr:rowOff>114300</xdr:rowOff>
    </xdr:to>
    <xdr:graphicFrame macro="">
      <xdr:nvGraphicFramePr>
        <xdr:cNvPr id="6" name="Chart 5">
          <a:extLst>
            <a:ext uri="{FF2B5EF4-FFF2-40B4-BE49-F238E27FC236}">
              <a16:creationId xmlns:a16="http://schemas.microsoft.com/office/drawing/2014/main" id="{8B45CB90-6104-12EE-E70F-DAEE4BF3D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196850</xdr:colOff>
      <xdr:row>21</xdr:row>
      <xdr:rowOff>139700</xdr:rowOff>
    </xdr:from>
    <xdr:to>
      <xdr:col>8</xdr:col>
      <xdr:colOff>654050</xdr:colOff>
      <xdr:row>36</xdr:row>
      <xdr:rowOff>25400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C0F59A7F-386F-EB93-5BE9-EC60343FEF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692650" y="490220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668867</xdr:colOff>
      <xdr:row>15</xdr:row>
      <xdr:rowOff>71966</xdr:rowOff>
    </xdr:from>
    <xdr:to>
      <xdr:col>10</xdr:col>
      <xdr:colOff>753534</xdr:colOff>
      <xdr:row>29</xdr:row>
      <xdr:rowOff>88900</xdr:rowOff>
    </xdr:to>
    <xdr:graphicFrame macro="">
      <xdr:nvGraphicFramePr>
        <xdr:cNvPr id="2" name="Chart 1">
          <a:extLst>
            <a:ext uri="{FF2B5EF4-FFF2-40B4-BE49-F238E27FC236}">
              <a16:creationId xmlns:a16="http://schemas.microsoft.com/office/drawing/2014/main" id="{418416FE-D4C1-E651-3259-F08A37211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663701</xdr:colOff>
      <xdr:row>29</xdr:row>
      <xdr:rowOff>180312</xdr:rowOff>
    </xdr:from>
    <xdr:to>
      <xdr:col>10</xdr:col>
      <xdr:colOff>752242</xdr:colOff>
      <xdr:row>44</xdr:row>
      <xdr:rowOff>3517</xdr:rowOff>
    </xdr:to>
    <xdr:graphicFrame macro="">
      <xdr:nvGraphicFramePr>
        <xdr:cNvPr id="4" name="Chart 3">
          <a:extLst>
            <a:ext uri="{FF2B5EF4-FFF2-40B4-BE49-F238E27FC236}">
              <a16:creationId xmlns:a16="http://schemas.microsoft.com/office/drawing/2014/main" id="{D9FDD074-9E1F-05FE-CFBF-26CA34116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673746</xdr:colOff>
      <xdr:row>44</xdr:row>
      <xdr:rowOff>92130</xdr:rowOff>
    </xdr:from>
    <xdr:to>
      <xdr:col>10</xdr:col>
      <xdr:colOff>757695</xdr:colOff>
      <xdr:row>58</xdr:row>
      <xdr:rowOff>123126</xdr:rowOff>
    </xdr:to>
    <xdr:graphicFrame macro="">
      <xdr:nvGraphicFramePr>
        <xdr:cNvPr id="5" name="Chart 4">
          <a:extLst>
            <a:ext uri="{FF2B5EF4-FFF2-40B4-BE49-F238E27FC236}">
              <a16:creationId xmlns:a16="http://schemas.microsoft.com/office/drawing/2014/main" id="{ABE2616A-BED0-57A6-C482-1ECAA7779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1393</xdr:colOff>
      <xdr:row>15</xdr:row>
      <xdr:rowOff>73010</xdr:rowOff>
    </xdr:from>
    <xdr:to>
      <xdr:col>17</xdr:col>
      <xdr:colOff>133965</xdr:colOff>
      <xdr:row>29</xdr:row>
      <xdr:rowOff>104006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B6CF71A-2B4B-F661-DA1F-849C4D5D50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252099" y="3061245"/>
              <a:ext cx="4555160" cy="275029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14</xdr:row>
      <xdr:rowOff>5621</xdr:rowOff>
    </xdr:from>
    <xdr:to>
      <xdr:col>7</xdr:col>
      <xdr:colOff>5620</xdr:colOff>
      <xdr:row>23</xdr:row>
      <xdr:rowOff>11239</xdr:rowOff>
    </xdr:to>
    <xdr:sp macro="" textlink="">
      <xdr:nvSpPr>
        <xdr:cNvPr id="2" name="TextBox 1">
          <a:extLst>
            <a:ext uri="{FF2B5EF4-FFF2-40B4-BE49-F238E27FC236}">
              <a16:creationId xmlns:a16="http://schemas.microsoft.com/office/drawing/2014/main" id="{2E331DD3-DCE1-4289-0469-CF028752383F}"/>
            </a:ext>
          </a:extLst>
        </xdr:cNvPr>
        <xdr:cNvSpPr txBox="1"/>
      </xdr:nvSpPr>
      <xdr:spPr>
        <a:xfrm>
          <a:off x="4012301" y="2871550"/>
          <a:ext cx="3461593" cy="1725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average number of interactions required for prospects</a:t>
          </a:r>
          <a:r>
            <a:rPr lang="en-GB" sz="1100" baseline="0"/>
            <a:t> to reach ''Proposal Sent'' stautus is </a:t>
          </a:r>
          <a:r>
            <a:rPr lang="en-ZA" sz="1100" b="0" i="0" u="none" strike="noStrike">
              <a:solidFill>
                <a:schemeClr val="dk1"/>
              </a:solidFill>
              <a:effectLst/>
              <a:latin typeface="+mn-lt"/>
              <a:ea typeface="+mn-ea"/>
              <a:cs typeface="+mn-cs"/>
            </a:rPr>
            <a:t>6,804878049</a:t>
          </a:r>
          <a:r>
            <a:rPr lang="en-ZA"/>
            <a:t> and ''Won" is </a:t>
          </a:r>
          <a:r>
            <a:rPr lang="en-ZA" sz="1100" b="0" i="0" u="none" strike="noStrike">
              <a:solidFill>
                <a:schemeClr val="dk1"/>
              </a:solidFill>
              <a:effectLst/>
              <a:latin typeface="+mn-lt"/>
              <a:ea typeface="+mn-ea"/>
              <a:cs typeface="+mn-cs"/>
            </a:rPr>
            <a:t>6,6.</a:t>
          </a:r>
        </a:p>
        <a:p>
          <a:r>
            <a:rPr lang="en-ZA" sz="1100" b="0" i="0" u="none" strike="noStrike">
              <a:solidFill>
                <a:schemeClr val="dk1"/>
              </a:solidFill>
              <a:effectLst/>
              <a:latin typeface="+mn-lt"/>
              <a:ea typeface="+mn-ea"/>
              <a:cs typeface="+mn-cs"/>
            </a:rPr>
            <a:t>"The data suggests a minimum of 6 structured interactions should be built into every prospect journey. Early disengagement (&lt; 5 interactions) is the strongest predictor of loss. The RM team should implement a 6-touch cadence framework before classifying any prospect as inactive."</a:t>
          </a:r>
          <a:endParaRPr lang="en-GB" sz="1100"/>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Investec_Prospect_Analyst_Portfolio-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0.73137361111" createdVersion="8" refreshedVersion="8" minRefreshableVersion="3" recordCount="200" xr:uid="{3A5FC020-A502-2E43-B2BC-D22D87D1FE89}">
  <cacheSource type="worksheet">
    <worksheetSource ref="A1:B201" sheet="Sheet2" r:id="rId2"/>
  </cacheSource>
  <cacheFields count="2">
    <cacheField name="Province" numFmtId="0">
      <sharedItems count="6">
        <s v="Gauteng"/>
        <s v="Eastern Cape"/>
        <s v="Western Cape"/>
        <s v="Mpumalanga"/>
        <s v="Free State"/>
        <s v="KwaZulu-Natal"/>
      </sharedItems>
    </cacheField>
    <cacheField name="province " numFmtId="0">
      <sharedItems count="5">
        <s v="Affluent (R2m–R5m)"/>
        <s v="Emerging HNW (R5m–R10m)"/>
        <s v="Mass Affluent (&lt;R2m)"/>
        <s v="Ultra HNW (R50m+)"/>
        <s v="HNW (R10m–R50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0.748795833337" createdVersion="8" refreshedVersion="8" minRefreshableVersion="3" recordCount="201" xr:uid="{C78CD71A-A278-2044-A058-A36AB2FBBEE4}">
  <cacheSource type="worksheet">
    <worksheetSource ref="A1:B1048576" sheet="Average calc + written finding"/>
  </cacheSource>
  <cacheFields count="2">
    <cacheField name="Pipeline Stage" numFmtId="0">
      <sharedItems containsBlank="1" count="9">
        <s v="Proposal Sent"/>
        <s v="Won"/>
        <s v="On Hold"/>
        <s v="Qualified"/>
        <s v="Engaged"/>
        <s v="Identified"/>
        <s v="Negotiation"/>
        <s v="Lost"/>
        <m/>
      </sharedItems>
    </cacheField>
    <cacheField name="No. Interactions" numFmtId="0">
      <sharedItems containsString="0" containsBlank="1" containsNumber="1" containsInteger="1" minValue="1" maxValue="12" count="13">
        <n v="1"/>
        <n v="2"/>
        <n v="4"/>
        <n v="5"/>
        <n v="6"/>
        <n v="10"/>
        <n v="7"/>
        <n v="3"/>
        <n v="11"/>
        <n v="9"/>
        <n v="12"/>
        <n v="8"/>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1.137991435186" createdVersion="8" refreshedVersion="8" minRefreshableVersion="3" recordCount="200" xr:uid="{1A2507B7-ED27-8349-B028-E160E57F104F}">
  <cacheSource type="worksheet">
    <worksheetSource ref="A1:U201" sheet="Prospect Data"/>
  </cacheSource>
  <cacheFields count="21">
    <cacheField name="Prospect ID" numFmtId="0">
      <sharedItems/>
    </cacheField>
    <cacheField name="First Name" numFmtId="0">
      <sharedItems/>
    </cacheField>
    <cacheField name="Last Name" numFmtId="0">
      <sharedItems/>
    </cacheField>
    <cacheField name="Age" numFmtId="0">
      <sharedItems containsSemiMixedTypes="0" containsString="0" containsNumber="1" containsInteger="1" minValue="35" maxValue="72"/>
    </cacheField>
    <cacheField name="Gender" numFmtId="0">
      <sharedItems/>
    </cacheField>
    <cacheField name="Province" numFmtId="0">
      <sharedItems/>
    </cacheField>
    <cacheField name="Occupation" numFmtId="0">
      <sharedItems/>
    </cacheField>
    <cacheField name="Industry" numFmtId="0">
      <sharedItems/>
    </cacheField>
    <cacheField name="Estimated Net Worth (R)" numFmtId="164">
      <sharedItems containsSemiMixedTypes="0" containsString="0" containsNumber="1" containsInteger="1" minValue="542000" maxValue="499677000"/>
    </cacheField>
    <cacheField name="province " numFmtId="0">
      <sharedItems count="5">
        <s v="Affluent (R2m–R5m)"/>
        <s v="Emerging HNW (R5m–R10m)"/>
        <s v="Mass Affluent (&lt;R2m)"/>
        <s v="Ultra HNW (R50m+)"/>
        <s v="HNW (R10m–R50m)"/>
      </sharedItems>
    </cacheField>
    <cacheField name="Referral Source" numFmtId="0">
      <sharedItems/>
    </cacheField>
    <cacheField name="First Contact Date" numFmtId="0">
      <sharedItems/>
    </cacheField>
    <cacheField name="Last Interaction Date" numFmtId="0">
      <sharedItems/>
    </cacheField>
    <cacheField name="No. Interactions" numFmtId="0">
      <sharedItems containsSemiMixedTypes="0" containsString="0" containsNumber="1" containsInteger="1" minValue="1" maxValue="12"/>
    </cacheField>
    <cacheField name="Products Discussed" numFmtId="0">
      <sharedItems/>
    </cacheField>
    <cacheField name="Engagement Score (1-10)" numFmtId="0">
      <sharedItems containsSemiMixedTypes="0" containsString="0" containsNumber="1" containsInteger="1" minValue="2" maxValue="10"/>
    </cacheField>
    <cacheField name="Risk Profile" numFmtId="0">
      <sharedItems count="4">
        <s v="Moderate"/>
        <s v="Aggressive"/>
        <s v="Conservative"/>
        <s v="Balanced"/>
      </sharedItems>
    </cacheField>
    <cacheField name="Pipeline Stage" numFmtId="0">
      <sharedItems/>
    </cacheField>
    <cacheField name="Probability (%)" numFmtId="9">
      <sharedItems containsSemiMixedTypes="0" containsString="0" containsNumber="1" minValue="0" maxValue="1"/>
    </cacheField>
    <cacheField name="Estimated AUM Potential (R)" numFmtId="164">
      <sharedItems containsSemiMixedTypes="0" containsString="0" containsNumber="1" containsInteger="1" minValue="187000" maxValue="298001000"/>
    </cacheField>
    <cacheField name="Not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r>
  <r>
    <x v="0"/>
    <x v="0"/>
  </r>
  <r>
    <x v="0"/>
    <x v="0"/>
  </r>
  <r>
    <x v="0"/>
    <x v="1"/>
  </r>
  <r>
    <x v="1"/>
    <x v="0"/>
  </r>
  <r>
    <x v="2"/>
    <x v="1"/>
  </r>
  <r>
    <x v="3"/>
    <x v="2"/>
  </r>
  <r>
    <x v="4"/>
    <x v="3"/>
  </r>
  <r>
    <x v="5"/>
    <x v="1"/>
  </r>
  <r>
    <x v="1"/>
    <x v="4"/>
  </r>
  <r>
    <x v="2"/>
    <x v="0"/>
  </r>
  <r>
    <x v="0"/>
    <x v="3"/>
  </r>
  <r>
    <x v="0"/>
    <x v="0"/>
  </r>
  <r>
    <x v="1"/>
    <x v="3"/>
  </r>
  <r>
    <x v="0"/>
    <x v="1"/>
  </r>
  <r>
    <x v="0"/>
    <x v="1"/>
  </r>
  <r>
    <x v="0"/>
    <x v="1"/>
  </r>
  <r>
    <x v="0"/>
    <x v="1"/>
  </r>
  <r>
    <x v="1"/>
    <x v="3"/>
  </r>
  <r>
    <x v="0"/>
    <x v="4"/>
  </r>
  <r>
    <x v="5"/>
    <x v="1"/>
  </r>
  <r>
    <x v="2"/>
    <x v="4"/>
  </r>
  <r>
    <x v="0"/>
    <x v="1"/>
  </r>
  <r>
    <x v="2"/>
    <x v="1"/>
  </r>
  <r>
    <x v="4"/>
    <x v="4"/>
  </r>
  <r>
    <x v="2"/>
    <x v="3"/>
  </r>
  <r>
    <x v="2"/>
    <x v="0"/>
  </r>
  <r>
    <x v="0"/>
    <x v="4"/>
  </r>
  <r>
    <x v="0"/>
    <x v="4"/>
  </r>
  <r>
    <x v="0"/>
    <x v="4"/>
  </r>
  <r>
    <x v="2"/>
    <x v="2"/>
  </r>
  <r>
    <x v="0"/>
    <x v="0"/>
  </r>
  <r>
    <x v="5"/>
    <x v="0"/>
  </r>
  <r>
    <x v="0"/>
    <x v="1"/>
  </r>
  <r>
    <x v="0"/>
    <x v="4"/>
  </r>
  <r>
    <x v="5"/>
    <x v="4"/>
  </r>
  <r>
    <x v="1"/>
    <x v="1"/>
  </r>
  <r>
    <x v="3"/>
    <x v="0"/>
  </r>
  <r>
    <x v="0"/>
    <x v="4"/>
  </r>
  <r>
    <x v="5"/>
    <x v="0"/>
  </r>
  <r>
    <x v="5"/>
    <x v="2"/>
  </r>
  <r>
    <x v="0"/>
    <x v="1"/>
  </r>
  <r>
    <x v="0"/>
    <x v="3"/>
  </r>
  <r>
    <x v="0"/>
    <x v="2"/>
  </r>
  <r>
    <x v="2"/>
    <x v="1"/>
  </r>
  <r>
    <x v="4"/>
    <x v="0"/>
  </r>
  <r>
    <x v="3"/>
    <x v="4"/>
  </r>
  <r>
    <x v="0"/>
    <x v="0"/>
  </r>
  <r>
    <x v="0"/>
    <x v="1"/>
  </r>
  <r>
    <x v="0"/>
    <x v="1"/>
  </r>
  <r>
    <x v="5"/>
    <x v="1"/>
  </r>
  <r>
    <x v="0"/>
    <x v="3"/>
  </r>
  <r>
    <x v="5"/>
    <x v="1"/>
  </r>
  <r>
    <x v="2"/>
    <x v="4"/>
  </r>
  <r>
    <x v="0"/>
    <x v="4"/>
  </r>
  <r>
    <x v="2"/>
    <x v="1"/>
  </r>
  <r>
    <x v="5"/>
    <x v="1"/>
  </r>
  <r>
    <x v="0"/>
    <x v="3"/>
  </r>
  <r>
    <x v="1"/>
    <x v="1"/>
  </r>
  <r>
    <x v="0"/>
    <x v="1"/>
  </r>
  <r>
    <x v="4"/>
    <x v="4"/>
  </r>
  <r>
    <x v="0"/>
    <x v="1"/>
  </r>
  <r>
    <x v="0"/>
    <x v="4"/>
  </r>
  <r>
    <x v="1"/>
    <x v="0"/>
  </r>
  <r>
    <x v="2"/>
    <x v="4"/>
  </r>
  <r>
    <x v="0"/>
    <x v="0"/>
  </r>
  <r>
    <x v="0"/>
    <x v="3"/>
  </r>
  <r>
    <x v="0"/>
    <x v="1"/>
  </r>
  <r>
    <x v="0"/>
    <x v="1"/>
  </r>
  <r>
    <x v="5"/>
    <x v="4"/>
  </r>
  <r>
    <x v="0"/>
    <x v="1"/>
  </r>
  <r>
    <x v="2"/>
    <x v="1"/>
  </r>
  <r>
    <x v="0"/>
    <x v="1"/>
  </r>
  <r>
    <x v="0"/>
    <x v="2"/>
  </r>
  <r>
    <x v="0"/>
    <x v="4"/>
  </r>
  <r>
    <x v="2"/>
    <x v="4"/>
  </r>
  <r>
    <x v="0"/>
    <x v="1"/>
  </r>
  <r>
    <x v="0"/>
    <x v="1"/>
  </r>
  <r>
    <x v="0"/>
    <x v="0"/>
  </r>
  <r>
    <x v="0"/>
    <x v="1"/>
  </r>
  <r>
    <x v="5"/>
    <x v="2"/>
  </r>
  <r>
    <x v="5"/>
    <x v="3"/>
  </r>
  <r>
    <x v="0"/>
    <x v="4"/>
  </r>
  <r>
    <x v="3"/>
    <x v="4"/>
  </r>
  <r>
    <x v="5"/>
    <x v="3"/>
  </r>
  <r>
    <x v="0"/>
    <x v="4"/>
  </r>
  <r>
    <x v="3"/>
    <x v="1"/>
  </r>
  <r>
    <x v="1"/>
    <x v="0"/>
  </r>
  <r>
    <x v="2"/>
    <x v="4"/>
  </r>
  <r>
    <x v="2"/>
    <x v="4"/>
  </r>
  <r>
    <x v="1"/>
    <x v="1"/>
  </r>
  <r>
    <x v="0"/>
    <x v="4"/>
  </r>
  <r>
    <x v="0"/>
    <x v="4"/>
  </r>
  <r>
    <x v="0"/>
    <x v="1"/>
  </r>
  <r>
    <x v="2"/>
    <x v="1"/>
  </r>
  <r>
    <x v="2"/>
    <x v="1"/>
  </r>
  <r>
    <x v="2"/>
    <x v="3"/>
  </r>
  <r>
    <x v="2"/>
    <x v="1"/>
  </r>
  <r>
    <x v="2"/>
    <x v="0"/>
  </r>
  <r>
    <x v="5"/>
    <x v="1"/>
  </r>
  <r>
    <x v="3"/>
    <x v="4"/>
  </r>
  <r>
    <x v="4"/>
    <x v="2"/>
  </r>
  <r>
    <x v="0"/>
    <x v="4"/>
  </r>
  <r>
    <x v="5"/>
    <x v="4"/>
  </r>
  <r>
    <x v="4"/>
    <x v="3"/>
  </r>
  <r>
    <x v="0"/>
    <x v="1"/>
  </r>
  <r>
    <x v="0"/>
    <x v="0"/>
  </r>
  <r>
    <x v="0"/>
    <x v="2"/>
  </r>
  <r>
    <x v="4"/>
    <x v="0"/>
  </r>
  <r>
    <x v="1"/>
    <x v="1"/>
  </r>
  <r>
    <x v="2"/>
    <x v="2"/>
  </r>
  <r>
    <x v="0"/>
    <x v="1"/>
  </r>
  <r>
    <x v="1"/>
    <x v="0"/>
  </r>
  <r>
    <x v="2"/>
    <x v="0"/>
  </r>
  <r>
    <x v="2"/>
    <x v="0"/>
  </r>
  <r>
    <x v="2"/>
    <x v="1"/>
  </r>
  <r>
    <x v="0"/>
    <x v="4"/>
  </r>
  <r>
    <x v="2"/>
    <x v="4"/>
  </r>
  <r>
    <x v="4"/>
    <x v="4"/>
  </r>
  <r>
    <x v="0"/>
    <x v="1"/>
  </r>
  <r>
    <x v="2"/>
    <x v="1"/>
  </r>
  <r>
    <x v="0"/>
    <x v="4"/>
  </r>
  <r>
    <x v="0"/>
    <x v="1"/>
  </r>
  <r>
    <x v="5"/>
    <x v="1"/>
  </r>
  <r>
    <x v="2"/>
    <x v="3"/>
  </r>
  <r>
    <x v="5"/>
    <x v="0"/>
  </r>
  <r>
    <x v="0"/>
    <x v="1"/>
  </r>
  <r>
    <x v="5"/>
    <x v="4"/>
  </r>
  <r>
    <x v="0"/>
    <x v="2"/>
  </r>
  <r>
    <x v="5"/>
    <x v="2"/>
  </r>
  <r>
    <x v="0"/>
    <x v="0"/>
  </r>
  <r>
    <x v="2"/>
    <x v="1"/>
  </r>
  <r>
    <x v="0"/>
    <x v="1"/>
  </r>
  <r>
    <x v="0"/>
    <x v="1"/>
  </r>
  <r>
    <x v="0"/>
    <x v="1"/>
  </r>
  <r>
    <x v="0"/>
    <x v="1"/>
  </r>
  <r>
    <x v="0"/>
    <x v="4"/>
  </r>
  <r>
    <x v="0"/>
    <x v="1"/>
  </r>
  <r>
    <x v="1"/>
    <x v="0"/>
  </r>
  <r>
    <x v="5"/>
    <x v="1"/>
  </r>
  <r>
    <x v="0"/>
    <x v="0"/>
  </r>
  <r>
    <x v="0"/>
    <x v="4"/>
  </r>
  <r>
    <x v="2"/>
    <x v="4"/>
  </r>
  <r>
    <x v="1"/>
    <x v="4"/>
  </r>
  <r>
    <x v="0"/>
    <x v="1"/>
  </r>
  <r>
    <x v="5"/>
    <x v="0"/>
  </r>
  <r>
    <x v="0"/>
    <x v="0"/>
  </r>
  <r>
    <x v="4"/>
    <x v="0"/>
  </r>
  <r>
    <x v="5"/>
    <x v="0"/>
  </r>
  <r>
    <x v="2"/>
    <x v="1"/>
  </r>
  <r>
    <x v="0"/>
    <x v="1"/>
  </r>
  <r>
    <x v="5"/>
    <x v="3"/>
  </r>
  <r>
    <x v="2"/>
    <x v="4"/>
  </r>
  <r>
    <x v="2"/>
    <x v="4"/>
  </r>
  <r>
    <x v="1"/>
    <x v="4"/>
  </r>
  <r>
    <x v="5"/>
    <x v="3"/>
  </r>
  <r>
    <x v="0"/>
    <x v="1"/>
  </r>
  <r>
    <x v="0"/>
    <x v="1"/>
  </r>
  <r>
    <x v="4"/>
    <x v="4"/>
  </r>
  <r>
    <x v="0"/>
    <x v="3"/>
  </r>
  <r>
    <x v="3"/>
    <x v="0"/>
  </r>
  <r>
    <x v="0"/>
    <x v="2"/>
  </r>
  <r>
    <x v="0"/>
    <x v="4"/>
  </r>
  <r>
    <x v="2"/>
    <x v="2"/>
  </r>
  <r>
    <x v="1"/>
    <x v="4"/>
  </r>
  <r>
    <x v="0"/>
    <x v="2"/>
  </r>
  <r>
    <x v="0"/>
    <x v="0"/>
  </r>
  <r>
    <x v="0"/>
    <x v="0"/>
  </r>
  <r>
    <x v="0"/>
    <x v="4"/>
  </r>
  <r>
    <x v="0"/>
    <x v="4"/>
  </r>
  <r>
    <x v="5"/>
    <x v="4"/>
  </r>
  <r>
    <x v="0"/>
    <x v="1"/>
  </r>
  <r>
    <x v="0"/>
    <x v="1"/>
  </r>
  <r>
    <x v="2"/>
    <x v="4"/>
  </r>
  <r>
    <x v="0"/>
    <x v="1"/>
  </r>
  <r>
    <x v="3"/>
    <x v="0"/>
  </r>
  <r>
    <x v="2"/>
    <x v="1"/>
  </r>
  <r>
    <x v="2"/>
    <x v="4"/>
  </r>
  <r>
    <x v="3"/>
    <x v="4"/>
  </r>
  <r>
    <x v="5"/>
    <x v="0"/>
  </r>
  <r>
    <x v="0"/>
    <x v="4"/>
  </r>
  <r>
    <x v="0"/>
    <x v="0"/>
  </r>
  <r>
    <x v="0"/>
    <x v="1"/>
  </r>
  <r>
    <x v="3"/>
    <x v="0"/>
  </r>
  <r>
    <x v="0"/>
    <x v="0"/>
  </r>
  <r>
    <x v="0"/>
    <x v="0"/>
  </r>
  <r>
    <x v="0"/>
    <x v="1"/>
  </r>
  <r>
    <x v="4"/>
    <x v="4"/>
  </r>
  <r>
    <x v="2"/>
    <x v="1"/>
  </r>
  <r>
    <x v="5"/>
    <x v="4"/>
  </r>
  <r>
    <x v="5"/>
    <x v="3"/>
  </r>
  <r>
    <x v="2"/>
    <x v="0"/>
  </r>
  <r>
    <x v="0"/>
    <x v="1"/>
  </r>
  <r>
    <x v="0"/>
    <x v="2"/>
  </r>
  <r>
    <x v="2"/>
    <x v="1"/>
  </r>
  <r>
    <x v="0"/>
    <x v="4"/>
  </r>
  <r>
    <x v="3"/>
    <x v="1"/>
  </r>
  <r>
    <x v="0"/>
    <x v="0"/>
  </r>
  <r>
    <x v="0"/>
    <x v="0"/>
  </r>
  <r>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r>
  <r>
    <x v="1"/>
    <x v="1"/>
  </r>
  <r>
    <x v="2"/>
    <x v="2"/>
  </r>
  <r>
    <x v="3"/>
    <x v="3"/>
  </r>
  <r>
    <x v="4"/>
    <x v="2"/>
  </r>
  <r>
    <x v="1"/>
    <x v="0"/>
  </r>
  <r>
    <x v="0"/>
    <x v="2"/>
  </r>
  <r>
    <x v="2"/>
    <x v="1"/>
  </r>
  <r>
    <x v="0"/>
    <x v="4"/>
  </r>
  <r>
    <x v="1"/>
    <x v="5"/>
  </r>
  <r>
    <x v="3"/>
    <x v="4"/>
  </r>
  <r>
    <x v="2"/>
    <x v="6"/>
  </r>
  <r>
    <x v="5"/>
    <x v="5"/>
  </r>
  <r>
    <x v="6"/>
    <x v="5"/>
  </r>
  <r>
    <x v="0"/>
    <x v="5"/>
  </r>
  <r>
    <x v="2"/>
    <x v="1"/>
  </r>
  <r>
    <x v="1"/>
    <x v="3"/>
  </r>
  <r>
    <x v="3"/>
    <x v="3"/>
  </r>
  <r>
    <x v="2"/>
    <x v="7"/>
  </r>
  <r>
    <x v="2"/>
    <x v="8"/>
  </r>
  <r>
    <x v="4"/>
    <x v="0"/>
  </r>
  <r>
    <x v="0"/>
    <x v="6"/>
  </r>
  <r>
    <x v="6"/>
    <x v="8"/>
  </r>
  <r>
    <x v="1"/>
    <x v="2"/>
  </r>
  <r>
    <x v="0"/>
    <x v="9"/>
  </r>
  <r>
    <x v="4"/>
    <x v="1"/>
  </r>
  <r>
    <x v="2"/>
    <x v="0"/>
  </r>
  <r>
    <x v="5"/>
    <x v="5"/>
  </r>
  <r>
    <x v="7"/>
    <x v="1"/>
  </r>
  <r>
    <x v="0"/>
    <x v="10"/>
  </r>
  <r>
    <x v="0"/>
    <x v="8"/>
  </r>
  <r>
    <x v="4"/>
    <x v="11"/>
  </r>
  <r>
    <x v="4"/>
    <x v="2"/>
  </r>
  <r>
    <x v="4"/>
    <x v="0"/>
  </r>
  <r>
    <x v="6"/>
    <x v="1"/>
  </r>
  <r>
    <x v="4"/>
    <x v="7"/>
  </r>
  <r>
    <x v="0"/>
    <x v="11"/>
  </r>
  <r>
    <x v="0"/>
    <x v="11"/>
  </r>
  <r>
    <x v="3"/>
    <x v="10"/>
  </r>
  <r>
    <x v="5"/>
    <x v="8"/>
  </r>
  <r>
    <x v="5"/>
    <x v="0"/>
  </r>
  <r>
    <x v="4"/>
    <x v="8"/>
  </r>
  <r>
    <x v="4"/>
    <x v="6"/>
  </r>
  <r>
    <x v="0"/>
    <x v="5"/>
  </r>
  <r>
    <x v="2"/>
    <x v="9"/>
  </r>
  <r>
    <x v="4"/>
    <x v="11"/>
  </r>
  <r>
    <x v="0"/>
    <x v="11"/>
  </r>
  <r>
    <x v="2"/>
    <x v="3"/>
  </r>
  <r>
    <x v="6"/>
    <x v="8"/>
  </r>
  <r>
    <x v="3"/>
    <x v="6"/>
  </r>
  <r>
    <x v="7"/>
    <x v="3"/>
  </r>
  <r>
    <x v="1"/>
    <x v="8"/>
  </r>
  <r>
    <x v="2"/>
    <x v="5"/>
  </r>
  <r>
    <x v="1"/>
    <x v="1"/>
  </r>
  <r>
    <x v="0"/>
    <x v="8"/>
  </r>
  <r>
    <x v="4"/>
    <x v="1"/>
  </r>
  <r>
    <x v="7"/>
    <x v="11"/>
  </r>
  <r>
    <x v="0"/>
    <x v="7"/>
  </r>
  <r>
    <x v="3"/>
    <x v="4"/>
  </r>
  <r>
    <x v="5"/>
    <x v="8"/>
  </r>
  <r>
    <x v="2"/>
    <x v="11"/>
  </r>
  <r>
    <x v="1"/>
    <x v="7"/>
  </r>
  <r>
    <x v="0"/>
    <x v="5"/>
  </r>
  <r>
    <x v="4"/>
    <x v="5"/>
  </r>
  <r>
    <x v="3"/>
    <x v="6"/>
  </r>
  <r>
    <x v="4"/>
    <x v="3"/>
  </r>
  <r>
    <x v="6"/>
    <x v="4"/>
  </r>
  <r>
    <x v="3"/>
    <x v="5"/>
  </r>
  <r>
    <x v="5"/>
    <x v="4"/>
  </r>
  <r>
    <x v="0"/>
    <x v="8"/>
  </r>
  <r>
    <x v="5"/>
    <x v="3"/>
  </r>
  <r>
    <x v="1"/>
    <x v="7"/>
  </r>
  <r>
    <x v="5"/>
    <x v="6"/>
  </r>
  <r>
    <x v="6"/>
    <x v="9"/>
  </r>
  <r>
    <x v="0"/>
    <x v="7"/>
  </r>
  <r>
    <x v="1"/>
    <x v="4"/>
  </r>
  <r>
    <x v="5"/>
    <x v="7"/>
  </r>
  <r>
    <x v="5"/>
    <x v="11"/>
  </r>
  <r>
    <x v="2"/>
    <x v="10"/>
  </r>
  <r>
    <x v="6"/>
    <x v="11"/>
  </r>
  <r>
    <x v="6"/>
    <x v="8"/>
  </r>
  <r>
    <x v="5"/>
    <x v="7"/>
  </r>
  <r>
    <x v="1"/>
    <x v="0"/>
  </r>
  <r>
    <x v="4"/>
    <x v="6"/>
  </r>
  <r>
    <x v="4"/>
    <x v="8"/>
  </r>
  <r>
    <x v="1"/>
    <x v="11"/>
  </r>
  <r>
    <x v="3"/>
    <x v="11"/>
  </r>
  <r>
    <x v="3"/>
    <x v="10"/>
  </r>
  <r>
    <x v="1"/>
    <x v="10"/>
  </r>
  <r>
    <x v="4"/>
    <x v="0"/>
  </r>
  <r>
    <x v="0"/>
    <x v="9"/>
  </r>
  <r>
    <x v="3"/>
    <x v="8"/>
  </r>
  <r>
    <x v="4"/>
    <x v="7"/>
  </r>
  <r>
    <x v="7"/>
    <x v="4"/>
  </r>
  <r>
    <x v="3"/>
    <x v="9"/>
  </r>
  <r>
    <x v="4"/>
    <x v="5"/>
  </r>
  <r>
    <x v="3"/>
    <x v="7"/>
  </r>
  <r>
    <x v="7"/>
    <x v="3"/>
  </r>
  <r>
    <x v="4"/>
    <x v="1"/>
  </r>
  <r>
    <x v="0"/>
    <x v="7"/>
  </r>
  <r>
    <x v="4"/>
    <x v="10"/>
  </r>
  <r>
    <x v="6"/>
    <x v="1"/>
  </r>
  <r>
    <x v="3"/>
    <x v="1"/>
  </r>
  <r>
    <x v="2"/>
    <x v="9"/>
  </r>
  <r>
    <x v="4"/>
    <x v="8"/>
  </r>
  <r>
    <x v="6"/>
    <x v="6"/>
  </r>
  <r>
    <x v="6"/>
    <x v="3"/>
  </r>
  <r>
    <x v="1"/>
    <x v="10"/>
  </r>
  <r>
    <x v="3"/>
    <x v="7"/>
  </r>
  <r>
    <x v="1"/>
    <x v="3"/>
  </r>
  <r>
    <x v="4"/>
    <x v="7"/>
  </r>
  <r>
    <x v="1"/>
    <x v="11"/>
  </r>
  <r>
    <x v="3"/>
    <x v="1"/>
  </r>
  <r>
    <x v="4"/>
    <x v="3"/>
  </r>
  <r>
    <x v="3"/>
    <x v="6"/>
  </r>
  <r>
    <x v="0"/>
    <x v="1"/>
  </r>
  <r>
    <x v="6"/>
    <x v="2"/>
  </r>
  <r>
    <x v="4"/>
    <x v="10"/>
  </r>
  <r>
    <x v="4"/>
    <x v="2"/>
  </r>
  <r>
    <x v="3"/>
    <x v="1"/>
  </r>
  <r>
    <x v="0"/>
    <x v="9"/>
  </r>
  <r>
    <x v="0"/>
    <x v="6"/>
  </r>
  <r>
    <x v="3"/>
    <x v="6"/>
  </r>
  <r>
    <x v="3"/>
    <x v="7"/>
  </r>
  <r>
    <x v="0"/>
    <x v="4"/>
  </r>
  <r>
    <x v="5"/>
    <x v="6"/>
  </r>
  <r>
    <x v="4"/>
    <x v="5"/>
  </r>
  <r>
    <x v="1"/>
    <x v="3"/>
  </r>
  <r>
    <x v="0"/>
    <x v="6"/>
  </r>
  <r>
    <x v="0"/>
    <x v="6"/>
  </r>
  <r>
    <x v="6"/>
    <x v="3"/>
  </r>
  <r>
    <x v="0"/>
    <x v="2"/>
  </r>
  <r>
    <x v="0"/>
    <x v="11"/>
  </r>
  <r>
    <x v="5"/>
    <x v="1"/>
  </r>
  <r>
    <x v="6"/>
    <x v="8"/>
  </r>
  <r>
    <x v="0"/>
    <x v="11"/>
  </r>
  <r>
    <x v="4"/>
    <x v="7"/>
  </r>
  <r>
    <x v="1"/>
    <x v="3"/>
  </r>
  <r>
    <x v="4"/>
    <x v="7"/>
  </r>
  <r>
    <x v="7"/>
    <x v="0"/>
  </r>
  <r>
    <x v="1"/>
    <x v="10"/>
  </r>
  <r>
    <x v="3"/>
    <x v="3"/>
  </r>
  <r>
    <x v="4"/>
    <x v="3"/>
  </r>
  <r>
    <x v="0"/>
    <x v="3"/>
  </r>
  <r>
    <x v="6"/>
    <x v="3"/>
  </r>
  <r>
    <x v="5"/>
    <x v="7"/>
  </r>
  <r>
    <x v="0"/>
    <x v="6"/>
  </r>
  <r>
    <x v="4"/>
    <x v="10"/>
  </r>
  <r>
    <x v="0"/>
    <x v="9"/>
  </r>
  <r>
    <x v="1"/>
    <x v="5"/>
  </r>
  <r>
    <x v="4"/>
    <x v="8"/>
  </r>
  <r>
    <x v="3"/>
    <x v="5"/>
  </r>
  <r>
    <x v="4"/>
    <x v="6"/>
  </r>
  <r>
    <x v="3"/>
    <x v="10"/>
  </r>
  <r>
    <x v="3"/>
    <x v="4"/>
  </r>
  <r>
    <x v="0"/>
    <x v="3"/>
  </r>
  <r>
    <x v="3"/>
    <x v="8"/>
  </r>
  <r>
    <x v="0"/>
    <x v="9"/>
  </r>
  <r>
    <x v="3"/>
    <x v="5"/>
  </r>
  <r>
    <x v="7"/>
    <x v="4"/>
  </r>
  <r>
    <x v="3"/>
    <x v="0"/>
  </r>
  <r>
    <x v="2"/>
    <x v="0"/>
  </r>
  <r>
    <x v="5"/>
    <x v="3"/>
  </r>
  <r>
    <x v="4"/>
    <x v="11"/>
  </r>
  <r>
    <x v="1"/>
    <x v="8"/>
  </r>
  <r>
    <x v="3"/>
    <x v="5"/>
  </r>
  <r>
    <x v="7"/>
    <x v="7"/>
  </r>
  <r>
    <x v="4"/>
    <x v="10"/>
  </r>
  <r>
    <x v="3"/>
    <x v="11"/>
  </r>
  <r>
    <x v="0"/>
    <x v="10"/>
  </r>
  <r>
    <x v="3"/>
    <x v="3"/>
  </r>
  <r>
    <x v="6"/>
    <x v="2"/>
  </r>
  <r>
    <x v="0"/>
    <x v="2"/>
  </r>
  <r>
    <x v="1"/>
    <x v="11"/>
  </r>
  <r>
    <x v="4"/>
    <x v="2"/>
  </r>
  <r>
    <x v="2"/>
    <x v="8"/>
  </r>
  <r>
    <x v="1"/>
    <x v="5"/>
  </r>
  <r>
    <x v="2"/>
    <x v="10"/>
  </r>
  <r>
    <x v="3"/>
    <x v="8"/>
  </r>
  <r>
    <x v="0"/>
    <x v="2"/>
  </r>
  <r>
    <x v="1"/>
    <x v="9"/>
  </r>
  <r>
    <x v="0"/>
    <x v="0"/>
  </r>
  <r>
    <x v="0"/>
    <x v="1"/>
  </r>
  <r>
    <x v="6"/>
    <x v="2"/>
  </r>
  <r>
    <x v="1"/>
    <x v="9"/>
  </r>
  <r>
    <x v="1"/>
    <x v="4"/>
  </r>
  <r>
    <x v="4"/>
    <x v="8"/>
  </r>
  <r>
    <x v="0"/>
    <x v="7"/>
  </r>
  <r>
    <x v="1"/>
    <x v="2"/>
  </r>
  <r>
    <x v="6"/>
    <x v="0"/>
  </r>
  <r>
    <x v="6"/>
    <x v="9"/>
  </r>
  <r>
    <x v="3"/>
    <x v="1"/>
  </r>
  <r>
    <x v="1"/>
    <x v="1"/>
  </r>
  <r>
    <x v="3"/>
    <x v="0"/>
  </r>
  <r>
    <x v="5"/>
    <x v="8"/>
  </r>
  <r>
    <x v="1"/>
    <x v="6"/>
  </r>
  <r>
    <x v="2"/>
    <x v="4"/>
  </r>
  <r>
    <x v="0"/>
    <x v="10"/>
  </r>
  <r>
    <x v="0"/>
    <x v="2"/>
  </r>
  <r>
    <x v="1"/>
    <x v="6"/>
  </r>
  <r>
    <x v="8"/>
    <x v="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INV-0001"/>
    <s v="Sipho"/>
    <s v="Pretorius"/>
    <n v="50"/>
    <s v="Male"/>
    <s v="Gauteng"/>
    <s v="Chartered Accountant"/>
    <s v="Healthcare"/>
    <n v="4677000"/>
    <x v="0"/>
    <s v="LinkedIn Outreach"/>
    <s v="2025-08-05"/>
    <s v="2025-08-12"/>
    <n v="1"/>
    <s v="Private Banking"/>
    <n v="5"/>
    <x v="0"/>
    <s v="Proposal Sent"/>
    <n v="0.47"/>
    <n v="2716000"/>
    <s v="Decision expected next quarter"/>
  </r>
  <r>
    <s v="INV-0002"/>
    <s v="Zanele"/>
    <s v="Jacobs"/>
    <n v="72"/>
    <s v="Female"/>
    <s v="Gauteng"/>
    <s v="CEO"/>
    <s v="Mining &amp; Resources"/>
    <n v="3021000"/>
    <x v="0"/>
    <s v="Events &amp; Seminars"/>
    <s v="2025-06-22"/>
    <s v="2025-07-03"/>
    <n v="2"/>
    <s v="Fixed Income"/>
    <n v="3"/>
    <x v="1"/>
    <s v="Won"/>
    <n v="1"/>
    <n v="1306000"/>
    <s v="Follow up Q3 – bonus season"/>
  </r>
  <r>
    <s v="INV-0003"/>
    <s v="Nicole"/>
    <s v="Smith"/>
    <n v="59"/>
    <s v="Female"/>
    <s v="Gauteng"/>
    <s v="Medical Specialist"/>
    <s v="Agriculture"/>
    <n v="3085000"/>
    <x v="0"/>
    <s v="Private Banking Referral"/>
    <s v="2025-01-24"/>
    <s v="2025-03-12"/>
    <n v="4"/>
    <s v="Estate Planning"/>
    <n v="3"/>
    <x v="0"/>
    <s v="On Hold"/>
    <n v="0.1"/>
    <n v="1354000"/>
    <s v="Introduced via legal firm partner"/>
  </r>
  <r>
    <s v="INV-0004"/>
    <s v="Lisa"/>
    <s v="Zwane"/>
    <n v="57"/>
    <s v="Female"/>
    <s v="Gauteng"/>
    <s v="Medical Specialist"/>
    <s v="Healthcare"/>
    <n v="5856000"/>
    <x v="1"/>
    <s v="Private Banking Referral"/>
    <s v="2025-08-25"/>
    <s v="2025-09-23"/>
    <n v="5"/>
    <s v="Tax Structuring"/>
    <n v="7"/>
    <x v="2"/>
    <s v="Qualified"/>
    <n v="0.12"/>
    <n v="4114000"/>
    <s v="Interested in impact investing"/>
  </r>
  <r>
    <s v="INV-0005"/>
    <s v="Sarah"/>
    <s v="Khumalo"/>
    <n v="71"/>
    <s v="Female"/>
    <s v="Eastern Cape"/>
    <s v="Attorney"/>
    <s v="Technology"/>
    <n v="3187000"/>
    <x v="0"/>
    <s v="Executive Search Firm"/>
    <s v="2025-05-16"/>
    <s v="2025-05-29"/>
    <n v="4"/>
    <s v="Estate Planning"/>
    <n v="8"/>
    <x v="3"/>
    <s v="Engaged"/>
    <n v="0.28000000000000003"/>
    <n v="1768000"/>
    <s v="Referred to private banking team"/>
  </r>
  <r>
    <s v="INV-0006"/>
    <s v="Nkosinathi"/>
    <s v="Smith"/>
    <n v="44"/>
    <s v="Male"/>
    <s v="Western Cape"/>
    <s v="Retired Executive"/>
    <s v="Manufacturing"/>
    <n v="6924000"/>
    <x v="1"/>
    <s v="Executive Search Firm"/>
    <s v="2025-05-09"/>
    <s v="2025-06-18"/>
    <n v="1"/>
    <s v="Private Banking"/>
    <n v="10"/>
    <x v="1"/>
    <s v="Won"/>
    <n v="0.99"/>
    <n v="2463000"/>
    <s v="Interested in impact investing"/>
  </r>
  <r>
    <s v="INV-0007"/>
    <s v="Andile"/>
    <s v="Dlamini"/>
    <n v="51"/>
    <s v="Male"/>
    <s v="Mpumalanga"/>
    <s v="Executive Director"/>
    <s v="Consulting"/>
    <n v="1806000"/>
    <x v="2"/>
    <s v="Digital Campaign"/>
    <s v="2025-09-17"/>
    <s v="2025-10-30"/>
    <n v="4"/>
    <s v="Offshore Investments"/>
    <n v="7"/>
    <x v="0"/>
    <s v="Proposal Sent"/>
    <n v="0.53"/>
    <n v="1375000"/>
    <s v="Follow up Q3 – bonus season"/>
  </r>
  <r>
    <s v="INV-0008"/>
    <s v="Fatima"/>
    <s v="Dlamini"/>
    <n v="42"/>
    <s v="Female"/>
    <s v="Free State"/>
    <s v="Medical Specialist"/>
    <s v="Technology"/>
    <n v="445104000"/>
    <x v="3"/>
    <s v="LinkedIn Outreach"/>
    <s v="2025-09-06"/>
    <s v="2025-11-02"/>
    <n v="2"/>
    <s v="Offshore Investments"/>
    <n v="4"/>
    <x v="3"/>
    <s v="On Hold"/>
    <n v="0.08"/>
    <n v="192520000"/>
    <s v="Re-engage post year-end"/>
  </r>
  <r>
    <s v="INV-0009"/>
    <s v="Zanele"/>
    <s v="Mahlangu"/>
    <n v="47"/>
    <s v="Female"/>
    <s v="KwaZulu-Natal"/>
    <s v="Engineer"/>
    <s v="Legal"/>
    <n v="7588000"/>
    <x v="1"/>
    <s v="LinkedIn Outreach"/>
    <s v="2025-04-26"/>
    <s v="2025-05-05"/>
    <n v="6"/>
    <s v="Wealth Management"/>
    <n v="10"/>
    <x v="0"/>
    <s v="Proposal Sent"/>
    <n v="0.47"/>
    <n v="2546000"/>
    <s v="Introduced via legal firm partner"/>
  </r>
  <r>
    <s v="INV-0010"/>
    <s v="James"/>
    <s v="Mokoena"/>
    <n v="37"/>
    <s v="Male"/>
    <s v="Eastern Cape"/>
    <s v="CFO"/>
    <s v="Consulting"/>
    <n v="36759000"/>
    <x v="4"/>
    <s v="Private Banking Referral"/>
    <s v="2025-03-09"/>
    <s v="2025-04-29"/>
    <n v="10"/>
    <s v="Currency Solutions"/>
    <n v="5"/>
    <x v="3"/>
    <s v="Won"/>
    <n v="0.98"/>
    <n v="12761000"/>
    <s v="Introduced via legal firm partner"/>
  </r>
  <r>
    <s v="INV-0011"/>
    <s v="Priya"/>
    <s v="Ndlovu"/>
    <n v="61"/>
    <s v="Female"/>
    <s v="Western Cape"/>
    <s v="Chartered Accountant"/>
    <s v="Financial Services"/>
    <n v="4952000"/>
    <x v="0"/>
    <s v="LinkedIn Outreach"/>
    <s v="2025-07-26"/>
    <s v="2025-09-15"/>
    <n v="6"/>
    <s v="Private Banking"/>
    <n v="5"/>
    <x v="0"/>
    <s v="Qualified"/>
    <n v="0.15"/>
    <n v="1833000"/>
    <s v="Attending Investec Golf Day"/>
  </r>
  <r>
    <s v="INV-0012"/>
    <s v="Fatima"/>
    <s v="Naidoo"/>
    <n v="39"/>
    <s v="Female"/>
    <s v="Gauteng"/>
    <s v="Investment Banker"/>
    <s v="Healthcare"/>
    <n v="499677000"/>
    <x v="3"/>
    <s v="Referral – Existing Client"/>
    <s v="2025-05-02"/>
    <s v="2025-05-17"/>
    <n v="7"/>
    <s v="Currency Solutions"/>
    <n v="9"/>
    <x v="0"/>
    <s v="On Hold"/>
    <n v="7.0000000000000007E-2"/>
    <n v="191036000"/>
    <s v="Follow up Q3 – bonus season"/>
  </r>
  <r>
    <s v="INV-0013"/>
    <s v="Emma"/>
    <s v="Jacobs"/>
    <n v="53"/>
    <s v="Female"/>
    <s v="Gauteng"/>
    <s v="Chartered Accountant"/>
    <s v="Consulting"/>
    <n v="3460000"/>
    <x v="0"/>
    <s v="Private Banking Referral"/>
    <s v="2025-04-22"/>
    <s v="2025-04-30"/>
    <n v="10"/>
    <s v="Wealth Management"/>
    <n v="7"/>
    <x v="2"/>
    <s v="Identified"/>
    <n v="0.05"/>
    <n v="1908000"/>
    <s v="High probability – verbal commitment"/>
  </r>
  <r>
    <s v="INV-0014"/>
    <s v="Sipho"/>
    <s v="Coetzee"/>
    <n v="40"/>
    <s v="Male"/>
    <s v="Eastern Cape"/>
    <s v="CFO"/>
    <s v="Agriculture"/>
    <n v="437819000"/>
    <x v="3"/>
    <s v="Cold Outreach"/>
    <s v="2025-10-19"/>
    <s v="2025-11-08"/>
    <n v="10"/>
    <s v="Wealth Management"/>
    <n v="3"/>
    <x v="3"/>
    <s v="Negotiation"/>
    <n v="0.71"/>
    <n v="245788000"/>
    <s v="Family office opportunity"/>
  </r>
  <r>
    <s v="INV-0015"/>
    <s v="Kyle"/>
    <s v="Meyer"/>
    <n v="50"/>
    <s v="Male"/>
    <s v="Gauteng"/>
    <s v="Executive Director"/>
    <s v="Real Estate"/>
    <n v="9645000"/>
    <x v="1"/>
    <s v="LinkedIn Outreach"/>
    <s v="2025-08-23"/>
    <s v="2025-10-06"/>
    <n v="10"/>
    <s v="Private Banking"/>
    <n v="3"/>
    <x v="0"/>
    <s v="Proposal Sent"/>
    <n v="0.48"/>
    <n v="7394000"/>
    <s v="Referred to private banking team"/>
  </r>
  <r>
    <s v="INV-0016"/>
    <s v="Stefan"/>
    <s v="Nkosi"/>
    <n v="45"/>
    <s v="Male"/>
    <s v="Gauteng"/>
    <s v="Investment Banker"/>
    <s v="Real Estate"/>
    <n v="9936000"/>
    <x v="1"/>
    <s v="Referral – Existing Client"/>
    <s v="2025-06-03"/>
    <s v="2025-07-20"/>
    <n v="2"/>
    <s v="Offshore Investments"/>
    <n v="6"/>
    <x v="2"/>
    <s v="On Hold"/>
    <n v="0.12"/>
    <n v="5729000"/>
    <s v="Family office opportunity"/>
  </r>
  <r>
    <s v="INV-0017"/>
    <s v="Lerato"/>
    <s v="Khumalo"/>
    <n v="56"/>
    <s v="Female"/>
    <s v="Gauteng"/>
    <s v="Retired Executive"/>
    <s v="Real Estate"/>
    <n v="6256000"/>
    <x v="1"/>
    <s v="Referral – Existing Client"/>
    <s v="2025-08-05"/>
    <s v="2025-10-02"/>
    <n v="5"/>
    <s v="Wealth Management"/>
    <n v="2"/>
    <x v="1"/>
    <s v="Won"/>
    <n v="1"/>
    <n v="4942000"/>
    <s v="Attending Investec Golf Day"/>
  </r>
  <r>
    <s v="INV-0018"/>
    <s v="Nicole"/>
    <s v="Ndlovu"/>
    <n v="70"/>
    <s v="Female"/>
    <s v="Gauteng"/>
    <s v="CFO"/>
    <s v="Mining &amp; Resources"/>
    <n v="9173000"/>
    <x v="1"/>
    <s v="Events &amp; Seminars"/>
    <s v="2025-03-07"/>
    <s v="2025-03-14"/>
    <n v="5"/>
    <s v="Equity Portfolio"/>
    <n v="2"/>
    <x v="1"/>
    <s v="Qualified"/>
    <n v="0.13"/>
    <n v="5811000"/>
    <s v="Competitor relationship – price sensitive"/>
  </r>
  <r>
    <s v="INV-0019"/>
    <s v="Lerato"/>
    <s v="Pillay"/>
    <n v="50"/>
    <s v="Female"/>
    <s v="Eastern Cape"/>
    <s v="Executive Director"/>
    <s v="Manufacturing"/>
    <n v="381454000"/>
    <x v="3"/>
    <s v="Broker Network"/>
    <s v="2025-05-08"/>
    <s v="2025-05-30"/>
    <n v="3"/>
    <s v="Private Banking"/>
    <n v="8"/>
    <x v="2"/>
    <s v="On Hold"/>
    <n v="0.08"/>
    <n v="152500000"/>
    <s v="Needs estate planning review"/>
  </r>
  <r>
    <s v="INV-0020"/>
    <s v="Emma"/>
    <s v="Naidoo"/>
    <n v="49"/>
    <s v="Female"/>
    <s v="Gauteng"/>
    <s v="Portfolio Manager"/>
    <s v="Manufacturing"/>
    <n v="44574000"/>
    <x v="4"/>
    <s v="Digital Campaign"/>
    <s v="2025-09-18"/>
    <s v="2025-10-18"/>
    <n v="11"/>
    <s v="Equity Portfolio"/>
    <n v="2"/>
    <x v="2"/>
    <s v="On Hold"/>
    <n v="0.09"/>
    <n v="17352000"/>
    <s v="Family office opportunity"/>
  </r>
  <r>
    <s v="INV-0021"/>
    <s v="Luca"/>
    <s v="Ndlovu"/>
    <n v="57"/>
    <s v="Male"/>
    <s v="KwaZulu-Natal"/>
    <s v="Attorney"/>
    <s v="Manufacturing"/>
    <n v="7557000"/>
    <x v="1"/>
    <s v="Cold Outreach"/>
    <s v="2025-04-08"/>
    <s v="2025-04-29"/>
    <n v="1"/>
    <s v="Fixed Income"/>
    <n v="2"/>
    <x v="0"/>
    <s v="Engaged"/>
    <n v="0.27"/>
    <n v="5852000"/>
    <s v="Competitor relationship – price sensitive"/>
  </r>
  <r>
    <s v="INV-0022"/>
    <s v="Amahle"/>
    <s v="Smith"/>
    <n v="54"/>
    <s v="Female"/>
    <s v="Western Cape"/>
    <s v="Retired Executive"/>
    <s v="Manufacturing"/>
    <n v="37888000"/>
    <x v="4"/>
    <s v="Events &amp; Seminars"/>
    <s v="2025-08-04"/>
    <s v="2025-09-20"/>
    <n v="7"/>
    <s v="Offshore Investments"/>
    <n v="6"/>
    <x v="3"/>
    <s v="Proposal Sent"/>
    <n v="0.47"/>
    <n v="17123000"/>
    <s v="Request for offshore structuring"/>
  </r>
  <r>
    <s v="INV-0023"/>
    <s v="Michelle"/>
    <s v="Meyer"/>
    <n v="64"/>
    <s v="Female"/>
    <s v="Gauteng"/>
    <s v="Retired Executive"/>
    <s v="Technology"/>
    <n v="8969000"/>
    <x v="1"/>
    <s v="Events &amp; Seminars"/>
    <s v="2025-05-26"/>
    <s v="2025-07-02"/>
    <n v="11"/>
    <s v="Equity Portfolio"/>
    <n v="3"/>
    <x v="0"/>
    <s v="Negotiation"/>
    <n v="0.68"/>
    <n v="6308000"/>
    <s v="Attending Investec Golf Day"/>
  </r>
  <r>
    <s v="INV-0024"/>
    <s v="Sipho"/>
    <s v="Naidoo"/>
    <n v="65"/>
    <s v="Male"/>
    <s v="Western Cape"/>
    <s v="CFO"/>
    <s v="Retail"/>
    <n v="8149000"/>
    <x v="1"/>
    <s v="Private Banking Referral"/>
    <s v="2025-09-11"/>
    <s v="2025-10-11"/>
    <n v="4"/>
    <s v="Offshore Investments"/>
    <n v="2"/>
    <x v="2"/>
    <s v="Won"/>
    <n v="0.98"/>
    <n v="3161000"/>
    <s v="Decision expected next quarter"/>
  </r>
  <r>
    <s v="INV-0025"/>
    <s v="Nomvula"/>
    <s v="Mahlangu"/>
    <n v="50"/>
    <s v="Female"/>
    <s v="Free State"/>
    <s v="CFO"/>
    <s v="Retail"/>
    <n v="28586000"/>
    <x v="4"/>
    <s v="Broker Network"/>
    <s v="2025-09-16"/>
    <s v="2025-10-18"/>
    <n v="9"/>
    <s v="Currency Solutions"/>
    <n v="4"/>
    <x v="3"/>
    <s v="Proposal Sent"/>
    <n v="0.53"/>
    <n v="12110000"/>
    <s v="Introduced via legal firm partner"/>
  </r>
  <r>
    <s v="INV-0026"/>
    <s v="Michelle"/>
    <s v="Coetzee"/>
    <n v="66"/>
    <s v="Female"/>
    <s v="Western Cape"/>
    <s v="Medical Specialist"/>
    <s v="Retail"/>
    <n v="178578000"/>
    <x v="3"/>
    <s v="Digital Campaign"/>
    <s v="2025-06-13"/>
    <s v="2025-07-22"/>
    <n v="2"/>
    <s v="Offshore Investments"/>
    <n v="4"/>
    <x v="0"/>
    <s v="Engaged"/>
    <n v="0.28000000000000003"/>
    <n v="116649000"/>
    <s v="Referred to private banking team"/>
  </r>
  <r>
    <s v="INV-0027"/>
    <s v="Claire"/>
    <s v="Meyer"/>
    <n v="69"/>
    <s v="Female"/>
    <s v="Western Cape"/>
    <s v="CEO"/>
    <s v="Technology"/>
    <n v="3168000"/>
    <x v="0"/>
    <s v="Referral – Existing Client"/>
    <s v="2025-07-14"/>
    <s v="2025-08-18"/>
    <n v="1"/>
    <s v="Equity Portfolio"/>
    <n v="6"/>
    <x v="3"/>
    <s v="On Hold"/>
    <n v="0.13"/>
    <n v="1614000"/>
    <s v="Decision expected next quarter"/>
  </r>
  <r>
    <s v="INV-0028"/>
    <s v="Andile"/>
    <s v="Naidoo"/>
    <n v="52"/>
    <s v="Male"/>
    <s v="Gauteng"/>
    <s v="CEO"/>
    <s v="Manufacturing"/>
    <n v="37166000"/>
    <x v="4"/>
    <s v="Cold Outreach"/>
    <s v="2025-08-28"/>
    <s v="2025-09-10"/>
    <n v="10"/>
    <s v="Wealth Management"/>
    <n v="8"/>
    <x v="2"/>
    <s v="Identified"/>
    <n v="0.05"/>
    <n v="13672000"/>
    <s v="Needs estate planning review"/>
  </r>
  <r>
    <s v="INV-0029"/>
    <s v="Sipho"/>
    <s v="Pretorius"/>
    <n v="59"/>
    <s v="Male"/>
    <s v="Gauteng"/>
    <s v="Entrepreneur"/>
    <s v="Legal"/>
    <n v="45186000"/>
    <x v="4"/>
    <s v="Digital Campaign"/>
    <s v="2025-05-10"/>
    <s v="2025-07-07"/>
    <n v="2"/>
    <s v="Currency Solutions"/>
    <n v="2"/>
    <x v="2"/>
    <s v="Lost"/>
    <n v="0"/>
    <n v="18622000"/>
    <s v="Referred to private banking team"/>
  </r>
  <r>
    <s v="INV-0030"/>
    <s v="Brendan"/>
    <s v="Dlamini"/>
    <n v="50"/>
    <s v="Male"/>
    <s v="Gauteng"/>
    <s v="CEO"/>
    <s v="Agriculture"/>
    <n v="15049000"/>
    <x v="4"/>
    <s v="LinkedIn Outreach"/>
    <s v="2025-04-22"/>
    <s v="2025-05-26"/>
    <n v="12"/>
    <s v="Estate Planning"/>
    <n v="7"/>
    <x v="0"/>
    <s v="Proposal Sent"/>
    <n v="0.52"/>
    <n v="9920000"/>
    <s v="Attending Investec Golf Day"/>
  </r>
  <r>
    <s v="INV-0031"/>
    <s v="Sarah"/>
    <s v="Dlamini"/>
    <n v="54"/>
    <s v="Female"/>
    <s v="Western Cape"/>
    <s v="Engineer"/>
    <s v="Manufacturing"/>
    <n v="797000"/>
    <x v="2"/>
    <s v="Private Banking Referral"/>
    <s v="2025-06-04"/>
    <s v="2025-08-02"/>
    <n v="11"/>
    <s v="Private Banking"/>
    <n v="2"/>
    <x v="1"/>
    <s v="Proposal Sent"/>
    <n v="0.52"/>
    <n v="387000"/>
    <s v="High probability – verbal commitment"/>
  </r>
  <r>
    <s v="INV-0032"/>
    <s v="Nomvula"/>
    <s v="Ndlovu"/>
    <n v="66"/>
    <s v="Female"/>
    <s v="Gauteng"/>
    <s v="Attorney"/>
    <s v="Retail"/>
    <n v="3306000"/>
    <x v="0"/>
    <s v="Digital Campaign"/>
    <s v="2025-10-03"/>
    <s v="2025-11-26"/>
    <n v="8"/>
    <s v="Currency Solutions"/>
    <n v="8"/>
    <x v="1"/>
    <s v="Engaged"/>
    <n v="0.28000000000000003"/>
    <n v="2365000"/>
    <s v="Referred to private banking team"/>
  </r>
  <r>
    <s v="INV-0033"/>
    <s v="Bongiwe"/>
    <s v="Jacobs"/>
    <n v="50"/>
    <s v="Female"/>
    <s v="KwaZulu-Natal"/>
    <s v="Property Developer"/>
    <s v="Agriculture"/>
    <n v="3009000"/>
    <x v="0"/>
    <s v="Executive Search Firm"/>
    <s v="2025-04-04"/>
    <s v="2025-05-10"/>
    <n v="4"/>
    <s v="Equity Portfolio"/>
    <n v="6"/>
    <x v="1"/>
    <s v="Engaged"/>
    <n v="0.31"/>
    <n v="1958000"/>
    <s v="Family office opportunity"/>
  </r>
  <r>
    <s v="INV-0034"/>
    <s v="Michael"/>
    <s v="Khumalo"/>
    <n v="40"/>
    <s v="Male"/>
    <s v="Gauteng"/>
    <s v="Engineer"/>
    <s v="Retail"/>
    <n v="6202000"/>
    <x v="1"/>
    <s v="Executive Search Firm"/>
    <s v="2025-09-09"/>
    <s v="2025-10-12"/>
    <n v="1"/>
    <s v="Private Banking"/>
    <n v="6"/>
    <x v="0"/>
    <s v="Engaged"/>
    <n v="0.28000000000000003"/>
    <n v="2810000"/>
    <s v="Re-engage post year-end"/>
  </r>
  <r>
    <s v="INV-0035"/>
    <s v="Fatima"/>
    <s v="Mahlangu"/>
    <n v="68"/>
    <s v="Female"/>
    <s v="Gauteng"/>
    <s v="Chartered Accountant"/>
    <s v="Consulting"/>
    <n v="38114000"/>
    <x v="4"/>
    <s v="Digital Campaign"/>
    <s v="2025-05-09"/>
    <s v="2025-05-28"/>
    <n v="2"/>
    <s v="Tax Structuring"/>
    <n v="7"/>
    <x v="2"/>
    <s v="Negotiation"/>
    <n v="0.73"/>
    <n v="24587000"/>
    <s v="Request for offshore structuring"/>
  </r>
  <r>
    <s v="INV-0036"/>
    <s v="Pieter"/>
    <s v="Sithebe"/>
    <n v="52"/>
    <s v="Male"/>
    <s v="KwaZulu-Natal"/>
    <s v="Investment Banker"/>
    <s v="Agriculture"/>
    <n v="14021000"/>
    <x v="4"/>
    <s v="Private Banking Referral"/>
    <s v="2025-04-27"/>
    <s v="2025-05-25"/>
    <n v="3"/>
    <s v="Estate Planning"/>
    <n v="2"/>
    <x v="0"/>
    <s v="Engaged"/>
    <n v="0.27"/>
    <n v="8086000"/>
    <s v="Decision expected next quarter"/>
  </r>
  <r>
    <s v="INV-0037"/>
    <s v="Kyle"/>
    <s v="Sithebe"/>
    <n v="41"/>
    <s v="Male"/>
    <s v="Eastern Cape"/>
    <s v="Property Developer"/>
    <s v="Real Estate"/>
    <n v="7202000"/>
    <x v="1"/>
    <s v="Events &amp; Seminars"/>
    <s v="2025-05-10"/>
    <s v="2025-07-09"/>
    <n v="8"/>
    <s v="Private Banking"/>
    <n v="3"/>
    <x v="3"/>
    <s v="Proposal Sent"/>
    <n v="0.51"/>
    <n v="4427000"/>
    <s v="Follow up Q3 – bonus season"/>
  </r>
  <r>
    <s v="INV-0038"/>
    <s v="David"/>
    <s v="Nkosi"/>
    <n v="40"/>
    <s v="Male"/>
    <s v="Mpumalanga"/>
    <s v="CFO"/>
    <s v="Consulting"/>
    <n v="3819000"/>
    <x v="0"/>
    <s v="Private Banking Referral"/>
    <s v="2025-07-14"/>
    <s v="2025-08-16"/>
    <n v="8"/>
    <s v="Estate Planning"/>
    <n v="8"/>
    <x v="1"/>
    <s v="Proposal Sent"/>
    <n v="0.47"/>
    <n v="2310000"/>
    <s v="Decision expected next quarter"/>
  </r>
  <r>
    <s v="INV-0039"/>
    <s v="Brendan"/>
    <s v="Khumalo"/>
    <n v="48"/>
    <s v="Male"/>
    <s v="Gauteng"/>
    <s v="CFO"/>
    <s v="Mining &amp; Resources"/>
    <n v="32080000"/>
    <x v="4"/>
    <s v="Events &amp; Seminars"/>
    <s v="2025-07-29"/>
    <s v="2025-08-31"/>
    <n v="12"/>
    <s v="Currency Solutions"/>
    <n v="6"/>
    <x v="2"/>
    <s v="Qualified"/>
    <n v="0.17"/>
    <n v="14159000"/>
    <s v="Needs estate planning review"/>
  </r>
  <r>
    <s v="INV-0040"/>
    <s v="Kyle"/>
    <s v="Naidoo"/>
    <n v="51"/>
    <s v="Male"/>
    <s v="KwaZulu-Natal"/>
    <s v="Retired Executive"/>
    <s v="Agriculture"/>
    <n v="4801000"/>
    <x v="0"/>
    <s v="Cold Outreach"/>
    <s v="2025-10-06"/>
    <s v="2025-10-25"/>
    <n v="11"/>
    <s v="Offshore Investments"/>
    <n v="6"/>
    <x v="0"/>
    <s v="Identified"/>
    <n v="0.03"/>
    <n v="3343000"/>
    <s v="Re-engage post year-end"/>
  </r>
  <r>
    <s v="INV-0041"/>
    <s v="Fatima"/>
    <s v="Smith"/>
    <n v="64"/>
    <s v="Female"/>
    <s v="KwaZulu-Natal"/>
    <s v="Chartered Accountant"/>
    <s v="Manufacturing"/>
    <n v="1251000"/>
    <x v="2"/>
    <s v="Executive Search Firm"/>
    <s v="2025-02-11"/>
    <s v="2025-03-26"/>
    <n v="1"/>
    <s v="Fixed Income"/>
    <n v="7"/>
    <x v="1"/>
    <s v="Identified"/>
    <n v="0.03"/>
    <n v="977000"/>
    <s v="Re-engage post year-end"/>
  </r>
  <r>
    <s v="INV-0042"/>
    <s v="Brendan"/>
    <s v="Pretorius"/>
    <n v="71"/>
    <s v="Male"/>
    <s v="Gauteng"/>
    <s v="Executive Director"/>
    <s v="Retail"/>
    <n v="7211000"/>
    <x v="1"/>
    <s v="Digital Campaign"/>
    <s v="2025-10-27"/>
    <s v="2025-11-28"/>
    <n v="11"/>
    <s v="Currency Solutions"/>
    <n v="3"/>
    <x v="3"/>
    <s v="Engaged"/>
    <n v="0.28999999999999998"/>
    <n v="3321000"/>
    <s v="Referred to private banking team"/>
  </r>
  <r>
    <s v="INV-0043"/>
    <s v="Stefan"/>
    <s v="Ndlovu"/>
    <n v="66"/>
    <s v="Male"/>
    <s v="Gauteng"/>
    <s v="Engineer"/>
    <s v="Consulting"/>
    <n v="89627000"/>
    <x v="3"/>
    <s v="Digital Campaign"/>
    <s v="2025-03-01"/>
    <s v="2025-04-24"/>
    <n v="7"/>
    <s v="Wealth Management"/>
    <n v="10"/>
    <x v="3"/>
    <s v="Engaged"/>
    <n v="0.28000000000000003"/>
    <n v="50121000"/>
    <s v="Re-engage post year-end"/>
  </r>
  <r>
    <s v="INV-0044"/>
    <s v="Amahle"/>
    <s v="Jacobs"/>
    <n v="38"/>
    <s v="Female"/>
    <s v="Gauteng"/>
    <s v="Investment Banker"/>
    <s v="Mining &amp; Resources"/>
    <n v="1157000"/>
    <x v="2"/>
    <s v="Executive Search Firm"/>
    <s v="2025-01-15"/>
    <s v="2025-03-01"/>
    <n v="10"/>
    <s v="Tax Structuring"/>
    <n v="4"/>
    <x v="1"/>
    <s v="Proposal Sent"/>
    <n v="0.51"/>
    <n v="583000"/>
    <s v="Request for offshore structuring"/>
  </r>
  <r>
    <s v="INV-0045"/>
    <s v="Andile"/>
    <s v="Smith"/>
    <n v="44"/>
    <s v="Male"/>
    <s v="Western Cape"/>
    <s v="Chartered Accountant"/>
    <s v="Real Estate"/>
    <n v="6367000"/>
    <x v="1"/>
    <s v="Executive Search Firm"/>
    <s v="2025-05-05"/>
    <s v="2025-06-08"/>
    <n v="9"/>
    <s v="Offshore Investments"/>
    <n v="8"/>
    <x v="0"/>
    <s v="On Hold"/>
    <n v="0.11"/>
    <n v="4286000"/>
    <s v="Attending Investec Golf Day"/>
  </r>
  <r>
    <s v="INV-0046"/>
    <s v="Thabo"/>
    <s v="Ndlovu"/>
    <n v="56"/>
    <s v="Male"/>
    <s v="Free State"/>
    <s v="Investment Banker"/>
    <s v="Real Estate"/>
    <n v="2849000"/>
    <x v="0"/>
    <s v="Digital Campaign"/>
    <s v="2025-10-24"/>
    <s v="2025-12-10"/>
    <n v="8"/>
    <s v="Offshore Investments"/>
    <n v="9"/>
    <x v="3"/>
    <s v="Engaged"/>
    <n v="0.31"/>
    <n v="1941000"/>
    <s v="Interested in impact investing"/>
  </r>
  <r>
    <s v="INV-0047"/>
    <s v="Bongiwe"/>
    <s v="Meyer"/>
    <n v="47"/>
    <s v="Female"/>
    <s v="Mpumalanga"/>
    <s v="Portfolio Manager"/>
    <s v="Agriculture"/>
    <n v="44241000"/>
    <x v="4"/>
    <s v="Cold Outreach"/>
    <s v="2025-06-12"/>
    <s v="2025-08-03"/>
    <n v="8"/>
    <s v="Fixed Income"/>
    <n v="8"/>
    <x v="0"/>
    <s v="Proposal Sent"/>
    <n v="0.47"/>
    <n v="16065000"/>
    <s v="Re-engage post year-end"/>
  </r>
  <r>
    <s v="INV-0048"/>
    <s v="Ayasha"/>
    <s v="Smith"/>
    <n v="63"/>
    <s v="Female"/>
    <s v="Gauteng"/>
    <s v="Entrepreneur"/>
    <s v="Financial Services"/>
    <n v="3230000"/>
    <x v="0"/>
    <s v="Events &amp; Seminars"/>
    <s v="2025-08-29"/>
    <s v="2025-10-23"/>
    <n v="5"/>
    <s v="Equity Portfolio"/>
    <n v="8"/>
    <x v="2"/>
    <s v="On Hold"/>
    <n v="0.13"/>
    <n v="2058000"/>
    <s v="High probability – verbal commitment"/>
  </r>
  <r>
    <s v="INV-0049"/>
    <s v="Priya"/>
    <s v="Sithebe"/>
    <n v="69"/>
    <s v="Female"/>
    <s v="Gauteng"/>
    <s v="CFO"/>
    <s v="Technology"/>
    <n v="9605000"/>
    <x v="1"/>
    <s v="Private Banking Referral"/>
    <s v="2025-08-11"/>
    <s v="2025-08-22"/>
    <n v="11"/>
    <s v="Private Banking"/>
    <n v="9"/>
    <x v="0"/>
    <s v="Negotiation"/>
    <n v="0.67"/>
    <n v="3102000"/>
    <s v="Follow up Q3 – bonus season"/>
  </r>
  <r>
    <s v="INV-0050"/>
    <s v="Priya"/>
    <s v="Zwane"/>
    <n v="62"/>
    <s v="Female"/>
    <s v="Gauteng"/>
    <s v="Investment Banker"/>
    <s v="Manufacturing"/>
    <n v="8963000"/>
    <x v="1"/>
    <s v="Events &amp; Seminars"/>
    <s v="2025-02-10"/>
    <s v="2025-03-26"/>
    <n v="7"/>
    <s v="Tax Structuring"/>
    <n v="9"/>
    <x v="0"/>
    <s v="Qualified"/>
    <n v="0.17"/>
    <n v="3827000"/>
    <s v="Family office opportunity"/>
  </r>
  <r>
    <s v="INV-0051"/>
    <s v="Gareth"/>
    <s v="Jacobs"/>
    <n v="53"/>
    <s v="Male"/>
    <s v="KwaZulu-Natal"/>
    <s v="Executive Director"/>
    <s v="Healthcare"/>
    <n v="6728000"/>
    <x v="1"/>
    <s v="Digital Campaign"/>
    <s v="2025-08-06"/>
    <s v="2025-09-24"/>
    <n v="5"/>
    <s v="Currency Solutions"/>
    <n v="6"/>
    <x v="0"/>
    <s v="Lost"/>
    <n v="0.03"/>
    <n v="3644000"/>
    <s v="Request for offshore structuring"/>
  </r>
  <r>
    <s v="INV-0052"/>
    <s v="Lerato"/>
    <s v="Zwane"/>
    <n v="71"/>
    <s v="Female"/>
    <s v="Gauteng"/>
    <s v="Chartered Accountant"/>
    <s v="Real Estate"/>
    <n v="423517000"/>
    <x v="3"/>
    <s v="Cold Outreach"/>
    <s v="2025-01-05"/>
    <s v="2025-02-15"/>
    <n v="11"/>
    <s v="Wealth Management"/>
    <n v="9"/>
    <x v="1"/>
    <s v="Won"/>
    <n v="0.98"/>
    <n v="255606000"/>
    <s v="Competitor relationship – price sensitive"/>
  </r>
  <r>
    <s v="INV-0053"/>
    <s v="Kyle"/>
    <s v="Khumalo"/>
    <n v="51"/>
    <s v="Male"/>
    <s v="KwaZulu-Natal"/>
    <s v="Chartered Accountant"/>
    <s v="Mining &amp; Resources"/>
    <n v="9517000"/>
    <x v="1"/>
    <s v="Referral – Existing Client"/>
    <s v="2025-08-14"/>
    <s v="2025-08-21"/>
    <n v="10"/>
    <s v="Equity Portfolio"/>
    <n v="4"/>
    <x v="2"/>
    <s v="On Hold"/>
    <n v="0.09"/>
    <n v="6412000"/>
    <s v="Attending Investec Golf Day"/>
  </r>
  <r>
    <s v="INV-0054"/>
    <s v="David"/>
    <s v="Mahlangu"/>
    <n v="58"/>
    <s v="Male"/>
    <s v="Western Cape"/>
    <s v="Medical Specialist"/>
    <s v="Mining &amp; Resources"/>
    <n v="42988000"/>
    <x v="4"/>
    <s v="Executive Search Firm"/>
    <s v="2025-06-23"/>
    <s v="2025-08-18"/>
    <n v="2"/>
    <s v="Currency Solutions"/>
    <n v="3"/>
    <x v="0"/>
    <s v="Won"/>
    <n v="0.98"/>
    <n v="31384000"/>
    <s v="Decision expected next quarter"/>
  </r>
  <r>
    <s v="INV-0055"/>
    <s v="Ayasha"/>
    <s v="Mahlangu"/>
    <n v="58"/>
    <s v="Female"/>
    <s v="Gauteng"/>
    <s v="Engineer"/>
    <s v="Financial Services"/>
    <n v="14944000"/>
    <x v="4"/>
    <s v="Broker Network"/>
    <s v="2025-10-27"/>
    <s v="2025-11-25"/>
    <n v="11"/>
    <s v="Equity Portfolio"/>
    <n v="3"/>
    <x v="0"/>
    <s v="Proposal Sent"/>
    <n v="0.51"/>
    <n v="11090000"/>
    <s v="High probability – verbal commitment"/>
  </r>
  <r>
    <s v="INV-0056"/>
    <s v="Bongiwe"/>
    <s v="Naidoo"/>
    <n v="39"/>
    <s v="Female"/>
    <s v="Western Cape"/>
    <s v="Entrepreneur"/>
    <s v="Real Estate"/>
    <n v="5583000"/>
    <x v="1"/>
    <s v="Referral – Existing Client"/>
    <s v="2025-06-05"/>
    <s v="2025-07-11"/>
    <n v="2"/>
    <s v="Private Banking"/>
    <n v="5"/>
    <x v="0"/>
    <s v="Engaged"/>
    <n v="0.28999999999999998"/>
    <n v="3547000"/>
    <s v="Decision expected next quarter"/>
  </r>
  <r>
    <s v="INV-0057"/>
    <s v="Lerato"/>
    <s v="Pillay"/>
    <n v="61"/>
    <s v="Female"/>
    <s v="KwaZulu-Natal"/>
    <s v="Entrepreneur"/>
    <s v="Agriculture"/>
    <n v="9758000"/>
    <x v="1"/>
    <s v="Referral – Existing Client"/>
    <s v="2025-04-22"/>
    <s v="2025-05-25"/>
    <n v="8"/>
    <s v="Tax Structuring"/>
    <n v="7"/>
    <x v="2"/>
    <s v="Lost"/>
    <n v="0"/>
    <n v="5584000"/>
    <s v="Introduced via legal firm partner"/>
  </r>
  <r>
    <s v="INV-0058"/>
    <s v="Nomvula"/>
    <s v="Ferreira"/>
    <n v="52"/>
    <s v="Female"/>
    <s v="Gauteng"/>
    <s v="CFO"/>
    <s v="Retail"/>
    <n v="145448000"/>
    <x v="3"/>
    <s v="Referral – Existing Client"/>
    <s v="2025-06-20"/>
    <s v="2025-07-10"/>
    <n v="3"/>
    <s v="Tax Structuring"/>
    <n v="3"/>
    <x v="0"/>
    <s v="Proposal Sent"/>
    <n v="0.53"/>
    <n v="106882000"/>
    <s v="Competitor relationship – price sensitive"/>
  </r>
  <r>
    <s v="INV-0059"/>
    <s v="Brendan"/>
    <s v="Dlamini"/>
    <n v="52"/>
    <s v="Male"/>
    <s v="Eastern Cape"/>
    <s v="Executive Director"/>
    <s v="Mining &amp; Resources"/>
    <n v="8993000"/>
    <x v="1"/>
    <s v="LinkedIn Outreach"/>
    <s v="2025-03-09"/>
    <s v="2025-03-14"/>
    <n v="6"/>
    <s v="Tax Structuring"/>
    <n v="7"/>
    <x v="2"/>
    <s v="Qualified"/>
    <n v="0.12"/>
    <n v="3268000"/>
    <s v="Interested in impact investing"/>
  </r>
  <r>
    <s v="INV-0060"/>
    <s v="Pieter"/>
    <s v="Mokoena"/>
    <n v="65"/>
    <s v="Male"/>
    <s v="Gauteng"/>
    <s v="Attorney"/>
    <s v="Consulting"/>
    <n v="7260000"/>
    <x v="1"/>
    <s v="Private Banking Referral"/>
    <s v="2025-01-23"/>
    <s v="2025-03-15"/>
    <n v="11"/>
    <s v="Estate Planning"/>
    <n v="9"/>
    <x v="2"/>
    <s v="Identified"/>
    <n v="0.05"/>
    <n v="5254000"/>
    <s v="Interested in impact investing"/>
  </r>
  <r>
    <s v="INV-0061"/>
    <s v="Andile"/>
    <s v="Jacobs"/>
    <n v="39"/>
    <s v="Male"/>
    <s v="Free State"/>
    <s v="Attorney"/>
    <s v="Agriculture"/>
    <n v="15048000"/>
    <x v="4"/>
    <s v="Broker Network"/>
    <s v="2025-09-29"/>
    <s v="2025-10-22"/>
    <n v="8"/>
    <s v="Fixed Income"/>
    <n v="3"/>
    <x v="2"/>
    <s v="On Hold"/>
    <n v="0.12"/>
    <n v="11118000"/>
    <s v="High probability – verbal commitment"/>
  </r>
  <r>
    <s v="INV-0062"/>
    <s v="Ruan"/>
    <s v="Jacobs"/>
    <n v="49"/>
    <s v="Male"/>
    <s v="Gauteng"/>
    <s v="Entrepreneur"/>
    <s v="Manufacturing"/>
    <n v="5475000"/>
    <x v="1"/>
    <s v="Cold Outreach"/>
    <s v="2025-05-11"/>
    <s v="2025-06-08"/>
    <n v="3"/>
    <s v="Currency Solutions"/>
    <n v="3"/>
    <x v="2"/>
    <s v="Won"/>
    <n v="0.97"/>
    <n v="2825000"/>
    <s v="Decision expected next quarter"/>
  </r>
  <r>
    <s v="INV-0063"/>
    <s v="Michelle"/>
    <s v="Pillay"/>
    <n v="70"/>
    <s v="Female"/>
    <s v="Gauteng"/>
    <s v="Investment Banker"/>
    <s v="Consulting"/>
    <n v="14889000"/>
    <x v="4"/>
    <s v="Broker Network"/>
    <s v="2025-01-27"/>
    <s v="2025-02-19"/>
    <n v="10"/>
    <s v="Estate Planning"/>
    <n v="7"/>
    <x v="2"/>
    <s v="Proposal Sent"/>
    <n v="0.48"/>
    <n v="5619000"/>
    <s v="Needs estate planning review"/>
  </r>
  <r>
    <s v="INV-0064"/>
    <s v="Nkosinathi"/>
    <s v="Smith"/>
    <n v="57"/>
    <s v="Male"/>
    <s v="Eastern Cape"/>
    <s v="Attorney"/>
    <s v="Healthcare"/>
    <n v="3722000"/>
    <x v="0"/>
    <s v="Cold Outreach"/>
    <s v="2025-10-13"/>
    <s v="2025-10-19"/>
    <n v="10"/>
    <s v="Estate Planning"/>
    <n v="2"/>
    <x v="0"/>
    <s v="Engaged"/>
    <n v="0.33"/>
    <n v="1692000"/>
    <s v="Competitor relationship – price sensitive"/>
  </r>
  <r>
    <s v="INV-0065"/>
    <s v="Nomvula"/>
    <s v="Botha"/>
    <n v="44"/>
    <s v="Female"/>
    <s v="Western Cape"/>
    <s v="Engineer"/>
    <s v="Healthcare"/>
    <n v="35327000"/>
    <x v="4"/>
    <s v="Referral – Existing Client"/>
    <s v="2025-09-29"/>
    <s v="2025-10-17"/>
    <n v="7"/>
    <s v="Fixed Income"/>
    <n v="9"/>
    <x v="1"/>
    <s v="Qualified"/>
    <n v="0.14000000000000001"/>
    <n v="23344000"/>
    <s v="Re-engage post year-end"/>
  </r>
  <r>
    <s v="INV-0066"/>
    <s v="Gareth"/>
    <s v="Van der Merwe"/>
    <n v="44"/>
    <s v="Male"/>
    <s v="Gauteng"/>
    <s v="Property Developer"/>
    <s v="Financial Services"/>
    <n v="2816000"/>
    <x v="0"/>
    <s v="Cold Outreach"/>
    <s v="2025-08-15"/>
    <s v="2025-09-15"/>
    <n v="5"/>
    <s v="Tax Structuring"/>
    <n v="10"/>
    <x v="2"/>
    <s v="Engaged"/>
    <n v="0.27"/>
    <n v="1244000"/>
    <s v="Introduced via legal firm partner"/>
  </r>
  <r>
    <s v="INV-0067"/>
    <s v="Nicole"/>
    <s v="Nkosi"/>
    <n v="37"/>
    <s v="Female"/>
    <s v="Gauteng"/>
    <s v="Property Developer"/>
    <s v="Financial Services"/>
    <n v="185639000"/>
    <x v="3"/>
    <s v="Private Banking Referral"/>
    <s v="2025-05-11"/>
    <s v="2025-06-03"/>
    <n v="6"/>
    <s v="Private Banking"/>
    <n v="2"/>
    <x v="3"/>
    <s v="Negotiation"/>
    <n v="0.68"/>
    <n v="67683000"/>
    <s v="High probability – verbal commitment"/>
  </r>
  <r>
    <s v="INV-0068"/>
    <s v="Michael"/>
    <s v="Mahlangu"/>
    <n v="57"/>
    <s v="Male"/>
    <s v="Gauteng"/>
    <s v="Chartered Accountant"/>
    <s v="Financial Services"/>
    <n v="7299000"/>
    <x v="1"/>
    <s v="LinkedIn Outreach"/>
    <s v="2025-10-22"/>
    <s v="2025-11-23"/>
    <n v="10"/>
    <s v="Fixed Income"/>
    <n v="8"/>
    <x v="1"/>
    <s v="Qualified"/>
    <n v="0.12"/>
    <n v="5716000"/>
    <s v="Attending Investec Golf Day"/>
  </r>
  <r>
    <s v="INV-0069"/>
    <s v="Ayasha"/>
    <s v="Zwane"/>
    <n v="40"/>
    <s v="Female"/>
    <s v="Gauteng"/>
    <s v="CFO"/>
    <s v="Technology"/>
    <n v="7002000"/>
    <x v="1"/>
    <s v="LinkedIn Outreach"/>
    <s v="2025-06-08"/>
    <s v="2025-07-30"/>
    <n v="6"/>
    <s v="Tax Structuring"/>
    <n v="7"/>
    <x v="0"/>
    <s v="Identified"/>
    <n v="7.0000000000000007E-2"/>
    <n v="2500000"/>
    <s v="High probability – verbal commitment"/>
  </r>
  <r>
    <s v="INV-0070"/>
    <s v="Gareth"/>
    <s v="Zwane"/>
    <n v="57"/>
    <s v="Male"/>
    <s v="KwaZulu-Natal"/>
    <s v="Retired Executive"/>
    <s v="Mining &amp; Resources"/>
    <n v="15858000"/>
    <x v="4"/>
    <s v="Private Banking Referral"/>
    <s v="2025-03-20"/>
    <s v="2025-05-12"/>
    <n v="11"/>
    <s v="Private Banking"/>
    <n v="4"/>
    <x v="3"/>
    <s v="Proposal Sent"/>
    <n v="0.51"/>
    <n v="10782000"/>
    <s v="Needs estate planning review"/>
  </r>
  <r>
    <s v="INV-0071"/>
    <s v="Ayasha"/>
    <s v="Meyer"/>
    <n v="44"/>
    <s v="Female"/>
    <s v="Gauteng"/>
    <s v="Entrepreneur"/>
    <s v="Retail"/>
    <n v="8982000"/>
    <x v="1"/>
    <s v="Referral – Existing Client"/>
    <s v="2025-09-17"/>
    <s v="2025-09-26"/>
    <n v="5"/>
    <s v="Currency Solutions"/>
    <n v="9"/>
    <x v="2"/>
    <s v="Identified"/>
    <n v="0.08"/>
    <n v="3984000"/>
    <s v="Introduced via legal firm partner"/>
  </r>
  <r>
    <s v="INV-0072"/>
    <s v="John"/>
    <s v="Coetzee"/>
    <n v="59"/>
    <s v="Male"/>
    <s v="Western Cape"/>
    <s v="Investment Banker"/>
    <s v="Financial Services"/>
    <n v="9049000"/>
    <x v="1"/>
    <s v="Private Banking Referral"/>
    <s v="2025-09-01"/>
    <s v="2025-10-08"/>
    <n v="3"/>
    <s v="Wealth Management"/>
    <n v="9"/>
    <x v="2"/>
    <s v="Won"/>
    <n v="1"/>
    <n v="4269000"/>
    <s v="Decision expected next quarter"/>
  </r>
  <r>
    <s v="INV-0073"/>
    <s v="Michael"/>
    <s v="Botha"/>
    <n v="37"/>
    <s v="Male"/>
    <s v="Gauteng"/>
    <s v="Entrepreneur"/>
    <s v="Retail"/>
    <n v="8049000"/>
    <x v="1"/>
    <s v="Broker Network"/>
    <s v="2025-05-25"/>
    <s v="2025-06-23"/>
    <n v="7"/>
    <s v="Equity Portfolio"/>
    <n v="2"/>
    <x v="1"/>
    <s v="Identified"/>
    <n v="0.02"/>
    <n v="4660000"/>
    <s v="Interested in impact investing"/>
  </r>
  <r>
    <s v="INV-0074"/>
    <s v="Emma"/>
    <s v="Pillay"/>
    <n v="56"/>
    <s v="Female"/>
    <s v="Gauteng"/>
    <s v="Retired Executive"/>
    <s v="Mining &amp; Resources"/>
    <n v="965000"/>
    <x v="2"/>
    <s v="Cold Outreach"/>
    <s v="2025-02-13"/>
    <s v="2025-03-09"/>
    <n v="9"/>
    <s v="Fixed Income"/>
    <n v="7"/>
    <x v="0"/>
    <s v="Negotiation"/>
    <n v="0.73"/>
    <n v="746000"/>
    <s v="Introduced via legal firm partner"/>
  </r>
  <r>
    <s v="INV-0075"/>
    <s v="Kyle"/>
    <s v="Ndlovu"/>
    <n v="67"/>
    <s v="Male"/>
    <s v="Gauteng"/>
    <s v="Attorney"/>
    <s v="Real Estate"/>
    <n v="18568000"/>
    <x v="4"/>
    <s v="Executive Search Firm"/>
    <s v="2025-04-26"/>
    <s v="2025-05-09"/>
    <n v="3"/>
    <s v="Private Banking"/>
    <n v="6"/>
    <x v="2"/>
    <s v="Proposal Sent"/>
    <n v="0.51"/>
    <n v="13324000"/>
    <s v="High probability – verbal commitment"/>
  </r>
  <r>
    <s v="INV-0076"/>
    <s v="Kyle"/>
    <s v="Meyer"/>
    <n v="43"/>
    <s v="Male"/>
    <s v="Western Cape"/>
    <s v="Executive Director"/>
    <s v="Mining &amp; Resources"/>
    <n v="37714000"/>
    <x v="4"/>
    <s v="Events &amp; Seminars"/>
    <s v="2025-01-23"/>
    <s v="2025-02-23"/>
    <n v="6"/>
    <s v="Tax Structuring"/>
    <n v="9"/>
    <x v="1"/>
    <s v="Won"/>
    <n v="1"/>
    <n v="19780000"/>
    <s v="High probability – verbal commitment"/>
  </r>
  <r>
    <s v="INV-0077"/>
    <s v="Thabo"/>
    <s v="Sithebe"/>
    <n v="47"/>
    <s v="Male"/>
    <s v="Gauteng"/>
    <s v="Property Developer"/>
    <s v="Retail"/>
    <n v="6409000"/>
    <x v="1"/>
    <s v="Cold Outreach"/>
    <s v="2025-09-28"/>
    <s v="2025-10-29"/>
    <n v="3"/>
    <s v="Tax Structuring"/>
    <n v="4"/>
    <x v="1"/>
    <s v="Identified"/>
    <n v="0.05"/>
    <n v="4724000"/>
    <s v="High probability – verbal commitment"/>
  </r>
  <r>
    <s v="INV-0078"/>
    <s v="Pieter"/>
    <s v="Coetzee"/>
    <n v="42"/>
    <s v="Male"/>
    <s v="Gauteng"/>
    <s v="Executive Director"/>
    <s v="Real Estate"/>
    <n v="7567000"/>
    <x v="1"/>
    <s v="Cold Outreach"/>
    <s v="2025-04-24"/>
    <s v="2025-06-20"/>
    <n v="8"/>
    <s v="Equity Portfolio"/>
    <n v="2"/>
    <x v="3"/>
    <s v="Identified"/>
    <n v="0.06"/>
    <n v="3685000"/>
    <s v="Interested in impact investing"/>
  </r>
  <r>
    <s v="INV-0079"/>
    <s v="Stefan"/>
    <s v="Naidoo"/>
    <n v="36"/>
    <s v="Male"/>
    <s v="Gauteng"/>
    <s v="CFO"/>
    <s v="Legal"/>
    <n v="2413000"/>
    <x v="0"/>
    <s v="Digital Campaign"/>
    <s v="2025-03-13"/>
    <s v="2025-05-05"/>
    <n v="12"/>
    <s v="Currency Solutions"/>
    <n v="9"/>
    <x v="2"/>
    <s v="On Hold"/>
    <n v="7.0000000000000007E-2"/>
    <n v="1033000"/>
    <s v="Attending Investec Golf Day"/>
  </r>
  <r>
    <s v="INV-0080"/>
    <s v="Sarah"/>
    <s v="Nkosi"/>
    <n v="50"/>
    <s v="Female"/>
    <s v="Gauteng"/>
    <s v="CEO"/>
    <s v="Technology"/>
    <n v="8969000"/>
    <x v="1"/>
    <s v="Executive Search Firm"/>
    <s v="2025-02-26"/>
    <s v="2025-04-25"/>
    <n v="8"/>
    <s v="Wealth Management"/>
    <n v="10"/>
    <x v="0"/>
    <s v="Negotiation"/>
    <n v="0.69"/>
    <n v="4616000"/>
    <s v="Re-engage post year-end"/>
  </r>
  <r>
    <s v="INV-0081"/>
    <s v="Zanele"/>
    <s v="Ndlovu"/>
    <n v="46"/>
    <s v="Female"/>
    <s v="KwaZulu-Natal"/>
    <s v="CFO"/>
    <s v="Consulting"/>
    <n v="602000"/>
    <x v="2"/>
    <s v="Referral – Existing Client"/>
    <s v="2025-08-29"/>
    <s v="2025-09-05"/>
    <n v="11"/>
    <s v="Fixed Income"/>
    <n v="7"/>
    <x v="1"/>
    <s v="Negotiation"/>
    <n v="0.69"/>
    <n v="418000"/>
    <s v="Competitor relationship – price sensitive"/>
  </r>
  <r>
    <s v="INV-0082"/>
    <s v="Pieter"/>
    <s v="Smith"/>
    <n v="72"/>
    <s v="Male"/>
    <s v="KwaZulu-Natal"/>
    <s v="Attorney"/>
    <s v="Mining &amp; Resources"/>
    <n v="295706000"/>
    <x v="3"/>
    <s v="Events &amp; Seminars"/>
    <s v="2025-09-03"/>
    <s v="2025-10-18"/>
    <n v="3"/>
    <s v="Offshore Investments"/>
    <n v="3"/>
    <x v="3"/>
    <s v="Identified"/>
    <n v="0.03"/>
    <n v="95189000"/>
    <s v="Request for offshore structuring"/>
  </r>
  <r>
    <s v="INV-0083"/>
    <s v="Stefan"/>
    <s v="Nkosi"/>
    <n v="67"/>
    <s v="Male"/>
    <s v="Gauteng"/>
    <s v="Investment Banker"/>
    <s v="Retail"/>
    <n v="40132000"/>
    <x v="4"/>
    <s v="Private Banking Referral"/>
    <s v="2025-07-02"/>
    <s v="2025-08-31"/>
    <n v="1"/>
    <s v="Equity Portfolio"/>
    <n v="6"/>
    <x v="2"/>
    <s v="Won"/>
    <n v="1"/>
    <n v="29888000"/>
    <s v="Decision expected next quarter"/>
  </r>
  <r>
    <s v="INV-0084"/>
    <s v="Bongiwe"/>
    <s v="Ferreira"/>
    <n v="56"/>
    <s v="Female"/>
    <s v="Mpumalanga"/>
    <s v="Entrepreneur"/>
    <s v="Retail"/>
    <n v="41892000"/>
    <x v="4"/>
    <s v="Digital Campaign"/>
    <s v="2025-08-06"/>
    <s v="2025-08-16"/>
    <n v="7"/>
    <s v="Offshore Investments"/>
    <n v="10"/>
    <x v="1"/>
    <s v="Engaged"/>
    <n v="0.27"/>
    <n v="19436000"/>
    <s v="Family office opportunity"/>
  </r>
  <r>
    <s v="INV-0085"/>
    <s v="Fatima"/>
    <s v="Ndlovu"/>
    <n v="45"/>
    <s v="Female"/>
    <s v="KwaZulu-Natal"/>
    <s v="Attorney"/>
    <s v="Retail"/>
    <n v="441517000"/>
    <x v="3"/>
    <s v="Broker Network"/>
    <s v="2025-08-11"/>
    <s v="2025-09-02"/>
    <n v="11"/>
    <s v="Wealth Management"/>
    <n v="3"/>
    <x v="3"/>
    <s v="Engaged"/>
    <n v="0.33"/>
    <n v="298001000"/>
    <s v="Attending Investec Golf Day"/>
  </r>
  <r>
    <s v="INV-0086"/>
    <s v="David"/>
    <s v="Jacobs"/>
    <n v="37"/>
    <s v="Male"/>
    <s v="Gauteng"/>
    <s v="Portfolio Manager"/>
    <s v="Legal"/>
    <n v="47979000"/>
    <x v="4"/>
    <s v="Referral – Existing Client"/>
    <s v="2025-03-20"/>
    <s v="2025-05-07"/>
    <n v="8"/>
    <s v="Equity Portfolio"/>
    <n v="7"/>
    <x v="3"/>
    <s v="Won"/>
    <n v="1"/>
    <n v="17697000"/>
    <s v="Competitor relationship – price sensitive"/>
  </r>
  <r>
    <s v="INV-0087"/>
    <s v="Priya"/>
    <s v="Pretorius"/>
    <n v="50"/>
    <s v="Female"/>
    <s v="Mpumalanga"/>
    <s v="CEO"/>
    <s v="Mining &amp; Resources"/>
    <n v="6935000"/>
    <x v="1"/>
    <s v="LinkedIn Outreach"/>
    <s v="2025-05-14"/>
    <s v="2025-07-03"/>
    <n v="8"/>
    <s v="Tax Structuring"/>
    <n v="6"/>
    <x v="3"/>
    <s v="Qualified"/>
    <n v="0.13"/>
    <n v="5038000"/>
    <s v="Needs estate planning review"/>
  </r>
  <r>
    <s v="INV-0088"/>
    <s v="Gareth"/>
    <s v="Jacobs"/>
    <n v="40"/>
    <s v="Male"/>
    <s v="Eastern Cape"/>
    <s v="Attorney"/>
    <s v="Legal"/>
    <n v="3650000"/>
    <x v="0"/>
    <s v="Digital Campaign"/>
    <s v="2025-03-22"/>
    <s v="2025-05-11"/>
    <n v="12"/>
    <s v="Offshore Investments"/>
    <n v="7"/>
    <x v="0"/>
    <s v="Qualified"/>
    <n v="0.13"/>
    <n v="2541000"/>
    <s v="Request for offshore structuring"/>
  </r>
  <r>
    <s v="INV-0089"/>
    <s v="Nomvula"/>
    <s v="Zwane"/>
    <n v="70"/>
    <s v="Female"/>
    <s v="Western Cape"/>
    <s v="Entrepreneur"/>
    <s v="Consulting"/>
    <n v="45370000"/>
    <x v="4"/>
    <s v="LinkedIn Outreach"/>
    <s v="2025-07-23"/>
    <s v="2025-09-11"/>
    <n v="12"/>
    <s v="Currency Solutions"/>
    <n v="10"/>
    <x v="3"/>
    <s v="Won"/>
    <n v="1"/>
    <n v="26653000"/>
    <s v="Attending Investec Golf Day"/>
  </r>
  <r>
    <s v="INV-0090"/>
    <s v="Amahle"/>
    <s v="Mokoena"/>
    <n v="63"/>
    <s v="Female"/>
    <s v="Western Cape"/>
    <s v="Investment Banker"/>
    <s v="Legal"/>
    <n v="43162000"/>
    <x v="4"/>
    <s v="Events &amp; Seminars"/>
    <s v="2025-08-10"/>
    <s v="2025-09-16"/>
    <n v="1"/>
    <s v="Private Banking"/>
    <n v="10"/>
    <x v="0"/>
    <s v="Engaged"/>
    <n v="0.28000000000000003"/>
    <n v="19912000"/>
    <s v="Decision expected next quarter"/>
  </r>
  <r>
    <s v="INV-0091"/>
    <s v="Stefan"/>
    <s v="Coetzee"/>
    <n v="53"/>
    <s v="Male"/>
    <s v="Eastern Cape"/>
    <s v="Medical Specialist"/>
    <s v="Technology"/>
    <n v="7754000"/>
    <x v="1"/>
    <s v="Events &amp; Seminars"/>
    <s v="2025-06-05"/>
    <s v="2025-07-19"/>
    <n v="9"/>
    <s v="Private Banking"/>
    <n v="10"/>
    <x v="0"/>
    <s v="Proposal Sent"/>
    <n v="0.51"/>
    <n v="2924000"/>
    <s v="Introduced via legal firm partner"/>
  </r>
  <r>
    <s v="INV-0092"/>
    <s v="Ayasha"/>
    <s v="Van der Merwe"/>
    <n v="36"/>
    <s v="Female"/>
    <s v="Gauteng"/>
    <s v="Retired Executive"/>
    <s v="Agriculture"/>
    <n v="18432000"/>
    <x v="4"/>
    <s v="Cold Outreach"/>
    <s v="2025-01-16"/>
    <s v="2025-02-21"/>
    <n v="11"/>
    <s v="Estate Planning"/>
    <n v="6"/>
    <x v="3"/>
    <s v="Qualified"/>
    <n v="0.18"/>
    <n v="11842000"/>
    <s v="Family office opportunity"/>
  </r>
  <r>
    <s v="INV-0093"/>
    <s v="Sarah"/>
    <s v="Van der Merwe"/>
    <n v="45"/>
    <s v="Female"/>
    <s v="Gauteng"/>
    <s v="Entrepreneur"/>
    <s v="Retail"/>
    <n v="34266000"/>
    <x v="4"/>
    <s v="Broker Network"/>
    <s v="2025-06-26"/>
    <s v="2025-07-26"/>
    <n v="3"/>
    <s v="Equity Portfolio"/>
    <n v="10"/>
    <x v="2"/>
    <s v="Engaged"/>
    <n v="0.3"/>
    <n v="12379000"/>
    <s v="Needs estate planning review"/>
  </r>
  <r>
    <s v="INV-0094"/>
    <s v="David"/>
    <s v="Smith"/>
    <n v="38"/>
    <s v="Male"/>
    <s v="Gauteng"/>
    <s v="Engineer"/>
    <s v="Agriculture"/>
    <n v="9813000"/>
    <x v="1"/>
    <s v="Events &amp; Seminars"/>
    <s v="2025-10-23"/>
    <s v="2025-12-13"/>
    <n v="6"/>
    <s v="Tax Structuring"/>
    <n v="4"/>
    <x v="3"/>
    <s v="Lost"/>
    <n v="0"/>
    <n v="5391000"/>
    <s v="Family office opportunity"/>
  </r>
  <r>
    <s v="INV-0095"/>
    <s v="Nomvula"/>
    <s v="Mokoena"/>
    <n v="60"/>
    <s v="Female"/>
    <s v="Western Cape"/>
    <s v="Portfolio Manager"/>
    <s v="Technology"/>
    <n v="5243000"/>
    <x v="1"/>
    <s v="Digital Campaign"/>
    <s v="2025-08-29"/>
    <s v="2025-09-21"/>
    <n v="9"/>
    <s v="Wealth Management"/>
    <n v="3"/>
    <x v="3"/>
    <s v="Qualified"/>
    <n v="0.14000000000000001"/>
    <n v="3480000"/>
    <s v="Interested in impact investing"/>
  </r>
  <r>
    <s v="INV-0096"/>
    <s v="Nomvula"/>
    <s v="Ferreira"/>
    <n v="38"/>
    <s v="Female"/>
    <s v="Western Cape"/>
    <s v="Portfolio Manager"/>
    <s v="Legal"/>
    <n v="5368000"/>
    <x v="1"/>
    <s v="Executive Search Firm"/>
    <s v="2025-05-24"/>
    <s v="2025-07-20"/>
    <n v="10"/>
    <s v="Private Banking"/>
    <n v="4"/>
    <x v="2"/>
    <s v="Engaged"/>
    <n v="0.33"/>
    <n v="4259000"/>
    <s v="High probability – verbal commitment"/>
  </r>
  <r>
    <s v="INV-0097"/>
    <s v="Michelle"/>
    <s v="Pillay"/>
    <n v="47"/>
    <s v="Female"/>
    <s v="Western Cape"/>
    <s v="Engineer"/>
    <s v="Consulting"/>
    <n v="67511000"/>
    <x v="3"/>
    <s v="Broker Network"/>
    <s v="2025-09-23"/>
    <s v="2025-10-27"/>
    <n v="3"/>
    <s v="Offshore Investments"/>
    <n v="7"/>
    <x v="1"/>
    <s v="Qualified"/>
    <n v="0.16"/>
    <n v="45209000"/>
    <s v="Family office opportunity"/>
  </r>
  <r>
    <s v="INV-0098"/>
    <s v="Nicole"/>
    <s v="Coetzee"/>
    <n v="69"/>
    <s v="Female"/>
    <s v="Western Cape"/>
    <s v="Property Developer"/>
    <s v="Real Estate"/>
    <n v="5083000"/>
    <x v="1"/>
    <s v="Broker Network"/>
    <s v="2025-08-02"/>
    <s v="2025-09-13"/>
    <n v="5"/>
    <s v="Wealth Management"/>
    <n v="9"/>
    <x v="1"/>
    <s v="Lost"/>
    <n v="0.03"/>
    <n v="3995000"/>
    <s v="Re-engage post year-end"/>
  </r>
  <r>
    <s v="INV-0099"/>
    <s v="Pieter"/>
    <s v="Van der Merwe"/>
    <n v="72"/>
    <s v="Male"/>
    <s v="Western Cape"/>
    <s v="Investment Banker"/>
    <s v="Agriculture"/>
    <n v="3141000"/>
    <x v="0"/>
    <s v="Private Banking Referral"/>
    <s v="2025-10-21"/>
    <s v="2025-12-09"/>
    <n v="2"/>
    <s v="Tax Structuring"/>
    <n v="2"/>
    <x v="3"/>
    <s v="Engaged"/>
    <n v="0.28000000000000003"/>
    <n v="1591000"/>
    <s v="Request for offshore structuring"/>
  </r>
  <r>
    <s v="INV-0100"/>
    <s v="Nicole"/>
    <s v="Sithebe"/>
    <n v="38"/>
    <s v="Female"/>
    <s v="KwaZulu-Natal"/>
    <s v="Investment Banker"/>
    <s v="Technology"/>
    <n v="9991000"/>
    <x v="1"/>
    <s v="Executive Search Firm"/>
    <s v="2025-07-12"/>
    <s v="2025-08-06"/>
    <n v="3"/>
    <s v="Currency Solutions"/>
    <n v="10"/>
    <x v="1"/>
    <s v="Proposal Sent"/>
    <n v="0.52"/>
    <n v="6854000"/>
    <s v="Decision expected next quarter"/>
  </r>
  <r>
    <s v="INV-0101"/>
    <s v="Lerato"/>
    <s v="Sithebe"/>
    <n v="47"/>
    <s v="Female"/>
    <s v="Mpumalanga"/>
    <s v="Medical Specialist"/>
    <s v="Consulting"/>
    <n v="47659000"/>
    <x v="4"/>
    <s v="Digital Campaign"/>
    <s v="2025-04-17"/>
    <s v="2025-06-05"/>
    <n v="12"/>
    <s v="Currency Solutions"/>
    <n v="7"/>
    <x v="3"/>
    <s v="Engaged"/>
    <n v="0.33"/>
    <n v="31495000"/>
    <s v="Family office opportunity"/>
  </r>
  <r>
    <s v="INV-0102"/>
    <s v="John"/>
    <s v="Mahlangu"/>
    <n v="59"/>
    <s v="Male"/>
    <s v="Free State"/>
    <s v="Engineer"/>
    <s v="Legal"/>
    <n v="1707000"/>
    <x v="2"/>
    <s v="Digital Campaign"/>
    <s v="2025-05-28"/>
    <s v="2025-07-17"/>
    <n v="2"/>
    <s v="Equity Portfolio"/>
    <n v="9"/>
    <x v="1"/>
    <s v="Negotiation"/>
    <n v="0.68"/>
    <n v="685000"/>
    <s v="High probability – verbal commitment"/>
  </r>
  <r>
    <s v="INV-0103"/>
    <s v="Bongiwe"/>
    <s v="Mahlangu"/>
    <n v="52"/>
    <s v="Female"/>
    <s v="Gauteng"/>
    <s v="Property Developer"/>
    <s v="Agriculture"/>
    <n v="12031000"/>
    <x v="4"/>
    <s v="Private Banking Referral"/>
    <s v="2025-04-30"/>
    <s v="2025-05-08"/>
    <n v="2"/>
    <s v="Fixed Income"/>
    <n v="7"/>
    <x v="3"/>
    <s v="Qualified"/>
    <n v="0.18"/>
    <n v="4436000"/>
    <s v="High probability – verbal commitment"/>
  </r>
  <r>
    <s v="INV-0104"/>
    <s v="Ruan"/>
    <s v="Sithebe"/>
    <n v="65"/>
    <s v="Male"/>
    <s v="KwaZulu-Natal"/>
    <s v="Medical Specialist"/>
    <s v="Legal"/>
    <n v="12367000"/>
    <x v="4"/>
    <s v="LinkedIn Outreach"/>
    <s v="2025-10-21"/>
    <s v="2025-11-09"/>
    <n v="9"/>
    <s v="Wealth Management"/>
    <n v="4"/>
    <x v="3"/>
    <s v="On Hold"/>
    <n v="0.08"/>
    <n v="9485000"/>
    <s v="Follow up Q3 – bonus season"/>
  </r>
  <r>
    <s v="INV-0105"/>
    <s v="Michelle"/>
    <s v="Sithebe"/>
    <n v="46"/>
    <s v="Female"/>
    <s v="Free State"/>
    <s v="Medical Specialist"/>
    <s v="Financial Services"/>
    <n v="305583000"/>
    <x v="3"/>
    <s v="LinkedIn Outreach"/>
    <s v="2025-05-26"/>
    <s v="2025-06-29"/>
    <n v="11"/>
    <s v="Currency Solutions"/>
    <n v="4"/>
    <x v="3"/>
    <s v="Engaged"/>
    <n v="0.33"/>
    <n v="108886000"/>
    <s v="Attending Investec Golf Day"/>
  </r>
  <r>
    <s v="INV-0106"/>
    <s v="Amahle"/>
    <s v="Pretorius"/>
    <n v="46"/>
    <s v="Female"/>
    <s v="Gauteng"/>
    <s v="Attorney"/>
    <s v="Real Estate"/>
    <n v="8786000"/>
    <x v="1"/>
    <s v="Events &amp; Seminars"/>
    <s v="2025-07-27"/>
    <s v="2025-09-22"/>
    <n v="7"/>
    <s v="Equity Portfolio"/>
    <n v="3"/>
    <x v="3"/>
    <s v="Negotiation"/>
    <n v="0.68"/>
    <n v="6948000"/>
    <s v="Needs estate planning review"/>
  </r>
  <r>
    <s v="INV-0107"/>
    <s v="Bongiwe"/>
    <s v="Naidoo"/>
    <n v="35"/>
    <s v="Female"/>
    <s v="Gauteng"/>
    <s v="Portfolio Manager"/>
    <s v="Retail"/>
    <n v="4862000"/>
    <x v="0"/>
    <s v="Digital Campaign"/>
    <s v="2025-10-21"/>
    <s v="2025-10-26"/>
    <n v="5"/>
    <s v="Equity Portfolio"/>
    <n v="5"/>
    <x v="2"/>
    <s v="Negotiation"/>
    <n v="0.7"/>
    <n v="2204000"/>
    <s v="Interested in impact investing"/>
  </r>
  <r>
    <s v="INV-0108"/>
    <s v="Tanya"/>
    <s v="Smith"/>
    <n v="53"/>
    <s v="Female"/>
    <s v="Gauteng"/>
    <s v="Portfolio Manager"/>
    <s v="Technology"/>
    <n v="1217000"/>
    <x v="2"/>
    <s v="Executive Search Firm"/>
    <s v="2025-07-11"/>
    <s v="2025-08-11"/>
    <n v="12"/>
    <s v="Currency Solutions"/>
    <n v="10"/>
    <x v="0"/>
    <s v="Won"/>
    <n v="1"/>
    <n v="824000"/>
    <s v="Referred to private banking team"/>
  </r>
  <r>
    <s v="INV-0109"/>
    <s v="Nicole"/>
    <s v="Zwane"/>
    <n v="39"/>
    <s v="Female"/>
    <s v="Free State"/>
    <s v="CFO"/>
    <s v="Financial Services"/>
    <n v="4709000"/>
    <x v="0"/>
    <s v="Private Banking Referral"/>
    <s v="2025-10-02"/>
    <s v="2025-10-16"/>
    <n v="3"/>
    <s v="Equity Portfolio"/>
    <n v="10"/>
    <x v="3"/>
    <s v="Qualified"/>
    <n v="0.13"/>
    <n v="3101000"/>
    <s v="Needs estate planning review"/>
  </r>
  <r>
    <s v="INV-0110"/>
    <s v="Gareth"/>
    <s v="Coetzee"/>
    <n v="63"/>
    <s v="Male"/>
    <s v="Eastern Cape"/>
    <s v="Entrepreneur"/>
    <s v="Mining &amp; Resources"/>
    <n v="7284000"/>
    <x v="1"/>
    <s v="Referral – Existing Client"/>
    <s v="2025-08-25"/>
    <s v="2025-10-12"/>
    <n v="5"/>
    <s v="Wealth Management"/>
    <n v="8"/>
    <x v="1"/>
    <s v="Won"/>
    <n v="1"/>
    <n v="2979000"/>
    <s v="Referred to private banking team"/>
  </r>
  <r>
    <s v="INV-0111"/>
    <s v="Ruan"/>
    <s v="Zwane"/>
    <n v="39"/>
    <s v="Male"/>
    <s v="Western Cape"/>
    <s v="CEO"/>
    <s v="Healthcare"/>
    <n v="1208000"/>
    <x v="2"/>
    <s v="Digital Campaign"/>
    <s v="2025-04-03"/>
    <s v="2025-05-27"/>
    <n v="3"/>
    <s v="Fixed Income"/>
    <n v="7"/>
    <x v="3"/>
    <s v="Engaged"/>
    <n v="0.3"/>
    <n v="589000"/>
    <s v="Introduced via legal firm partner"/>
  </r>
  <r>
    <s v="INV-0112"/>
    <s v="Kyle"/>
    <s v="Zwane"/>
    <n v="42"/>
    <s v="Male"/>
    <s v="Gauteng"/>
    <s v="Investment Banker"/>
    <s v="Manufacturing"/>
    <n v="8639000"/>
    <x v="1"/>
    <s v="Private Banking Referral"/>
    <s v="2025-01-12"/>
    <s v="2025-02-05"/>
    <n v="8"/>
    <s v="Fixed Income"/>
    <n v="10"/>
    <x v="3"/>
    <s v="Won"/>
    <n v="0.98"/>
    <n v="4581000"/>
    <s v="Attending Investec Golf Day"/>
  </r>
  <r>
    <s v="INV-0113"/>
    <s v="Zanele"/>
    <s v="Smith"/>
    <n v="37"/>
    <s v="Female"/>
    <s v="Eastern Cape"/>
    <s v="Engineer"/>
    <s v="Agriculture"/>
    <n v="4651000"/>
    <x v="0"/>
    <s v="Referral – Existing Client"/>
    <s v="2025-04-16"/>
    <s v="2025-04-25"/>
    <n v="2"/>
    <s v="Wealth Management"/>
    <n v="9"/>
    <x v="2"/>
    <s v="Qualified"/>
    <n v="0.12"/>
    <n v="2331000"/>
    <s v="Request for offshore structuring"/>
  </r>
  <r>
    <s v="INV-0114"/>
    <s v="Brendan"/>
    <s v="Van der Merwe"/>
    <n v="43"/>
    <s v="Male"/>
    <s v="Western Cape"/>
    <s v="Medical Specialist"/>
    <s v="Technology"/>
    <n v="4195000"/>
    <x v="0"/>
    <s v="Broker Network"/>
    <s v="2025-06-14"/>
    <s v="2025-07-04"/>
    <n v="5"/>
    <s v="Offshore Investments"/>
    <n v="10"/>
    <x v="0"/>
    <s v="Engaged"/>
    <n v="0.28999999999999998"/>
    <n v="1386000"/>
    <s v="Re-engage post year-end"/>
  </r>
  <r>
    <s v="INV-0115"/>
    <s v="Kyle"/>
    <s v="Ndlovu"/>
    <n v="70"/>
    <s v="Male"/>
    <s v="Western Cape"/>
    <s v="Attorney"/>
    <s v="Manufacturing"/>
    <n v="2956000"/>
    <x v="0"/>
    <s v="Cold Outreach"/>
    <s v="2025-03-18"/>
    <s v="2025-04-11"/>
    <n v="7"/>
    <s v="Offshore Investments"/>
    <n v="10"/>
    <x v="3"/>
    <s v="Qualified"/>
    <n v="0.13"/>
    <n v="1331000"/>
    <s v="Decision expected next quarter"/>
  </r>
  <r>
    <s v="INV-0116"/>
    <s v="Brendan"/>
    <s v="Jacobs"/>
    <n v="38"/>
    <s v="Male"/>
    <s v="Western Cape"/>
    <s v="Engineer"/>
    <s v="Consulting"/>
    <n v="6942000"/>
    <x v="1"/>
    <s v="Digital Campaign"/>
    <s v="2025-06-19"/>
    <s v="2025-08-04"/>
    <n v="2"/>
    <s v="Currency Solutions"/>
    <n v="7"/>
    <x v="2"/>
    <s v="Proposal Sent"/>
    <n v="0.53"/>
    <n v="2744000"/>
    <s v="Family office opportunity"/>
  </r>
  <r>
    <s v="INV-0117"/>
    <s v="Amahle"/>
    <s v="Van der Merwe"/>
    <n v="39"/>
    <s v="Female"/>
    <s v="Gauteng"/>
    <s v="Property Developer"/>
    <s v="Consulting"/>
    <n v="18356000"/>
    <x v="4"/>
    <s v="Broker Network"/>
    <s v="2025-01-08"/>
    <s v="2025-01-26"/>
    <n v="4"/>
    <s v="Private Banking"/>
    <n v="9"/>
    <x v="0"/>
    <s v="Negotiation"/>
    <n v="0.72"/>
    <n v="7384000"/>
    <s v="Request for offshore structuring"/>
  </r>
  <r>
    <s v="INV-0118"/>
    <s v="Michelle"/>
    <s v="Nkosi"/>
    <n v="59"/>
    <s v="Female"/>
    <s v="Western Cape"/>
    <s v="Retired Executive"/>
    <s v="Legal"/>
    <n v="24386000"/>
    <x v="4"/>
    <s v="Executive Search Firm"/>
    <s v="2025-02-20"/>
    <s v="2025-04-17"/>
    <n v="12"/>
    <s v="Currency Solutions"/>
    <n v="7"/>
    <x v="0"/>
    <s v="Engaged"/>
    <n v="0.3"/>
    <n v="7873000"/>
    <s v="Request for offshore structuring"/>
  </r>
  <r>
    <s v="INV-0119"/>
    <s v="Sipho"/>
    <s v="Pretorius"/>
    <n v="70"/>
    <s v="Male"/>
    <s v="Free State"/>
    <s v="Property Developer"/>
    <s v="Manufacturing"/>
    <n v="17848000"/>
    <x v="4"/>
    <s v="Private Banking Referral"/>
    <s v="2025-10-19"/>
    <s v="2025-12-16"/>
    <n v="4"/>
    <s v="Currency Solutions"/>
    <n v="10"/>
    <x v="1"/>
    <s v="Engaged"/>
    <n v="0.33"/>
    <n v="9715000"/>
    <s v="Decision expected next quarter"/>
  </r>
  <r>
    <s v="INV-0120"/>
    <s v="Fatima"/>
    <s v="Botha"/>
    <n v="57"/>
    <s v="Female"/>
    <s v="Gauteng"/>
    <s v="Chartered Accountant"/>
    <s v="Consulting"/>
    <n v="9584000"/>
    <x v="1"/>
    <s v="Referral – Existing Client"/>
    <s v="2025-01-18"/>
    <s v="2025-03-17"/>
    <n v="2"/>
    <s v="Wealth Management"/>
    <n v="2"/>
    <x v="3"/>
    <s v="Qualified"/>
    <n v="0.17"/>
    <n v="3984000"/>
    <s v="Decision expected next quarter"/>
  </r>
  <r>
    <s v="INV-0121"/>
    <s v="Sipho"/>
    <s v="Khumalo"/>
    <n v="67"/>
    <s v="Male"/>
    <s v="Western Cape"/>
    <s v="CEO"/>
    <s v="Agriculture"/>
    <n v="9670000"/>
    <x v="1"/>
    <s v="Executive Search Firm"/>
    <s v="2025-01-09"/>
    <s v="2025-01-14"/>
    <n v="9"/>
    <s v="Fixed Income"/>
    <n v="2"/>
    <x v="2"/>
    <s v="Proposal Sent"/>
    <n v="0.49"/>
    <n v="5491000"/>
    <s v="Family office opportunity"/>
  </r>
  <r>
    <s v="INV-0122"/>
    <s v="Michael"/>
    <s v="Ndlovu"/>
    <n v="46"/>
    <s v="Male"/>
    <s v="Gauteng"/>
    <s v="CFO"/>
    <s v="Consulting"/>
    <n v="17677000"/>
    <x v="4"/>
    <s v="Digital Campaign"/>
    <s v="2025-05-17"/>
    <s v="2025-07-11"/>
    <n v="7"/>
    <s v="Private Banking"/>
    <n v="7"/>
    <x v="3"/>
    <s v="Proposal Sent"/>
    <n v="0.48"/>
    <n v="14055000"/>
    <s v="Request for offshore structuring"/>
  </r>
  <r>
    <s v="INV-0123"/>
    <s v="Amahle"/>
    <s v="Mokoena"/>
    <n v="37"/>
    <s v="Female"/>
    <s v="Gauteng"/>
    <s v="Engineer"/>
    <s v="Manufacturing"/>
    <n v="5281000"/>
    <x v="1"/>
    <s v="Referral – Existing Client"/>
    <s v="2025-02-12"/>
    <s v="2025-03-20"/>
    <n v="7"/>
    <s v="Equity Portfolio"/>
    <n v="3"/>
    <x v="2"/>
    <s v="Qualified"/>
    <n v="0.18"/>
    <n v="3412000"/>
    <s v="Re-engage post year-end"/>
  </r>
  <r>
    <s v="INV-0124"/>
    <s v="Emma"/>
    <s v="Van der Merwe"/>
    <n v="39"/>
    <s v="Female"/>
    <s v="KwaZulu-Natal"/>
    <s v="Medical Specialist"/>
    <s v="Consulting"/>
    <n v="5165000"/>
    <x v="1"/>
    <s v="Broker Network"/>
    <s v="2025-04-17"/>
    <s v="2025-05-29"/>
    <n v="3"/>
    <s v="Fixed Income"/>
    <n v="3"/>
    <x v="1"/>
    <s v="Qualified"/>
    <n v="0.13"/>
    <n v="3013000"/>
    <s v="Interested in impact investing"/>
  </r>
  <r>
    <s v="INV-0125"/>
    <s v="Claire"/>
    <s v="Pillay"/>
    <n v="40"/>
    <s v="Female"/>
    <s v="Western Cape"/>
    <s v="Attorney"/>
    <s v="Financial Services"/>
    <n v="154465000"/>
    <x v="3"/>
    <s v="LinkedIn Outreach"/>
    <s v="2025-07-23"/>
    <s v="2025-09-15"/>
    <n v="6"/>
    <s v="Wealth Management"/>
    <n v="6"/>
    <x v="3"/>
    <s v="Proposal Sent"/>
    <n v="0.49"/>
    <n v="89052000"/>
    <s v="Interested in impact investing"/>
  </r>
  <r>
    <s v="INV-0126"/>
    <s v="Lisa"/>
    <s v="Ferreira"/>
    <n v="40"/>
    <s v="Female"/>
    <s v="KwaZulu-Natal"/>
    <s v="Medical Specialist"/>
    <s v="Technology"/>
    <n v="2246000"/>
    <x v="0"/>
    <s v="Events &amp; Seminars"/>
    <s v="2025-03-20"/>
    <s v="2025-05-11"/>
    <n v="7"/>
    <s v="Equity Portfolio"/>
    <n v="7"/>
    <x v="2"/>
    <s v="Identified"/>
    <n v="0.04"/>
    <n v="1173000"/>
    <s v="Family office opportunity"/>
  </r>
  <r>
    <s v="INV-0127"/>
    <s v="David"/>
    <s v="Mokoena"/>
    <n v="46"/>
    <s v="Male"/>
    <s v="Gauteng"/>
    <s v="Investment Banker"/>
    <s v="Consulting"/>
    <n v="5516000"/>
    <x v="1"/>
    <s v="LinkedIn Outreach"/>
    <s v="2025-10-11"/>
    <s v="2025-10-21"/>
    <n v="10"/>
    <s v="Equity Portfolio"/>
    <n v="8"/>
    <x v="2"/>
    <s v="Engaged"/>
    <n v="0.3"/>
    <n v="3804000"/>
    <s v="Decision expected next quarter"/>
  </r>
  <r>
    <s v="INV-0128"/>
    <s v="John"/>
    <s v="Coetzee"/>
    <n v="45"/>
    <s v="Male"/>
    <s v="KwaZulu-Natal"/>
    <s v="Executive Director"/>
    <s v="Mining &amp; Resources"/>
    <n v="20736000"/>
    <x v="4"/>
    <s v="Events &amp; Seminars"/>
    <s v="2025-03-27"/>
    <s v="2025-04-28"/>
    <n v="5"/>
    <s v="Fixed Income"/>
    <n v="6"/>
    <x v="3"/>
    <s v="Won"/>
    <n v="0.99"/>
    <n v="8830000"/>
    <s v="Request for offshore structuring"/>
  </r>
  <r>
    <s v="INV-0129"/>
    <s v="Lerato"/>
    <s v="Khumalo"/>
    <n v="64"/>
    <s v="Female"/>
    <s v="Gauteng"/>
    <s v="Medical Specialist"/>
    <s v="Financial Services"/>
    <n v="998000"/>
    <x v="2"/>
    <s v="Cold Outreach"/>
    <s v="2025-08-14"/>
    <s v="2025-09-09"/>
    <n v="7"/>
    <s v="Offshore Investments"/>
    <n v="6"/>
    <x v="1"/>
    <s v="Proposal Sent"/>
    <n v="0.52"/>
    <n v="400000"/>
    <s v="Competitor relationship – price sensitive"/>
  </r>
  <r>
    <s v="INV-0130"/>
    <s v="Ruan"/>
    <s v="Meyer"/>
    <n v="53"/>
    <s v="Male"/>
    <s v="KwaZulu-Natal"/>
    <s v="Retired Executive"/>
    <s v="Retail"/>
    <n v="1673000"/>
    <x v="2"/>
    <s v="Broker Network"/>
    <s v="2025-05-24"/>
    <s v="2025-07-20"/>
    <n v="7"/>
    <s v="Equity Portfolio"/>
    <n v="3"/>
    <x v="0"/>
    <s v="Proposal Sent"/>
    <n v="0.51"/>
    <n v="652000"/>
    <s v="High probability – verbal commitment"/>
  </r>
  <r>
    <s v="INV-0131"/>
    <s v="Pieter"/>
    <s v="Jacobs"/>
    <n v="48"/>
    <s v="Male"/>
    <s v="Gauteng"/>
    <s v="Medical Specialist"/>
    <s v="Healthcare"/>
    <n v="4387000"/>
    <x v="0"/>
    <s v="Cold Outreach"/>
    <s v="2025-03-13"/>
    <s v="2025-04-27"/>
    <n v="5"/>
    <s v="Tax Structuring"/>
    <n v="6"/>
    <x v="0"/>
    <s v="Negotiation"/>
    <n v="0.73"/>
    <n v="2143000"/>
    <s v="Needs estate planning review"/>
  </r>
  <r>
    <s v="INV-0132"/>
    <s v="Lerato"/>
    <s v="Ferreira"/>
    <n v="69"/>
    <s v="Female"/>
    <s v="Western Cape"/>
    <s v="Chartered Accountant"/>
    <s v="Manufacturing"/>
    <n v="8954000"/>
    <x v="1"/>
    <s v="Broker Network"/>
    <s v="2025-02-13"/>
    <s v="2025-02-24"/>
    <n v="4"/>
    <s v="Equity Portfolio"/>
    <n v="4"/>
    <x v="2"/>
    <s v="Proposal Sent"/>
    <n v="0.52"/>
    <n v="5719000"/>
    <s v="Interested in impact investing"/>
  </r>
  <r>
    <s v="INV-0133"/>
    <s v="Michelle"/>
    <s v="Ndlovu"/>
    <n v="41"/>
    <s v="Female"/>
    <s v="Gauteng"/>
    <s v="Medical Specialist"/>
    <s v="Technology"/>
    <n v="7594000"/>
    <x v="1"/>
    <s v="Private Banking Referral"/>
    <s v="2025-07-11"/>
    <s v="2025-08-10"/>
    <n v="8"/>
    <s v="Offshore Investments"/>
    <n v="7"/>
    <x v="2"/>
    <s v="Proposal Sent"/>
    <n v="0.49"/>
    <n v="3858000"/>
    <s v="Referred to private banking team"/>
  </r>
  <r>
    <s v="INV-0134"/>
    <s v="Nkosinathi"/>
    <s v="Pillay"/>
    <n v="57"/>
    <s v="Male"/>
    <s v="Gauteng"/>
    <s v="Entrepreneur"/>
    <s v="Technology"/>
    <n v="6742000"/>
    <x v="1"/>
    <s v="LinkedIn Outreach"/>
    <s v="2025-08-20"/>
    <s v="2025-09-14"/>
    <n v="2"/>
    <s v="Estate Planning"/>
    <n v="2"/>
    <x v="2"/>
    <s v="Identified"/>
    <n v="0.04"/>
    <n v="4207000"/>
    <s v="Introduced via legal firm partner"/>
  </r>
  <r>
    <s v="INV-0135"/>
    <s v="Gareth"/>
    <s v="Naidoo"/>
    <n v="68"/>
    <s v="Male"/>
    <s v="Gauteng"/>
    <s v="Executive Director"/>
    <s v="Legal"/>
    <n v="9792000"/>
    <x v="1"/>
    <s v="Private Banking Referral"/>
    <s v="2025-04-05"/>
    <s v="2025-04-21"/>
    <n v="11"/>
    <s v="Fixed Income"/>
    <n v="8"/>
    <x v="2"/>
    <s v="Negotiation"/>
    <n v="0.68"/>
    <n v="5139000"/>
    <s v="Interested in impact investing"/>
  </r>
  <r>
    <s v="INV-0136"/>
    <s v="Nomvula"/>
    <s v="Khumalo"/>
    <n v="48"/>
    <s v="Female"/>
    <s v="Gauteng"/>
    <s v="Chartered Accountant"/>
    <s v="Healthcare"/>
    <n v="8998000"/>
    <x v="1"/>
    <s v="Events &amp; Seminars"/>
    <s v="2025-06-16"/>
    <s v="2025-07-03"/>
    <n v="8"/>
    <s v="Private Banking"/>
    <n v="6"/>
    <x v="3"/>
    <s v="Proposal Sent"/>
    <n v="0.52"/>
    <n v="4109000"/>
    <s v="Interested in impact investing"/>
  </r>
  <r>
    <s v="INV-0137"/>
    <s v="Lerato"/>
    <s v="Smith"/>
    <n v="57"/>
    <s v="Female"/>
    <s v="Gauteng"/>
    <s v="Entrepreneur"/>
    <s v="Agriculture"/>
    <n v="36944000"/>
    <x v="4"/>
    <s v="Digital Campaign"/>
    <s v="2025-02-13"/>
    <s v="2025-04-02"/>
    <n v="3"/>
    <s v="Equity Portfolio"/>
    <n v="3"/>
    <x v="0"/>
    <s v="Engaged"/>
    <n v="0.28000000000000003"/>
    <n v="17979000"/>
    <s v="Attending Investec Golf Day"/>
  </r>
  <r>
    <s v="INV-0138"/>
    <s v="Claire"/>
    <s v="Pillay"/>
    <n v="71"/>
    <s v="Female"/>
    <s v="Gauteng"/>
    <s v="Executive Director"/>
    <s v="Retail"/>
    <n v="8467000"/>
    <x v="1"/>
    <s v="Events &amp; Seminars"/>
    <s v="2025-03-27"/>
    <s v="2025-05-02"/>
    <n v="5"/>
    <s v="Offshore Investments"/>
    <n v="4"/>
    <x v="1"/>
    <s v="Won"/>
    <n v="1"/>
    <n v="2767000"/>
    <s v="Competitor relationship – price sensitive"/>
  </r>
  <r>
    <s v="INV-0139"/>
    <s v="Andile"/>
    <s v="Pillay"/>
    <n v="47"/>
    <s v="Male"/>
    <s v="Eastern Cape"/>
    <s v="Investment Banker"/>
    <s v="Consulting"/>
    <n v="3227000"/>
    <x v="0"/>
    <s v="Executive Search Firm"/>
    <s v="2025-08-16"/>
    <s v="2025-09-21"/>
    <n v="3"/>
    <s v="Private Banking"/>
    <n v="2"/>
    <x v="0"/>
    <s v="Engaged"/>
    <n v="0.28999999999999998"/>
    <n v="1331000"/>
    <s v="Family office opportunity"/>
  </r>
  <r>
    <s v="INV-0140"/>
    <s v="Brendan"/>
    <s v="Jacobs"/>
    <n v="71"/>
    <s v="Male"/>
    <s v="KwaZulu-Natal"/>
    <s v="Entrepreneur"/>
    <s v="Consulting"/>
    <n v="7864000"/>
    <x v="1"/>
    <s v="Digital Campaign"/>
    <s v="2025-07-07"/>
    <s v="2025-08-15"/>
    <n v="1"/>
    <s v="Currency Solutions"/>
    <n v="10"/>
    <x v="0"/>
    <s v="Lost"/>
    <n v="0"/>
    <n v="5253000"/>
    <s v="Introduced via legal firm partner"/>
  </r>
  <r>
    <s v="INV-0141"/>
    <s v="Thabo"/>
    <s v="Van der Merwe"/>
    <n v="63"/>
    <s v="Male"/>
    <s v="Gauteng"/>
    <s v="CFO"/>
    <s v="Retail"/>
    <n v="2352000"/>
    <x v="0"/>
    <s v="Private Banking Referral"/>
    <s v="2025-06-29"/>
    <s v="2025-08-28"/>
    <n v="12"/>
    <s v="Fixed Income"/>
    <n v="4"/>
    <x v="0"/>
    <s v="Won"/>
    <n v="1"/>
    <n v="949000"/>
    <s v="Follow up Q3 – bonus season"/>
  </r>
  <r>
    <s v="INV-0142"/>
    <s v="Nicole"/>
    <s v="Pretorius"/>
    <n v="69"/>
    <s v="Female"/>
    <s v="Gauteng"/>
    <s v="Chartered Accountant"/>
    <s v="Real Estate"/>
    <n v="20694000"/>
    <x v="4"/>
    <s v="LinkedIn Outreach"/>
    <s v="2025-07-30"/>
    <s v="2025-08-07"/>
    <n v="5"/>
    <s v="Offshore Investments"/>
    <n v="4"/>
    <x v="0"/>
    <s v="Qualified"/>
    <n v="0.14000000000000001"/>
    <n v="14781000"/>
    <s v="Introduced via legal firm partner"/>
  </r>
  <r>
    <s v="INV-0143"/>
    <s v="Fatima"/>
    <s v="Pillay"/>
    <n v="71"/>
    <s v="Female"/>
    <s v="Western Cape"/>
    <s v="Retired Executive"/>
    <s v="Manufacturing"/>
    <n v="13021000"/>
    <x v="4"/>
    <s v="LinkedIn Outreach"/>
    <s v="2025-09-21"/>
    <s v="2025-11-12"/>
    <n v="5"/>
    <s v="Equity Portfolio"/>
    <n v="9"/>
    <x v="3"/>
    <s v="Engaged"/>
    <n v="0.27"/>
    <n v="9563000"/>
    <s v="Decision expected next quarter"/>
  </r>
  <r>
    <s v="INV-0144"/>
    <s v="Pieter"/>
    <s v="Jacobs"/>
    <n v="57"/>
    <s v="Male"/>
    <s v="Eastern Cape"/>
    <s v="Investment Banker"/>
    <s v="Manufacturing"/>
    <n v="27186000"/>
    <x v="4"/>
    <s v="Private Banking Referral"/>
    <s v="2025-05-18"/>
    <s v="2025-06-12"/>
    <n v="5"/>
    <s v="Equity Portfolio"/>
    <n v="10"/>
    <x v="0"/>
    <s v="Proposal Sent"/>
    <n v="0.5"/>
    <n v="18871000"/>
    <s v="Introduced via legal firm partner"/>
  </r>
  <r>
    <s v="INV-0145"/>
    <s v="Sipho"/>
    <s v="Smith"/>
    <n v="64"/>
    <s v="Male"/>
    <s v="Gauteng"/>
    <s v="Executive Director"/>
    <s v="Retail"/>
    <n v="9959000"/>
    <x v="1"/>
    <s v="Cold Outreach"/>
    <s v="2025-03-09"/>
    <s v="2025-04-24"/>
    <n v="5"/>
    <s v="Offshore Investments"/>
    <n v="6"/>
    <x v="2"/>
    <s v="Negotiation"/>
    <n v="0.69"/>
    <n v="3398000"/>
    <s v="Introduced via legal firm partner"/>
  </r>
  <r>
    <s v="INV-0146"/>
    <s v="Sipho"/>
    <s v="Ferreira"/>
    <n v="54"/>
    <s v="Male"/>
    <s v="KwaZulu-Natal"/>
    <s v="Portfolio Manager"/>
    <s v="Manufacturing"/>
    <n v="4111000"/>
    <x v="0"/>
    <s v="Referral – Existing Client"/>
    <s v="2025-09-02"/>
    <s v="2025-09-11"/>
    <n v="3"/>
    <s v="Tax Structuring"/>
    <n v="10"/>
    <x v="3"/>
    <s v="Identified"/>
    <n v="7.0000000000000007E-2"/>
    <n v="1940000"/>
    <s v="Referred to private banking team"/>
  </r>
  <r>
    <s v="INV-0147"/>
    <s v="Tanya"/>
    <s v="Pillay"/>
    <n v="65"/>
    <s v="Female"/>
    <s v="Gauteng"/>
    <s v="Engineer"/>
    <s v="Healthcare"/>
    <n v="2307000"/>
    <x v="0"/>
    <s v="Broker Network"/>
    <s v="2025-06-03"/>
    <s v="2025-06-16"/>
    <n v="7"/>
    <s v="Offshore Investments"/>
    <n v="4"/>
    <x v="2"/>
    <s v="Proposal Sent"/>
    <n v="0.47"/>
    <n v="1396000"/>
    <s v="Attending Investec Golf Day"/>
  </r>
  <r>
    <s v="INV-0148"/>
    <s v="Priya"/>
    <s v="Khumalo"/>
    <n v="44"/>
    <s v="Female"/>
    <s v="Free State"/>
    <s v="Property Developer"/>
    <s v="Retail"/>
    <n v="2260000"/>
    <x v="0"/>
    <s v="LinkedIn Outreach"/>
    <s v="2025-03-05"/>
    <s v="2025-04-16"/>
    <n v="12"/>
    <s v="Fixed Income"/>
    <n v="7"/>
    <x v="3"/>
    <s v="Engaged"/>
    <n v="0.28000000000000003"/>
    <n v="958000"/>
    <s v="Introduced via legal firm partner"/>
  </r>
  <r>
    <s v="INV-0149"/>
    <s v="James"/>
    <s v="Mahlangu"/>
    <n v="53"/>
    <s v="Male"/>
    <s v="KwaZulu-Natal"/>
    <s v="Chartered Accountant"/>
    <s v="Financial Services"/>
    <n v="3975000"/>
    <x v="0"/>
    <s v="Digital Campaign"/>
    <s v="2025-09-23"/>
    <s v="2025-11-05"/>
    <n v="9"/>
    <s v="Tax Structuring"/>
    <n v="8"/>
    <x v="1"/>
    <s v="Proposal Sent"/>
    <n v="0.53"/>
    <n v="2977000"/>
    <s v="Request for offshore structuring"/>
  </r>
  <r>
    <s v="INV-0150"/>
    <s v="Claire"/>
    <s v="Smith"/>
    <n v="50"/>
    <s v="Female"/>
    <s v="Western Cape"/>
    <s v="Property Developer"/>
    <s v="Healthcare"/>
    <n v="9888000"/>
    <x v="1"/>
    <s v="Broker Network"/>
    <s v="2025-03-09"/>
    <s v="2025-04-07"/>
    <n v="10"/>
    <s v="Fixed Income"/>
    <n v="7"/>
    <x v="0"/>
    <s v="Won"/>
    <n v="1"/>
    <n v="3327000"/>
    <s v="Re-engage post year-end"/>
  </r>
  <r>
    <s v="INV-0151"/>
    <s v="Sipho"/>
    <s v="Pretorius"/>
    <n v="48"/>
    <s v="Male"/>
    <s v="Gauteng"/>
    <s v="CEO"/>
    <s v="Manufacturing"/>
    <n v="8143000"/>
    <x v="1"/>
    <s v="Cold Outreach"/>
    <s v="2025-07-25"/>
    <s v="2025-08-04"/>
    <n v="11"/>
    <s v="Offshore Investments"/>
    <n v="6"/>
    <x v="2"/>
    <s v="Engaged"/>
    <n v="0.31"/>
    <n v="6192000"/>
    <s v="Attending Investec Golf Day"/>
  </r>
  <r>
    <s v="INV-0152"/>
    <s v="Claire"/>
    <s v="Mokoena"/>
    <n v="54"/>
    <s v="Female"/>
    <s v="KwaZulu-Natal"/>
    <s v="Chartered Accountant"/>
    <s v="Technology"/>
    <n v="88796000"/>
    <x v="3"/>
    <s v="Cold Outreach"/>
    <s v="2025-08-21"/>
    <s v="2025-10-04"/>
    <n v="10"/>
    <s v="Wealth Management"/>
    <n v="6"/>
    <x v="0"/>
    <s v="Qualified"/>
    <n v="0.17"/>
    <n v="32731000"/>
    <s v="Follow up Q3 – bonus season"/>
  </r>
  <r>
    <s v="INV-0153"/>
    <s v="Andile"/>
    <s v="Zwane"/>
    <n v="68"/>
    <s v="Male"/>
    <s v="Western Cape"/>
    <s v="Chartered Accountant"/>
    <s v="Real Estate"/>
    <n v="15077000"/>
    <x v="4"/>
    <s v="Digital Campaign"/>
    <s v="2025-01-16"/>
    <s v="2025-02-11"/>
    <n v="7"/>
    <s v="Estate Planning"/>
    <n v="10"/>
    <x v="2"/>
    <s v="Engaged"/>
    <n v="0.31"/>
    <n v="9254000"/>
    <s v="Needs estate planning review"/>
  </r>
  <r>
    <s v="INV-0154"/>
    <s v="Nicole"/>
    <s v="Zwane"/>
    <n v="38"/>
    <s v="Female"/>
    <s v="Western Cape"/>
    <s v="Property Developer"/>
    <s v="Mining &amp; Resources"/>
    <n v="20205000"/>
    <x v="4"/>
    <s v="LinkedIn Outreach"/>
    <s v="2025-03-01"/>
    <s v="2025-03-20"/>
    <n v="12"/>
    <s v="Wealth Management"/>
    <n v="2"/>
    <x v="2"/>
    <s v="Qualified"/>
    <n v="0.15"/>
    <n v="9739000"/>
    <s v="Attending Investec Golf Day"/>
  </r>
  <r>
    <s v="INV-0155"/>
    <s v="Gareth"/>
    <s v="Van der Merwe"/>
    <n v="70"/>
    <s v="Male"/>
    <s v="Eastern Cape"/>
    <s v="Chartered Accountant"/>
    <s v="Manufacturing"/>
    <n v="19931000"/>
    <x v="4"/>
    <s v="Broker Network"/>
    <s v="2025-02-09"/>
    <s v="2025-03-22"/>
    <n v="6"/>
    <s v="Private Banking"/>
    <n v="10"/>
    <x v="2"/>
    <s v="Qualified"/>
    <n v="0.18"/>
    <n v="11119000"/>
    <s v="Follow up Q3 – bonus season"/>
  </r>
  <r>
    <s v="INV-0156"/>
    <s v="Sarah"/>
    <s v="Jacobs"/>
    <n v="53"/>
    <s v="Female"/>
    <s v="KwaZulu-Natal"/>
    <s v="Medical Specialist"/>
    <s v="Legal"/>
    <n v="255536000"/>
    <x v="3"/>
    <s v="Broker Network"/>
    <s v="2025-05-30"/>
    <s v="2025-07-10"/>
    <n v="5"/>
    <s v="Tax Structuring"/>
    <n v="9"/>
    <x v="1"/>
    <s v="Proposal Sent"/>
    <n v="0.5"/>
    <n v="204146000"/>
    <s v="Request for offshore structuring"/>
  </r>
  <r>
    <s v="INV-0157"/>
    <s v="David"/>
    <s v="Dlamini"/>
    <n v="61"/>
    <s v="Male"/>
    <s v="Gauteng"/>
    <s v="Investment Banker"/>
    <s v="Legal"/>
    <n v="8467000"/>
    <x v="1"/>
    <s v="Referral – Existing Client"/>
    <s v="2025-01-01"/>
    <s v="2025-02-23"/>
    <n v="11"/>
    <s v="Fixed Income"/>
    <n v="6"/>
    <x v="2"/>
    <s v="Qualified"/>
    <n v="0.13"/>
    <n v="4317000"/>
    <s v="Follow up Q3 – bonus season"/>
  </r>
  <r>
    <s v="INV-0158"/>
    <s v="Pieter"/>
    <s v="Pretorius"/>
    <n v="40"/>
    <s v="Male"/>
    <s v="Gauteng"/>
    <s v="Portfolio Manager"/>
    <s v="Consulting"/>
    <n v="9478000"/>
    <x v="1"/>
    <s v="Executive Search Firm"/>
    <s v="2025-10-25"/>
    <s v="2025-11-05"/>
    <n v="9"/>
    <s v="Offshore Investments"/>
    <n v="8"/>
    <x v="2"/>
    <s v="Proposal Sent"/>
    <n v="0.47"/>
    <n v="4905000"/>
    <s v="Attending Investec Golf Day"/>
  </r>
  <r>
    <s v="INV-0159"/>
    <s v="Thabo"/>
    <s v="Pretorius"/>
    <n v="55"/>
    <s v="Male"/>
    <s v="Free State"/>
    <s v="Engineer"/>
    <s v="Legal"/>
    <n v="20878000"/>
    <x v="4"/>
    <s v="LinkedIn Outreach"/>
    <s v="2025-03-11"/>
    <s v="2025-05-04"/>
    <n v="10"/>
    <s v="Private Banking"/>
    <n v="4"/>
    <x v="2"/>
    <s v="Qualified"/>
    <n v="0.15"/>
    <n v="9542000"/>
    <s v="Referred to private banking team"/>
  </r>
  <r>
    <s v="INV-0160"/>
    <s v="Michelle"/>
    <s v="Khumalo"/>
    <n v="63"/>
    <s v="Female"/>
    <s v="Gauteng"/>
    <s v="Medical Specialist"/>
    <s v="Healthcare"/>
    <n v="413419000"/>
    <x v="3"/>
    <s v="Digital Campaign"/>
    <s v="2025-01-21"/>
    <s v="2025-02-08"/>
    <n v="6"/>
    <s v="Offshore Investments"/>
    <n v="3"/>
    <x v="0"/>
    <s v="Lost"/>
    <n v="0"/>
    <n v="230163000"/>
    <s v="Introduced via legal firm partner"/>
  </r>
  <r>
    <s v="INV-0161"/>
    <s v="Emma"/>
    <s v="Botha"/>
    <n v="36"/>
    <s v="Female"/>
    <s v="Mpumalanga"/>
    <s v="Entrepreneur"/>
    <s v="Consulting"/>
    <n v="2750000"/>
    <x v="0"/>
    <s v="Executive Search Firm"/>
    <s v="2025-03-13"/>
    <s v="2025-03-25"/>
    <n v="1"/>
    <s v="Wealth Management"/>
    <n v="5"/>
    <x v="0"/>
    <s v="Qualified"/>
    <n v="0.15"/>
    <n v="1337000"/>
    <s v="Introduced via legal firm partner"/>
  </r>
  <r>
    <s v="INV-0162"/>
    <s v="John"/>
    <s v="Pretorius"/>
    <n v="39"/>
    <s v="Male"/>
    <s v="Gauteng"/>
    <s v="CFO"/>
    <s v="Technology"/>
    <n v="1165000"/>
    <x v="2"/>
    <s v="Events &amp; Seminars"/>
    <s v="2025-06-19"/>
    <s v="2025-07-01"/>
    <n v="1"/>
    <s v="Currency Solutions"/>
    <n v="2"/>
    <x v="0"/>
    <s v="On Hold"/>
    <n v="0.1"/>
    <n v="828000"/>
    <s v="Interested in impact investing"/>
  </r>
  <r>
    <s v="INV-0163"/>
    <s v="Nomvula"/>
    <s v="Ferreira"/>
    <n v="62"/>
    <s v="Female"/>
    <s v="Gauteng"/>
    <s v="Portfolio Manager"/>
    <s v="Mining &amp; Resources"/>
    <n v="27840000"/>
    <x v="4"/>
    <s v="Events &amp; Seminars"/>
    <s v="2025-05-06"/>
    <s v="2025-06-21"/>
    <n v="5"/>
    <s v="Currency Solutions"/>
    <n v="8"/>
    <x v="3"/>
    <s v="Identified"/>
    <n v="0.04"/>
    <n v="13684000"/>
    <s v="Interested in impact investing"/>
  </r>
  <r>
    <s v="INV-0164"/>
    <s v="Kyle"/>
    <s v="Coetzee"/>
    <n v="50"/>
    <s v="Male"/>
    <s v="Western Cape"/>
    <s v="Investment Banker"/>
    <s v="Financial Services"/>
    <n v="1673000"/>
    <x v="2"/>
    <s v="Broker Network"/>
    <s v="2025-10-06"/>
    <s v="2025-11-30"/>
    <n v="8"/>
    <s v="Equity Portfolio"/>
    <n v="10"/>
    <x v="1"/>
    <s v="Engaged"/>
    <n v="0.28000000000000003"/>
    <n v="524000"/>
    <s v="Re-engage post year-end"/>
  </r>
  <r>
    <s v="INV-0165"/>
    <s v="Sipho"/>
    <s v="Pretorius"/>
    <n v="38"/>
    <s v="Male"/>
    <s v="Eastern Cape"/>
    <s v="Entrepreneur"/>
    <s v="Consulting"/>
    <n v="33360000"/>
    <x v="4"/>
    <s v="Private Banking Referral"/>
    <s v="2025-02-21"/>
    <s v="2025-03-13"/>
    <n v="11"/>
    <s v="Tax Structuring"/>
    <n v="6"/>
    <x v="2"/>
    <s v="Won"/>
    <n v="0.98"/>
    <n v="19611000"/>
    <s v="Interested in impact investing"/>
  </r>
  <r>
    <s v="INV-0166"/>
    <s v="Bongiwe"/>
    <s v="Botha"/>
    <n v="46"/>
    <s v="Female"/>
    <s v="Gauteng"/>
    <s v="Attorney"/>
    <s v="Legal"/>
    <n v="542000"/>
    <x v="2"/>
    <s v="Broker Network"/>
    <s v="2025-10-16"/>
    <s v="2025-10-30"/>
    <n v="10"/>
    <s v="Tax Structuring"/>
    <n v="9"/>
    <x v="1"/>
    <s v="Qualified"/>
    <n v="0.12"/>
    <n v="187000"/>
    <s v="Request for offshore structuring"/>
  </r>
  <r>
    <s v="INV-0167"/>
    <s v="Sipho"/>
    <s v="Coetzee"/>
    <n v="65"/>
    <s v="Male"/>
    <s v="Gauteng"/>
    <s v="Property Developer"/>
    <s v="Technology"/>
    <n v="3022000"/>
    <x v="0"/>
    <s v="Events &amp; Seminars"/>
    <s v="2025-01-31"/>
    <s v="2025-02-06"/>
    <n v="3"/>
    <s v="Offshore Investments"/>
    <n v="3"/>
    <x v="1"/>
    <s v="Lost"/>
    <n v="0"/>
    <n v="1971000"/>
    <s v="Introduced via legal firm partner"/>
  </r>
  <r>
    <s v="INV-0168"/>
    <s v="Lerato"/>
    <s v="Smith"/>
    <n v="56"/>
    <s v="Female"/>
    <s v="Gauteng"/>
    <s v="Executive Director"/>
    <s v="Mining &amp; Resources"/>
    <n v="3311000"/>
    <x v="0"/>
    <s v="Executive Search Firm"/>
    <s v="2025-06-12"/>
    <s v="2025-06-28"/>
    <n v="12"/>
    <s v="Equity Portfolio"/>
    <n v="5"/>
    <x v="0"/>
    <s v="Engaged"/>
    <n v="0.32"/>
    <n v="2133000"/>
    <s v="Attending Investec Golf Day"/>
  </r>
  <r>
    <s v="INV-0169"/>
    <s v="Pieter"/>
    <s v="Dlamini"/>
    <n v="71"/>
    <s v="Male"/>
    <s v="Gauteng"/>
    <s v="Property Developer"/>
    <s v="Financial Services"/>
    <n v="22729000"/>
    <x v="4"/>
    <s v="Private Banking Referral"/>
    <s v="2025-10-17"/>
    <s v="2025-10-28"/>
    <n v="8"/>
    <s v="Offshore Investments"/>
    <n v="7"/>
    <x v="2"/>
    <s v="Qualified"/>
    <n v="0.14000000000000001"/>
    <n v="8727000"/>
    <s v="Referred to private banking team"/>
  </r>
  <r>
    <s v="INV-0170"/>
    <s v="Fatima"/>
    <s v="Dlamini"/>
    <n v="51"/>
    <s v="Female"/>
    <s v="Gauteng"/>
    <s v="Chartered Accountant"/>
    <s v="Healthcare"/>
    <n v="41481000"/>
    <x v="4"/>
    <s v="Referral – Existing Client"/>
    <s v="2025-07-17"/>
    <s v="2025-08-19"/>
    <n v="12"/>
    <s v="Fixed Income"/>
    <n v="4"/>
    <x v="3"/>
    <s v="Proposal Sent"/>
    <n v="0.5"/>
    <n v="19729000"/>
    <s v="Interested in impact investing"/>
  </r>
  <r>
    <s v="INV-0171"/>
    <s v="Nkosinathi"/>
    <s v="Sithebe"/>
    <n v="71"/>
    <s v="Male"/>
    <s v="KwaZulu-Natal"/>
    <s v="Retired Executive"/>
    <s v="Technology"/>
    <n v="12948000"/>
    <x v="4"/>
    <s v="Referral – Existing Client"/>
    <s v="2025-01-11"/>
    <s v="2025-02-05"/>
    <n v="5"/>
    <s v="Private Banking"/>
    <n v="3"/>
    <x v="1"/>
    <s v="Qualified"/>
    <n v="0.15"/>
    <n v="4926000"/>
    <s v="Referred to private banking team"/>
  </r>
  <r>
    <s v="INV-0172"/>
    <s v="Stefan"/>
    <s v="Sithebe"/>
    <n v="36"/>
    <s v="Male"/>
    <s v="Gauteng"/>
    <s v="Retired Executive"/>
    <s v="Mining &amp; Resources"/>
    <n v="7171000"/>
    <x v="1"/>
    <s v="Referral – Existing Client"/>
    <s v="2025-06-19"/>
    <s v="2025-07-07"/>
    <n v="4"/>
    <s v="Fixed Income"/>
    <n v="10"/>
    <x v="1"/>
    <s v="Negotiation"/>
    <n v="0.69"/>
    <n v="3003000"/>
    <s v="Follow up Q3 – bonus season"/>
  </r>
  <r>
    <s v="INV-0173"/>
    <s v="Lerato"/>
    <s v="Mahlangu"/>
    <n v="66"/>
    <s v="Female"/>
    <s v="Gauteng"/>
    <s v="Attorney"/>
    <s v="Financial Services"/>
    <n v="6473000"/>
    <x v="1"/>
    <s v="Executive Search Firm"/>
    <s v="2025-02-19"/>
    <s v="2025-02-25"/>
    <n v="4"/>
    <s v="Offshore Investments"/>
    <n v="6"/>
    <x v="2"/>
    <s v="Proposal Sent"/>
    <n v="0.47"/>
    <n v="2940000"/>
    <s v="Interested in impact investing"/>
  </r>
  <r>
    <s v="INV-0174"/>
    <s v="Fatima"/>
    <s v="Pretorius"/>
    <n v="40"/>
    <s v="Female"/>
    <s v="Western Cape"/>
    <s v="Engineer"/>
    <s v="Mining &amp; Resources"/>
    <n v="25258000"/>
    <x v="4"/>
    <s v="Events &amp; Seminars"/>
    <s v="2025-01-23"/>
    <s v="2025-02-13"/>
    <n v="8"/>
    <s v="Currency Solutions"/>
    <n v="6"/>
    <x v="0"/>
    <s v="Won"/>
    <n v="1"/>
    <n v="8356000"/>
    <s v="Decision expected next quarter"/>
  </r>
  <r>
    <s v="INV-0175"/>
    <s v="Luca"/>
    <s v="Zwane"/>
    <n v="69"/>
    <s v="Male"/>
    <s v="Gauteng"/>
    <s v="Property Developer"/>
    <s v="Technology"/>
    <n v="9204000"/>
    <x v="1"/>
    <s v="Cold Outreach"/>
    <s v="2025-09-01"/>
    <s v="2025-10-12"/>
    <n v="4"/>
    <s v="Currency Solutions"/>
    <n v="6"/>
    <x v="2"/>
    <s v="Engaged"/>
    <n v="0.33"/>
    <n v="6048000"/>
    <s v="High probability – verbal commitment"/>
  </r>
  <r>
    <s v="INV-0176"/>
    <s v="Luca"/>
    <s v="Jacobs"/>
    <n v="46"/>
    <s v="Male"/>
    <s v="Mpumalanga"/>
    <s v="Executive Director"/>
    <s v="Technology"/>
    <n v="2379000"/>
    <x v="0"/>
    <s v="Cold Outreach"/>
    <s v="2025-08-11"/>
    <s v="2025-08-28"/>
    <n v="11"/>
    <s v="Offshore Investments"/>
    <n v="6"/>
    <x v="1"/>
    <s v="On Hold"/>
    <n v="0.13"/>
    <n v="793000"/>
    <s v="Interested in impact investing"/>
  </r>
  <r>
    <s v="INV-0177"/>
    <s v="Nicole"/>
    <s v="Meyer"/>
    <n v="52"/>
    <s v="Female"/>
    <s v="Western Cape"/>
    <s v="CEO"/>
    <s v="Agriculture"/>
    <n v="8908000"/>
    <x v="1"/>
    <s v="LinkedIn Outreach"/>
    <s v="2025-03-18"/>
    <s v="2025-04-01"/>
    <n v="10"/>
    <s v="Private Banking"/>
    <n v="3"/>
    <x v="2"/>
    <s v="Won"/>
    <n v="1"/>
    <n v="5058000"/>
    <s v="Competitor relationship – price sensitive"/>
  </r>
  <r>
    <s v="INV-0178"/>
    <s v="Emma"/>
    <s v="Ferreira"/>
    <n v="66"/>
    <s v="Female"/>
    <s v="Western Cape"/>
    <s v="Entrepreneur"/>
    <s v="Financial Services"/>
    <n v="26119000"/>
    <x v="4"/>
    <s v="Cold Outreach"/>
    <s v="2025-07-22"/>
    <s v="2025-08-17"/>
    <n v="12"/>
    <s v="Tax Structuring"/>
    <n v="2"/>
    <x v="3"/>
    <s v="On Hold"/>
    <n v="0.09"/>
    <n v="8100000"/>
    <s v="Family office opportunity"/>
  </r>
  <r>
    <s v="INV-0179"/>
    <s v="Emma"/>
    <s v="Sithebe"/>
    <n v="41"/>
    <s v="Female"/>
    <s v="Mpumalanga"/>
    <s v="Portfolio Manager"/>
    <s v="Mining &amp; Resources"/>
    <n v="39749000"/>
    <x v="4"/>
    <s v="Broker Network"/>
    <s v="2025-08-02"/>
    <s v="2025-09-14"/>
    <n v="11"/>
    <s v="Private Banking"/>
    <n v="5"/>
    <x v="3"/>
    <s v="Qualified"/>
    <n v="0.18"/>
    <n v="20017000"/>
    <s v="Needs estate planning review"/>
  </r>
  <r>
    <s v="INV-0180"/>
    <s v="Ayasha"/>
    <s v="Van der Merwe"/>
    <n v="67"/>
    <s v="Female"/>
    <s v="KwaZulu-Natal"/>
    <s v="CFO"/>
    <s v="Real Estate"/>
    <n v="3210000"/>
    <x v="0"/>
    <s v="Referral – Existing Client"/>
    <s v="2025-04-09"/>
    <s v="2025-06-06"/>
    <n v="4"/>
    <s v="Wealth Management"/>
    <n v="5"/>
    <x v="2"/>
    <s v="Proposal Sent"/>
    <n v="0.49"/>
    <n v="2094000"/>
    <s v="Family office opportunity"/>
  </r>
  <r>
    <s v="INV-0181"/>
    <s v="Ayasha"/>
    <s v="Jacobs"/>
    <n v="67"/>
    <s v="Female"/>
    <s v="Gauteng"/>
    <s v="CFO"/>
    <s v="Financial Services"/>
    <n v="29551000"/>
    <x v="4"/>
    <s v="Executive Search Firm"/>
    <s v="2025-08-31"/>
    <s v="2025-10-12"/>
    <n v="9"/>
    <s v="Equity Portfolio"/>
    <n v="7"/>
    <x v="0"/>
    <s v="Won"/>
    <n v="0.99"/>
    <n v="19932000"/>
    <s v="Decision expected next quarter"/>
  </r>
  <r>
    <s v="INV-0182"/>
    <s v="Thabo"/>
    <s v="Dlamini"/>
    <n v="59"/>
    <s v="Male"/>
    <s v="Gauteng"/>
    <s v="Property Developer"/>
    <s v="Technology"/>
    <n v="3942000"/>
    <x v="0"/>
    <s v="Private Banking Referral"/>
    <s v="2025-07-29"/>
    <s v="2025-09-04"/>
    <n v="1"/>
    <s v="Wealth Management"/>
    <n v="9"/>
    <x v="0"/>
    <s v="Proposal Sent"/>
    <n v="0.51"/>
    <n v="2761000"/>
    <s v="Request for offshore structuring"/>
  </r>
  <r>
    <s v="INV-0183"/>
    <s v="Lerato"/>
    <s v="Nkosi"/>
    <n v="52"/>
    <s v="Female"/>
    <s v="Gauteng"/>
    <s v="Engineer"/>
    <s v="Legal"/>
    <n v="6091000"/>
    <x v="1"/>
    <s v="Digital Campaign"/>
    <s v="2025-07-23"/>
    <s v="2025-09-03"/>
    <n v="2"/>
    <s v="Wealth Management"/>
    <n v="10"/>
    <x v="1"/>
    <s v="Proposal Sent"/>
    <n v="0.51"/>
    <n v="3682000"/>
    <s v="Family office opportunity"/>
  </r>
  <r>
    <s v="INV-0184"/>
    <s v="Andile"/>
    <s v="Mokoena"/>
    <n v="56"/>
    <s v="Male"/>
    <s v="Mpumalanga"/>
    <s v="Retired Executive"/>
    <s v="Legal"/>
    <n v="2783000"/>
    <x v="0"/>
    <s v="Digital Campaign"/>
    <s v="2025-03-18"/>
    <s v="2025-04-25"/>
    <n v="4"/>
    <s v="Wealth Management"/>
    <n v="8"/>
    <x v="1"/>
    <s v="Negotiation"/>
    <n v="0.72"/>
    <n v="870000"/>
    <s v="Needs estate planning review"/>
  </r>
  <r>
    <s v="INV-0185"/>
    <s v="Emma"/>
    <s v="Ndlovu"/>
    <n v="60"/>
    <s v="Female"/>
    <s v="Gauteng"/>
    <s v="CEO"/>
    <s v="Agriculture"/>
    <n v="3716000"/>
    <x v="0"/>
    <s v="Private Banking Referral"/>
    <s v="2025-04-24"/>
    <s v="2025-06-11"/>
    <n v="9"/>
    <s v="Currency Solutions"/>
    <n v="7"/>
    <x v="1"/>
    <s v="Won"/>
    <n v="1"/>
    <n v="2337000"/>
    <s v="High probability – verbal commitment"/>
  </r>
  <r>
    <s v="INV-0186"/>
    <s v="Thabo"/>
    <s v="Smith"/>
    <n v="65"/>
    <s v="Male"/>
    <s v="Gauteng"/>
    <s v="Medical Specialist"/>
    <s v="Consulting"/>
    <n v="2549000"/>
    <x v="0"/>
    <s v="Broker Network"/>
    <s v="2025-02-15"/>
    <s v="2025-03-06"/>
    <n v="6"/>
    <s v="Tax Structuring"/>
    <n v="6"/>
    <x v="3"/>
    <s v="Won"/>
    <n v="0.99"/>
    <n v="1238000"/>
    <s v="Re-engage post year-end"/>
  </r>
  <r>
    <s v="INV-0187"/>
    <s v="Fatima"/>
    <s v="Smith"/>
    <n v="65"/>
    <s v="Female"/>
    <s v="Gauteng"/>
    <s v="Retired Executive"/>
    <s v="Agriculture"/>
    <n v="8103000"/>
    <x v="1"/>
    <s v="Executive Search Firm"/>
    <s v="2025-09-14"/>
    <s v="2025-09-26"/>
    <n v="11"/>
    <s v="Fixed Income"/>
    <n v="10"/>
    <x v="1"/>
    <s v="Engaged"/>
    <n v="0.33"/>
    <n v="5892000"/>
    <s v="Attending Investec Golf Day"/>
  </r>
  <r>
    <s v="INV-0188"/>
    <s v="Stefan"/>
    <s v="Ndlovu"/>
    <n v="71"/>
    <s v="Male"/>
    <s v="Free State"/>
    <s v="Entrepreneur"/>
    <s v="Mining &amp; Resources"/>
    <n v="38627000"/>
    <x v="4"/>
    <s v="LinkedIn Outreach"/>
    <s v="2025-06-20"/>
    <s v="2025-08-04"/>
    <n v="3"/>
    <s v="Equity Portfolio"/>
    <n v="2"/>
    <x v="2"/>
    <s v="Proposal Sent"/>
    <n v="0.48"/>
    <n v="26289000"/>
    <s v="Attending Investec Golf Day"/>
  </r>
  <r>
    <s v="INV-0189"/>
    <s v="Andile"/>
    <s v="Mokoena"/>
    <n v="43"/>
    <s v="Male"/>
    <s v="Western Cape"/>
    <s v="Retired Executive"/>
    <s v="Manufacturing"/>
    <n v="9827000"/>
    <x v="1"/>
    <s v="Cold Outreach"/>
    <s v="2025-01-20"/>
    <s v="2025-02-28"/>
    <n v="4"/>
    <s v="Equity Portfolio"/>
    <n v="2"/>
    <x v="1"/>
    <s v="Won"/>
    <n v="1"/>
    <n v="3884000"/>
    <s v="Introduced via legal firm partner"/>
  </r>
  <r>
    <s v="INV-0190"/>
    <s v="Kyle"/>
    <s v="Naidoo"/>
    <n v="49"/>
    <s v="Male"/>
    <s v="KwaZulu-Natal"/>
    <s v="Attorney"/>
    <s v="Real Estate"/>
    <n v="25342000"/>
    <x v="4"/>
    <s v="Digital Campaign"/>
    <s v="2025-02-03"/>
    <s v="2025-04-01"/>
    <n v="1"/>
    <s v="Estate Planning"/>
    <n v="6"/>
    <x v="3"/>
    <s v="Negotiation"/>
    <n v="0.71"/>
    <n v="14244000"/>
    <s v="Interested in impact investing"/>
  </r>
  <r>
    <s v="INV-0191"/>
    <s v="Stefan"/>
    <s v="Sithebe"/>
    <n v="57"/>
    <s v="Male"/>
    <s v="KwaZulu-Natal"/>
    <s v="Executive Director"/>
    <s v="Manufacturing"/>
    <n v="150945000"/>
    <x v="3"/>
    <s v="Events &amp; Seminars"/>
    <s v="2025-01-12"/>
    <s v="2025-02-23"/>
    <n v="9"/>
    <s v="Offshore Investments"/>
    <n v="3"/>
    <x v="1"/>
    <s v="Negotiation"/>
    <n v="0.73"/>
    <n v="48103000"/>
    <s v="Introduced via legal firm partner"/>
  </r>
  <r>
    <s v="INV-0192"/>
    <s v="Michelle"/>
    <s v="Mahlangu"/>
    <n v="38"/>
    <s v="Female"/>
    <s v="Western Cape"/>
    <s v="CEO"/>
    <s v="Healthcare"/>
    <n v="2059000"/>
    <x v="0"/>
    <s v="LinkedIn Outreach"/>
    <s v="2025-08-16"/>
    <s v="2025-09-14"/>
    <n v="2"/>
    <s v="Estate Planning"/>
    <n v="9"/>
    <x v="0"/>
    <s v="Qualified"/>
    <n v="0.17"/>
    <n v="1267000"/>
    <s v="Family office opportunity"/>
  </r>
  <r>
    <s v="INV-0193"/>
    <s v="Amahle"/>
    <s v="Smith"/>
    <n v="68"/>
    <s v="Female"/>
    <s v="Gauteng"/>
    <s v="Property Developer"/>
    <s v="Mining &amp; Resources"/>
    <n v="9493000"/>
    <x v="1"/>
    <s v="LinkedIn Outreach"/>
    <s v="2025-02-28"/>
    <s v="2025-04-24"/>
    <n v="2"/>
    <s v="Currency Solutions"/>
    <n v="5"/>
    <x v="0"/>
    <s v="Won"/>
    <n v="1"/>
    <n v="5331000"/>
    <s v="Request for offshore structuring"/>
  </r>
  <r>
    <s v="INV-0194"/>
    <s v="Tanya"/>
    <s v="Ndlovu"/>
    <n v="53"/>
    <s v="Female"/>
    <s v="Gauteng"/>
    <s v="Investment Banker"/>
    <s v="Retail"/>
    <n v="1532000"/>
    <x v="2"/>
    <s v="Executive Search Firm"/>
    <s v="2025-05-01"/>
    <s v="2025-05-06"/>
    <n v="1"/>
    <s v="Private Banking"/>
    <n v="3"/>
    <x v="3"/>
    <s v="Qualified"/>
    <n v="0.12"/>
    <n v="1057000"/>
    <s v="Referred to private banking team"/>
  </r>
  <r>
    <s v="INV-0195"/>
    <s v="Gareth"/>
    <s v="Pretorius"/>
    <n v="49"/>
    <s v="Male"/>
    <s v="Western Cape"/>
    <s v="Medical Specialist"/>
    <s v="Real Estate"/>
    <n v="5499000"/>
    <x v="1"/>
    <s v="Events &amp; Seminars"/>
    <s v="2025-05-29"/>
    <s v="2025-06-26"/>
    <n v="11"/>
    <s v="Equity Portfolio"/>
    <n v="8"/>
    <x v="2"/>
    <s v="Identified"/>
    <n v="0.08"/>
    <n v="4098000"/>
    <s v="Follow up Q3 – bonus season"/>
  </r>
  <r>
    <s v="INV-0196"/>
    <s v="Kyle"/>
    <s v="Botha"/>
    <n v="56"/>
    <s v="Male"/>
    <s v="Gauteng"/>
    <s v="Entrepreneur"/>
    <s v="Agriculture"/>
    <n v="39323000"/>
    <x v="4"/>
    <s v="Broker Network"/>
    <s v="2025-04-04"/>
    <s v="2025-04-16"/>
    <n v="7"/>
    <s v="Fixed Income"/>
    <n v="9"/>
    <x v="1"/>
    <s v="Won"/>
    <n v="1"/>
    <n v="28522000"/>
    <s v="Interested in impact investing"/>
  </r>
  <r>
    <s v="INV-0197"/>
    <s v="Luca"/>
    <s v="Pillay"/>
    <n v="38"/>
    <s v="Male"/>
    <s v="Mpumalanga"/>
    <s v="Executive Director"/>
    <s v="Healthcare"/>
    <n v="7954000"/>
    <x v="1"/>
    <s v="Executive Search Firm"/>
    <s v="2025-07-14"/>
    <s v="2025-09-06"/>
    <n v="6"/>
    <s v="Wealth Management"/>
    <n v="4"/>
    <x v="3"/>
    <s v="On Hold"/>
    <n v="7.0000000000000007E-2"/>
    <n v="5916000"/>
    <s v="Needs estate planning review"/>
  </r>
  <r>
    <s v="INV-0198"/>
    <s v="Luca"/>
    <s v="Pretorius"/>
    <n v="55"/>
    <s v="Male"/>
    <s v="Gauteng"/>
    <s v="Retired Executive"/>
    <s v="Consulting"/>
    <n v="3730000"/>
    <x v="0"/>
    <s v="Private Banking Referral"/>
    <s v="2025-09-23"/>
    <s v="2025-10-31"/>
    <n v="12"/>
    <s v="Private Banking"/>
    <n v="8"/>
    <x v="0"/>
    <s v="Proposal Sent"/>
    <n v="0.52"/>
    <n v="2380000"/>
    <s v="Interested in impact investing"/>
  </r>
  <r>
    <s v="INV-0199"/>
    <s v="Nkosinathi"/>
    <s v="Mahlangu"/>
    <n v="38"/>
    <s v="Male"/>
    <s v="Gauteng"/>
    <s v="Executive Director"/>
    <s v="Consulting"/>
    <n v="4556000"/>
    <x v="0"/>
    <s v="Events &amp; Seminars"/>
    <s v="2025-09-09"/>
    <s v="2025-10-04"/>
    <n v="4"/>
    <s v="Equity Portfolio"/>
    <n v="6"/>
    <x v="2"/>
    <s v="Proposal Sent"/>
    <n v="0.51"/>
    <n v="2832000"/>
    <s v="Interested in impact investing"/>
  </r>
  <r>
    <s v="INV-0200"/>
    <s v="Luca"/>
    <s v="Jacobs"/>
    <n v="63"/>
    <s v="Male"/>
    <s v="Eastern Cape"/>
    <s v="Entrepreneur"/>
    <s v="Healthcare"/>
    <n v="3341000"/>
    <x v="0"/>
    <s v="LinkedIn Outreach"/>
    <s v="2025-01-10"/>
    <s v="2025-01-21"/>
    <n v="7"/>
    <s v="Fixed Income"/>
    <n v="2"/>
    <x v="2"/>
    <s v="Won"/>
    <n v="1"/>
    <n v="2012000"/>
    <s v="Re-engage post year-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263C63-9004-934D-8871-1CE68A9E4629}" name="PivotTable15"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3" firstHeaderRow="1" firstDataRow="1" firstDataCol="1"/>
  <pivotFields count="2">
    <pivotField axis="axisRow" showAll="0">
      <items count="10">
        <item x="4"/>
        <item x="5"/>
        <item x="7"/>
        <item x="6"/>
        <item x="2"/>
        <item x="0"/>
        <item x="3"/>
        <item x="1"/>
        <item x="8"/>
        <item t="default"/>
      </items>
    </pivotField>
    <pivotField dataField="1" showAll="0">
      <items count="14">
        <item x="0"/>
        <item x="1"/>
        <item x="7"/>
        <item x="2"/>
        <item x="3"/>
        <item x="4"/>
        <item x="6"/>
        <item x="11"/>
        <item x="9"/>
        <item x="5"/>
        <item x="8"/>
        <item x="10"/>
        <item x="12"/>
        <item t="default"/>
      </items>
    </pivotField>
  </pivotFields>
  <rowFields count="1">
    <field x="0"/>
  </rowFields>
  <rowItems count="10">
    <i>
      <x/>
    </i>
    <i>
      <x v="1"/>
    </i>
    <i>
      <x v="2"/>
    </i>
    <i>
      <x v="3"/>
    </i>
    <i>
      <x v="4"/>
    </i>
    <i>
      <x v="5"/>
    </i>
    <i>
      <x v="6"/>
    </i>
    <i>
      <x v="7"/>
    </i>
    <i>
      <x v="8"/>
    </i>
    <i t="grand">
      <x/>
    </i>
  </rowItems>
  <colItems count="1">
    <i/>
  </colItems>
  <dataFields count="1">
    <dataField name="Average of No. Interactions" fld="1" subtotal="average" baseField="0" baseItem="0"/>
  </dataFields>
  <formats count="4">
    <format dxfId="5">
      <pivotArea collapsedLevelsAreSubtotals="1" fieldPosition="0">
        <references count="1">
          <reference field="0" count="1">
            <x v="7"/>
          </reference>
        </references>
      </pivotArea>
    </format>
    <format dxfId="4">
      <pivotArea dataOnly="0" labelOnly="1" fieldPosition="0">
        <references count="1">
          <reference field="0" count="1">
            <x v="7"/>
          </reference>
        </references>
      </pivotArea>
    </format>
    <format dxfId="3">
      <pivotArea collapsedLevelsAreSubtotals="1" fieldPosition="0">
        <references count="1">
          <reference field="0" count="1">
            <x v="5"/>
          </reference>
        </references>
      </pivotArea>
    </format>
    <format dxfId="2">
      <pivotArea dataOnly="0" labelOnly="1" fieldPosition="0">
        <references count="1">
          <reference field="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63B093-11B3-224E-91AA-19DAA9256C22}" name="PivotTable1" cacheId="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H9" firstHeaderRow="1" firstDataRow="2" firstDataCol="1"/>
  <pivotFields count="2">
    <pivotField axis="axisCol" compact="0" outline="0" showAll="0" sortType="descending">
      <items count="7">
        <item x="1"/>
        <item x="4"/>
        <item x="0"/>
        <item x="5"/>
        <item x="3"/>
        <item x="2"/>
        <item t="default"/>
      </items>
      <autoSortScope>
        <pivotArea dataOnly="0" outline="0" fieldPosition="0">
          <references count="1">
            <reference field="4294967294" count="1" selected="0">
              <x v="0"/>
            </reference>
          </references>
        </pivotArea>
      </autoSortScope>
    </pivotField>
    <pivotField axis="axisRow" dataField="1" compact="0" outline="0"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s>
  <rowFields count="1">
    <field x="1"/>
  </rowFields>
  <rowItems count="6">
    <i>
      <x v="1"/>
    </i>
    <i>
      <x v="2"/>
    </i>
    <i>
      <x/>
    </i>
    <i>
      <x v="4"/>
    </i>
    <i>
      <x v="3"/>
    </i>
    <i t="grand">
      <x/>
    </i>
  </rowItems>
  <colFields count="1">
    <field x="0"/>
  </colFields>
  <colItems count="7">
    <i>
      <x v="2"/>
    </i>
    <i>
      <x v="5"/>
    </i>
    <i>
      <x v="3"/>
    </i>
    <i>
      <x/>
    </i>
    <i>
      <x v="1"/>
    </i>
    <i>
      <x v="4"/>
    </i>
    <i t="grand">
      <x/>
    </i>
  </colItems>
  <dataFields count="1">
    <dataField name="Count of province "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BCC4A8-6178-D443-A369-D3D681F3D26F}" name="PivotTable2" cacheId="1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F9" firstHeaderRow="1" firstDataRow="2" firstDataCol="1"/>
  <pivotFields count="2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4" outline="0" showAll="0"/>
    <pivotField axis="axisRow" compact="0" outline="0"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compact="0" outline="0" showAll="0"/>
    <pivotField compact="0" numFmtId="9" outline="0" showAll="0"/>
    <pivotField compact="0" numFmtId="164" outline="0" showAll="0"/>
    <pivotField compact="0" outline="0" showAll="0"/>
  </pivotFields>
  <rowFields count="1">
    <field x="9"/>
  </rowFields>
  <rowItems count="6">
    <i>
      <x v="4"/>
    </i>
    <i>
      <x v="2"/>
    </i>
    <i>
      <x v="1"/>
    </i>
    <i>
      <x/>
    </i>
    <i>
      <x v="3"/>
    </i>
    <i t="grand">
      <x/>
    </i>
  </rowItems>
  <colFields count="1">
    <field x="16"/>
  </colFields>
  <colItems count="5">
    <i>
      <x v="1"/>
    </i>
    <i>
      <x v="3"/>
    </i>
    <i>
      <x/>
    </i>
    <i>
      <x v="2"/>
    </i>
    <i t="grand">
      <x/>
    </i>
  </colItems>
  <dataFields count="1">
    <dataField name="Average of Estimated Net Worth (R)" fld="8" subtotal="average" baseField="0" baseItem="0" numFmtId="164"/>
  </dataFields>
  <formats count="2">
    <format dxfId="1">
      <pivotArea outline="0" fieldPosition="0">
        <references count="1">
          <reference field="16" count="1" selected="0">
            <x v="1"/>
          </reference>
        </references>
      </pivotArea>
    </format>
    <format dxfId="0">
      <pivotArea dataOnly="0" labelOnly="1" outline="0" fieldPosition="0">
        <references count="1">
          <reference field="1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36D9C92-F846-4F4D-9B47-DA46DB285981}">
  <we:reference id="wa200008745" version="1.0.0.0" store="en-US" storeType="OMEX"/>
  <we:alternateReferences>
    <we:reference id="wa200008745" version="1.0.0.0" store="en-US"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14052ABA-B529-1C48-9B78-B1480D1F281A}">
  <we:reference id="wa200009404" version="1.0.0.8" store="en-US" storeType="OMEX"/>
  <we:alternateReferences>
    <we:reference id="wa200009404" version="1.0.0.8" store="en-US" storeType="OMEX"/>
  </we:alternateReferences>
  <we:properties>
    <we:property name="claude.fileId" value="&quot;f3aacc4c-8d4b-489e-aa2d-412f88945336&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showGridLines="0" topLeftCell="A6" workbookViewId="0">
      <selection activeCell="B7" sqref="B7:C7"/>
    </sheetView>
  </sheetViews>
  <sheetFormatPr baseColWidth="10" defaultColWidth="8.83203125" defaultRowHeight="15" x14ac:dyDescent="0.2"/>
  <cols>
    <col min="1" max="1" width="4" customWidth="1"/>
    <col min="2" max="2" width="60" customWidth="1"/>
    <col min="3" max="3" width="25" customWidth="1"/>
  </cols>
  <sheetData>
    <row r="1" spans="1:4" ht="8" customHeight="1" x14ac:dyDescent="0.2"/>
    <row r="2" spans="1:4" ht="22" customHeight="1" x14ac:dyDescent="0.2">
      <c r="A2" s="1"/>
      <c r="B2" s="1"/>
      <c r="C2" s="1"/>
      <c r="D2" s="1"/>
    </row>
    <row r="3" spans="1:4" ht="22" customHeight="1" x14ac:dyDescent="0.2">
      <c r="A3" s="1"/>
      <c r="B3" s="56" t="s">
        <v>0</v>
      </c>
      <c r="C3" s="53"/>
      <c r="D3" s="1"/>
    </row>
    <row r="4" spans="1:4" ht="22" customHeight="1" x14ac:dyDescent="0.2">
      <c r="A4" s="1"/>
      <c r="B4" s="57" t="s">
        <v>1</v>
      </c>
      <c r="C4" s="53"/>
      <c r="D4" s="1"/>
    </row>
    <row r="5" spans="1:4" ht="22" customHeight="1" x14ac:dyDescent="0.2">
      <c r="A5" s="1"/>
      <c r="B5" s="1"/>
      <c r="C5" s="1"/>
      <c r="D5" s="1"/>
    </row>
    <row r="6" spans="1:4" ht="22" customHeight="1" x14ac:dyDescent="0.2">
      <c r="A6" s="1"/>
      <c r="B6" s="52" t="s">
        <v>2</v>
      </c>
      <c r="C6" s="53"/>
      <c r="D6" s="1"/>
    </row>
    <row r="7" spans="1:4" ht="22" customHeight="1" x14ac:dyDescent="0.2">
      <c r="A7" s="1"/>
      <c r="B7" s="55" t="s">
        <v>1004</v>
      </c>
      <c r="C7" s="53"/>
      <c r="D7" s="1"/>
    </row>
    <row r="8" spans="1:4" ht="22" customHeight="1" x14ac:dyDescent="0.2">
      <c r="A8" s="1"/>
      <c r="B8" s="1"/>
      <c r="C8" s="1"/>
      <c r="D8" s="1"/>
    </row>
    <row r="9" spans="1:4" ht="22" customHeight="1" x14ac:dyDescent="0.2">
      <c r="A9" s="1"/>
      <c r="B9" s="1"/>
      <c r="C9" s="1"/>
      <c r="D9" s="1"/>
    </row>
    <row r="10" spans="1:4" ht="22" customHeight="1" x14ac:dyDescent="0.2">
      <c r="A10" s="1"/>
      <c r="B10" s="1"/>
      <c r="C10" s="1"/>
      <c r="D10" s="1"/>
    </row>
    <row r="11" spans="1:4" ht="22" customHeight="1" x14ac:dyDescent="0.2">
      <c r="A11" s="2"/>
      <c r="B11" s="2"/>
      <c r="C11" s="2"/>
      <c r="D11" s="2"/>
    </row>
    <row r="13" spans="1:4" ht="18" customHeight="1" x14ac:dyDescent="0.2">
      <c r="B13" s="50" t="s">
        <v>3</v>
      </c>
      <c r="C13" s="51"/>
    </row>
    <row r="15" spans="1:4" ht="14" customHeight="1" x14ac:dyDescent="0.2"/>
    <row r="16" spans="1:4" ht="24" customHeight="1" x14ac:dyDescent="0.2">
      <c r="B16" s="3" t="s">
        <v>4</v>
      </c>
      <c r="C16" s="54" t="s">
        <v>5</v>
      </c>
    </row>
    <row r="17" spans="2:3" ht="14" customHeight="1" x14ac:dyDescent="0.2"/>
    <row r="18" spans="2:3" ht="24" customHeight="1" x14ac:dyDescent="0.2">
      <c r="B18" s="3" t="s">
        <v>6</v>
      </c>
      <c r="C18" s="54" t="s">
        <v>7</v>
      </c>
    </row>
    <row r="19" spans="2:3" ht="14" customHeight="1" x14ac:dyDescent="0.2"/>
    <row r="20" spans="2:3" ht="24" customHeight="1" x14ac:dyDescent="0.2">
      <c r="B20" s="3" t="s">
        <v>8</v>
      </c>
      <c r="C20" s="54" t="s">
        <v>9</v>
      </c>
    </row>
    <row r="21" spans="2:3" ht="14" customHeight="1" x14ac:dyDescent="0.2"/>
    <row r="22" spans="2:3" ht="24" customHeight="1" x14ac:dyDescent="0.2">
      <c r="B22" s="3" t="s">
        <v>10</v>
      </c>
      <c r="C22" s="54" t="s">
        <v>11</v>
      </c>
    </row>
    <row r="23" spans="2:3" ht="14" customHeight="1" x14ac:dyDescent="0.2"/>
    <row r="24" spans="2:3" ht="24" customHeight="1" x14ac:dyDescent="0.2">
      <c r="B24" s="3" t="s">
        <v>12</v>
      </c>
      <c r="C24" s="54" t="s">
        <v>13</v>
      </c>
    </row>
  </sheetData>
  <mergeCells count="10">
    <mergeCell ref="B3:C3"/>
    <mergeCell ref="C24"/>
    <mergeCell ref="C16"/>
    <mergeCell ref="C22"/>
    <mergeCell ref="B4:C4"/>
    <mergeCell ref="B13:C13"/>
    <mergeCell ref="B6:C6"/>
    <mergeCell ref="C18"/>
    <mergeCell ref="B7:C7"/>
    <mergeCell ref="C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57"/>
  <sheetViews>
    <sheetView showGridLines="0" zoomScale="136" workbookViewId="0">
      <selection activeCell="B57" sqref="B57:F57"/>
    </sheetView>
  </sheetViews>
  <sheetFormatPr baseColWidth="10" defaultColWidth="8.83203125" defaultRowHeight="15" x14ac:dyDescent="0.2"/>
  <cols>
    <col min="1" max="1" width="3" customWidth="1"/>
    <col min="2" max="2" width="6" customWidth="1"/>
    <col min="3" max="3" width="52" customWidth="1"/>
    <col min="4" max="4" width="22" customWidth="1"/>
    <col min="5" max="5" width="16" customWidth="1"/>
    <col min="6" max="6" width="22" customWidth="1"/>
  </cols>
  <sheetData>
    <row r="1" spans="2:6" ht="10" customHeight="1" x14ac:dyDescent="0.2"/>
    <row r="2" spans="2:6" ht="38" customHeight="1" x14ac:dyDescent="0.2">
      <c r="B2" s="65" t="s">
        <v>14</v>
      </c>
      <c r="C2" s="53"/>
      <c r="D2" s="53"/>
      <c r="E2" s="53"/>
      <c r="F2" s="53"/>
    </row>
    <row r="3" spans="2:6" ht="20" customHeight="1" x14ac:dyDescent="0.2">
      <c r="B3" s="62" t="s">
        <v>15</v>
      </c>
      <c r="C3" s="53"/>
      <c r="D3" s="53"/>
      <c r="E3" s="53"/>
      <c r="F3" s="53"/>
    </row>
    <row r="4" spans="2:6" ht="5" customHeight="1" x14ac:dyDescent="0.2">
      <c r="B4" s="2"/>
      <c r="C4" s="2"/>
      <c r="D4" s="2"/>
      <c r="E4" s="2"/>
      <c r="F4" s="2"/>
    </row>
    <row r="5" spans="2:6" ht="8" customHeight="1" x14ac:dyDescent="0.2"/>
    <row r="6" spans="2:6" ht="22" customHeight="1" x14ac:dyDescent="0.2">
      <c r="B6" s="37" t="s">
        <v>16</v>
      </c>
      <c r="C6" s="59" t="s">
        <v>17</v>
      </c>
      <c r="D6" s="60"/>
      <c r="E6" s="60"/>
      <c r="F6" s="61"/>
    </row>
    <row r="7" spans="2:6" ht="22" customHeight="1" x14ac:dyDescent="0.2">
      <c r="B7" s="37" t="s">
        <v>18</v>
      </c>
      <c r="C7" s="63" t="s">
        <v>19</v>
      </c>
      <c r="D7" s="60"/>
      <c r="E7" s="60"/>
      <c r="F7" s="61"/>
    </row>
    <row r="8" spans="2:6" ht="22" customHeight="1" x14ac:dyDescent="0.2">
      <c r="B8" s="37" t="s">
        <v>20</v>
      </c>
      <c r="C8" s="59" t="s">
        <v>21</v>
      </c>
      <c r="D8" s="60"/>
      <c r="E8" s="60"/>
      <c r="F8" s="61"/>
    </row>
    <row r="9" spans="2:6" ht="22" customHeight="1" x14ac:dyDescent="0.2">
      <c r="B9" s="37" t="s">
        <v>22</v>
      </c>
      <c r="C9" s="63" t="s">
        <v>23</v>
      </c>
      <c r="D9" s="60"/>
      <c r="E9" s="60"/>
      <c r="F9" s="61"/>
    </row>
    <row r="10" spans="2:6" ht="22" customHeight="1" x14ac:dyDescent="0.2">
      <c r="B10" s="37" t="s">
        <v>24</v>
      </c>
      <c r="C10" s="59" t="s">
        <v>25</v>
      </c>
      <c r="D10" s="60"/>
      <c r="E10" s="60"/>
      <c r="F10" s="61"/>
    </row>
    <row r="12" spans="2:6" ht="12" customHeight="1" x14ac:dyDescent="0.2"/>
    <row r="13" spans="2:6" ht="24" customHeight="1" x14ac:dyDescent="0.2">
      <c r="B13" s="67" t="s">
        <v>26</v>
      </c>
      <c r="C13" s="53"/>
      <c r="D13" s="53"/>
      <c r="E13" s="53"/>
      <c r="F13" s="53"/>
    </row>
    <row r="14" spans="2:6" ht="90" customHeight="1" x14ac:dyDescent="0.2">
      <c r="B14" s="66" t="s">
        <v>27</v>
      </c>
      <c r="C14" s="53"/>
      <c r="D14" s="53"/>
      <c r="E14" s="53"/>
      <c r="F14" s="53"/>
    </row>
    <row r="16" spans="2:6" ht="12" customHeight="1" x14ac:dyDescent="0.2"/>
    <row r="17" spans="2:7" ht="24" customHeight="1" x14ac:dyDescent="0.2">
      <c r="B17" s="67" t="s">
        <v>28</v>
      </c>
      <c r="C17" s="53"/>
      <c r="D17" s="53"/>
      <c r="E17" s="53"/>
      <c r="F17" s="53"/>
    </row>
    <row r="18" spans="2:7" ht="22" customHeight="1" x14ac:dyDescent="0.2">
      <c r="B18" s="38" t="s">
        <v>29</v>
      </c>
      <c r="C18" s="38" t="s">
        <v>30</v>
      </c>
      <c r="D18" s="38" t="s">
        <v>31</v>
      </c>
      <c r="E18" s="38" t="s">
        <v>32</v>
      </c>
      <c r="F18" s="38" t="s">
        <v>33</v>
      </c>
    </row>
    <row r="19" spans="2:7" ht="42" customHeight="1" x14ac:dyDescent="0.2">
      <c r="B19" s="39" t="s">
        <v>34</v>
      </c>
      <c r="C19" s="40" t="s">
        <v>35</v>
      </c>
      <c r="D19" s="40" t="s">
        <v>36</v>
      </c>
      <c r="E19" s="41" t="s">
        <v>37</v>
      </c>
      <c r="F19" s="42" t="s">
        <v>38</v>
      </c>
    </row>
    <row r="20" spans="2:7" ht="42" customHeight="1" x14ac:dyDescent="0.2">
      <c r="B20" s="43" t="s">
        <v>39</v>
      </c>
      <c r="C20" s="44" t="s">
        <v>40</v>
      </c>
      <c r="D20" s="44" t="s">
        <v>41</v>
      </c>
      <c r="E20" s="45" t="s">
        <v>42</v>
      </c>
      <c r="F20" s="46" t="s">
        <v>38</v>
      </c>
    </row>
    <row r="21" spans="2:7" ht="42" customHeight="1" x14ac:dyDescent="0.2">
      <c r="B21" s="39" t="s">
        <v>43</v>
      </c>
      <c r="C21" s="40" t="s">
        <v>44</v>
      </c>
      <c r="D21" s="40" t="s">
        <v>45</v>
      </c>
      <c r="E21" s="41" t="s">
        <v>37</v>
      </c>
      <c r="F21" s="42" t="s">
        <v>38</v>
      </c>
    </row>
    <row r="22" spans="2:7" ht="42" customHeight="1" x14ac:dyDescent="0.2">
      <c r="B22" s="43" t="s">
        <v>46</v>
      </c>
      <c r="C22" s="44" t="s">
        <v>47</v>
      </c>
      <c r="D22" s="44" t="s">
        <v>48</v>
      </c>
      <c r="E22" s="45" t="s">
        <v>49</v>
      </c>
      <c r="F22" s="46" t="s">
        <v>38</v>
      </c>
    </row>
    <row r="23" spans="2:7" ht="42" customHeight="1" x14ac:dyDescent="0.2">
      <c r="B23" s="39" t="s">
        <v>50</v>
      </c>
      <c r="C23" s="40" t="s">
        <v>51</v>
      </c>
      <c r="D23" s="40" t="s">
        <v>52</v>
      </c>
      <c r="E23" s="41" t="s">
        <v>49</v>
      </c>
      <c r="F23" s="42" t="s">
        <v>38</v>
      </c>
    </row>
    <row r="24" spans="2:7" ht="42" customHeight="1" x14ac:dyDescent="0.2">
      <c r="B24" s="43" t="s">
        <v>53</v>
      </c>
      <c r="C24" s="44" t="s">
        <v>54</v>
      </c>
      <c r="D24" s="44" t="s">
        <v>55</v>
      </c>
      <c r="E24" s="45" t="s">
        <v>37</v>
      </c>
      <c r="F24" s="46" t="s">
        <v>38</v>
      </c>
    </row>
    <row r="25" spans="2:7" ht="42" customHeight="1" x14ac:dyDescent="0.2">
      <c r="B25" s="39" t="s">
        <v>56</v>
      </c>
      <c r="C25" s="40" t="s">
        <v>57</v>
      </c>
      <c r="D25" s="40" t="s">
        <v>58</v>
      </c>
      <c r="E25" s="41" t="s">
        <v>37</v>
      </c>
      <c r="F25" s="42" t="s">
        <v>38</v>
      </c>
    </row>
    <row r="26" spans="2:7" ht="42" customHeight="1" x14ac:dyDescent="0.2">
      <c r="B26" s="43" t="s">
        <v>59</v>
      </c>
      <c r="C26" s="44" t="s">
        <v>60</v>
      </c>
      <c r="D26" s="44" t="s">
        <v>61</v>
      </c>
      <c r="E26" s="45" t="s">
        <v>42</v>
      </c>
      <c r="F26" s="46" t="s">
        <v>38</v>
      </c>
    </row>
    <row r="27" spans="2:7" ht="42" customHeight="1" x14ac:dyDescent="0.2">
      <c r="B27" s="39" t="s">
        <v>62</v>
      </c>
      <c r="C27" s="84" t="s">
        <v>63</v>
      </c>
      <c r="D27" s="40" t="s">
        <v>64</v>
      </c>
      <c r="E27" s="41" t="s">
        <v>65</v>
      </c>
      <c r="F27" s="97" t="s">
        <v>38</v>
      </c>
      <c r="G27" s="95"/>
    </row>
    <row r="28" spans="2:7" ht="42" customHeight="1" x14ac:dyDescent="0.2">
      <c r="B28" s="43" t="s">
        <v>67</v>
      </c>
      <c r="C28" s="84" t="s">
        <v>68</v>
      </c>
      <c r="D28" s="44" t="s">
        <v>69</v>
      </c>
      <c r="E28" s="45" t="s">
        <v>65</v>
      </c>
      <c r="F28" s="97" t="s">
        <v>38</v>
      </c>
      <c r="G28" s="96"/>
    </row>
    <row r="29" spans="2:7" ht="42" customHeight="1" x14ac:dyDescent="0.2">
      <c r="B29" s="39" t="s">
        <v>70</v>
      </c>
      <c r="C29" s="84" t="s">
        <v>71</v>
      </c>
      <c r="D29" s="40" t="s">
        <v>72</v>
      </c>
      <c r="E29" s="41" t="s">
        <v>65</v>
      </c>
      <c r="F29" s="97" t="s">
        <v>38</v>
      </c>
      <c r="G29" s="96"/>
    </row>
    <row r="30" spans="2:7" ht="42" customHeight="1" x14ac:dyDescent="0.2">
      <c r="B30" s="43" t="s">
        <v>73</v>
      </c>
      <c r="C30" s="44" t="s">
        <v>74</v>
      </c>
      <c r="D30" s="44" t="s">
        <v>75</v>
      </c>
      <c r="E30" s="45" t="s">
        <v>49</v>
      </c>
      <c r="F30" s="98" t="s">
        <v>66</v>
      </c>
      <c r="G30" s="95"/>
    </row>
    <row r="32" spans="2:7" ht="12" customHeight="1" x14ac:dyDescent="0.2"/>
    <row r="33" spans="2:6" ht="24" customHeight="1" x14ac:dyDescent="0.2">
      <c r="B33" s="67" t="s">
        <v>76</v>
      </c>
      <c r="C33" s="53"/>
      <c r="D33" s="53"/>
      <c r="E33" s="53"/>
      <c r="F33" s="53"/>
    </row>
    <row r="34" spans="2:6" ht="22" customHeight="1" x14ac:dyDescent="0.2">
      <c r="B34" s="38" t="s">
        <v>29</v>
      </c>
      <c r="C34" s="38" t="s">
        <v>77</v>
      </c>
      <c r="D34" s="38" t="s">
        <v>78</v>
      </c>
      <c r="E34" s="38" t="s">
        <v>79</v>
      </c>
      <c r="F34" s="38" t="s">
        <v>80</v>
      </c>
    </row>
    <row r="35" spans="2:6" ht="38" customHeight="1" x14ac:dyDescent="0.2">
      <c r="B35" s="93" t="s">
        <v>81</v>
      </c>
      <c r="C35" s="92" t="s">
        <v>82</v>
      </c>
      <c r="D35" s="94" t="s">
        <v>83</v>
      </c>
      <c r="E35" s="94" t="s">
        <v>42</v>
      </c>
      <c r="F35" s="92" t="s">
        <v>84</v>
      </c>
    </row>
    <row r="36" spans="2:6" ht="38" customHeight="1" x14ac:dyDescent="0.2">
      <c r="B36" s="93" t="s">
        <v>85</v>
      </c>
      <c r="C36" s="92" t="s">
        <v>86</v>
      </c>
      <c r="D36" s="94" t="s">
        <v>87</v>
      </c>
      <c r="E36" s="94" t="s">
        <v>42</v>
      </c>
      <c r="F36" s="92" t="s">
        <v>88</v>
      </c>
    </row>
    <row r="37" spans="2:6" ht="38" customHeight="1" x14ac:dyDescent="0.2">
      <c r="B37" s="93" t="s">
        <v>89</v>
      </c>
      <c r="C37" s="92" t="s">
        <v>90</v>
      </c>
      <c r="D37" s="94" t="s">
        <v>91</v>
      </c>
      <c r="E37" s="94" t="s">
        <v>49</v>
      </c>
      <c r="F37" s="92" t="s">
        <v>92</v>
      </c>
    </row>
    <row r="38" spans="2:6" ht="38" customHeight="1" x14ac:dyDescent="0.2">
      <c r="B38" s="93" t="s">
        <v>93</v>
      </c>
      <c r="C38" s="92" t="s">
        <v>94</v>
      </c>
      <c r="D38" s="94" t="s">
        <v>95</v>
      </c>
      <c r="E38" s="94" t="s">
        <v>49</v>
      </c>
      <c r="F38" s="92" t="s">
        <v>96</v>
      </c>
    </row>
    <row r="39" spans="2:6" ht="38" customHeight="1" x14ac:dyDescent="0.2">
      <c r="B39" s="93" t="s">
        <v>97</v>
      </c>
      <c r="C39" s="92" t="s">
        <v>98</v>
      </c>
      <c r="D39" s="94" t="s">
        <v>99</v>
      </c>
      <c r="E39" s="94" t="s">
        <v>37</v>
      </c>
      <c r="F39" s="92" t="s">
        <v>100</v>
      </c>
    </row>
    <row r="40" spans="2:6" ht="38" customHeight="1" x14ac:dyDescent="0.2">
      <c r="B40" s="93" t="s">
        <v>101</v>
      </c>
      <c r="C40" s="92" t="s">
        <v>102</v>
      </c>
      <c r="D40" s="94" t="s">
        <v>103</v>
      </c>
      <c r="E40" s="94" t="s">
        <v>37</v>
      </c>
      <c r="F40" s="92" t="s">
        <v>104</v>
      </c>
    </row>
    <row r="41" spans="2:6" ht="38" customHeight="1" x14ac:dyDescent="0.2">
      <c r="B41" s="93" t="s">
        <v>105</v>
      </c>
      <c r="C41" s="92" t="s">
        <v>106</v>
      </c>
      <c r="D41" s="94" t="s">
        <v>107</v>
      </c>
      <c r="E41" s="94" t="s">
        <v>37</v>
      </c>
      <c r="F41" s="92" t="s">
        <v>108</v>
      </c>
    </row>
    <row r="42" spans="2:6" ht="38" customHeight="1" x14ac:dyDescent="0.2">
      <c r="B42" s="93" t="s">
        <v>109</v>
      </c>
      <c r="C42" s="92" t="s">
        <v>110</v>
      </c>
      <c r="D42" s="94" t="s">
        <v>111</v>
      </c>
      <c r="E42" s="94" t="s">
        <v>42</v>
      </c>
      <c r="F42" s="92" t="s">
        <v>112</v>
      </c>
    </row>
    <row r="44" spans="2:6" ht="12" customHeight="1" x14ac:dyDescent="0.2"/>
    <row r="45" spans="2:6" ht="24" customHeight="1" x14ac:dyDescent="0.2">
      <c r="B45" s="67" t="s">
        <v>113</v>
      </c>
      <c r="C45" s="53"/>
      <c r="D45" s="53"/>
      <c r="E45" s="53"/>
      <c r="F45" s="53"/>
    </row>
    <row r="46" spans="2:6" ht="28" customHeight="1" x14ac:dyDescent="0.2">
      <c r="B46" s="47" t="s">
        <v>114</v>
      </c>
      <c r="C46" s="58" t="s">
        <v>115</v>
      </c>
      <c r="D46" s="53"/>
      <c r="E46" s="53"/>
      <c r="F46" s="53"/>
    </row>
    <row r="47" spans="2:6" ht="28" customHeight="1" x14ac:dyDescent="0.2">
      <c r="B47" s="48" t="s">
        <v>114</v>
      </c>
      <c r="C47" s="64" t="s">
        <v>116</v>
      </c>
      <c r="D47" s="53"/>
      <c r="E47" s="53"/>
      <c r="F47" s="53"/>
    </row>
    <row r="48" spans="2:6" ht="28" customHeight="1" x14ac:dyDescent="0.2">
      <c r="B48" s="47" t="s">
        <v>114</v>
      </c>
      <c r="C48" s="58" t="s">
        <v>117</v>
      </c>
      <c r="D48" s="53"/>
      <c r="E48" s="53"/>
      <c r="F48" s="53"/>
    </row>
    <row r="49" spans="2:6" ht="28" customHeight="1" x14ac:dyDescent="0.2">
      <c r="B49" s="48" t="s">
        <v>114</v>
      </c>
      <c r="C49" s="64" t="s">
        <v>118</v>
      </c>
      <c r="D49" s="53"/>
      <c r="E49" s="53"/>
      <c r="F49" s="53"/>
    </row>
    <row r="50" spans="2:6" ht="28" customHeight="1" x14ac:dyDescent="0.2">
      <c r="B50" s="47" t="s">
        <v>114</v>
      </c>
      <c r="C50" s="58" t="s">
        <v>119</v>
      </c>
      <c r="D50" s="53"/>
      <c r="E50" s="53"/>
      <c r="F50" s="53"/>
    </row>
    <row r="51" spans="2:6" ht="28" customHeight="1" x14ac:dyDescent="0.2">
      <c r="B51" s="48" t="s">
        <v>114</v>
      </c>
      <c r="C51" s="64" t="s">
        <v>120</v>
      </c>
      <c r="D51" s="53"/>
      <c r="E51" s="53"/>
      <c r="F51" s="53"/>
    </row>
    <row r="52" spans="2:6" ht="28" customHeight="1" x14ac:dyDescent="0.2">
      <c r="B52" s="47" t="s">
        <v>114</v>
      </c>
      <c r="C52" s="58" t="s">
        <v>121</v>
      </c>
      <c r="D52" s="53"/>
      <c r="E52" s="53"/>
      <c r="F52" s="53"/>
    </row>
    <row r="53" spans="2:6" ht="28" customHeight="1" x14ac:dyDescent="0.2">
      <c r="B53" s="47" t="s">
        <v>114</v>
      </c>
      <c r="C53" s="64" t="s">
        <v>123</v>
      </c>
      <c r="D53" s="53"/>
      <c r="E53" s="53"/>
      <c r="F53" s="53"/>
    </row>
    <row r="54" spans="2:6" ht="28" customHeight="1" x14ac:dyDescent="0.2">
      <c r="B54" s="49" t="s">
        <v>122</v>
      </c>
      <c r="C54" s="58" t="s">
        <v>124</v>
      </c>
      <c r="D54" s="53"/>
      <c r="E54" s="53"/>
      <c r="F54" s="53"/>
    </row>
    <row r="57" spans="2:6" ht="40" customHeight="1" x14ac:dyDescent="0.2">
      <c r="B57" s="68" t="s">
        <v>1003</v>
      </c>
      <c r="C57" s="53"/>
      <c r="D57" s="53"/>
      <c r="E57" s="53"/>
      <c r="F57" s="53"/>
    </row>
  </sheetData>
  <mergeCells count="22">
    <mergeCell ref="B57:F57"/>
    <mergeCell ref="C54:F54"/>
    <mergeCell ref="C47:F47"/>
    <mergeCell ref="C10:F10"/>
    <mergeCell ref="C50:F50"/>
    <mergeCell ref="B33:F33"/>
    <mergeCell ref="C46:F46"/>
    <mergeCell ref="B45:F45"/>
    <mergeCell ref="C51:F51"/>
    <mergeCell ref="C53:F53"/>
    <mergeCell ref="B2:F2"/>
    <mergeCell ref="C49:F49"/>
    <mergeCell ref="C6:F6"/>
    <mergeCell ref="B14:F14"/>
    <mergeCell ref="B17:F17"/>
    <mergeCell ref="B13:F13"/>
    <mergeCell ref="C9:F9"/>
    <mergeCell ref="C52:F52"/>
    <mergeCell ref="C48:F48"/>
    <mergeCell ref="C8:F8"/>
    <mergeCell ref="B3:F3"/>
    <mergeCell ref="C7:F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01"/>
  <sheetViews>
    <sheetView showGridLines="0" tabSelected="1" zoomScale="132" workbookViewId="0">
      <pane ySplit="1" topLeftCell="A2" activePane="bottomLeft" state="frozen"/>
      <selection pane="bottomLeft" activeCell="D14" sqref="D14"/>
    </sheetView>
  </sheetViews>
  <sheetFormatPr baseColWidth="10" defaultColWidth="8.83203125" defaultRowHeight="15" x14ac:dyDescent="0.2"/>
  <cols>
    <col min="1" max="2" width="13" customWidth="1"/>
    <col min="3" max="3" width="14" customWidth="1"/>
    <col min="4" max="4" width="7" customWidth="1"/>
    <col min="5" max="5" width="10" customWidth="1"/>
    <col min="6" max="6" width="16" customWidth="1"/>
    <col min="7" max="7" width="22" customWidth="1"/>
    <col min="8" max="8" width="20" customWidth="1"/>
    <col min="9" max="9" width="22" customWidth="1"/>
    <col min="10" max="10" width="14" customWidth="1"/>
    <col min="11" max="12" width="18" customWidth="1"/>
    <col min="13" max="13" width="20" customWidth="1"/>
    <col min="14" max="14" width="15" customWidth="1"/>
    <col min="15" max="15" width="22" customWidth="1"/>
    <col min="16" max="16" width="20" customWidth="1"/>
    <col min="17" max="17" width="14" customWidth="1"/>
    <col min="18" max="18" width="16" customWidth="1"/>
    <col min="19" max="19" width="14" customWidth="1"/>
    <col min="20" max="20" width="22" customWidth="1"/>
    <col min="21" max="21" width="30" customWidth="1"/>
  </cols>
  <sheetData>
    <row r="1" spans="1:21" ht="30" customHeight="1" x14ac:dyDescent="0.2">
      <c r="A1" s="4" t="s">
        <v>125</v>
      </c>
      <c r="B1" s="4" t="s">
        <v>126</v>
      </c>
      <c r="C1" s="4" t="s">
        <v>127</v>
      </c>
      <c r="D1" s="4" t="s">
        <v>128</v>
      </c>
      <c r="E1" s="4" t="s">
        <v>129</v>
      </c>
      <c r="F1" s="4" t="s">
        <v>130</v>
      </c>
      <c r="G1" s="4" t="s">
        <v>131</v>
      </c>
      <c r="H1" s="4" t="s">
        <v>132</v>
      </c>
      <c r="I1" s="4" t="s">
        <v>133</v>
      </c>
      <c r="J1" s="4" t="s">
        <v>994</v>
      </c>
      <c r="K1" s="4" t="s">
        <v>135</v>
      </c>
      <c r="L1" s="4" t="s">
        <v>136</v>
      </c>
      <c r="M1" s="4" t="s">
        <v>137</v>
      </c>
      <c r="N1" s="4" t="s">
        <v>138</v>
      </c>
      <c r="O1" s="4" t="s">
        <v>139</v>
      </c>
      <c r="P1" s="4" t="s">
        <v>140</v>
      </c>
      <c r="Q1" s="4" t="s">
        <v>141</v>
      </c>
      <c r="R1" s="4" t="s">
        <v>142</v>
      </c>
      <c r="S1" s="4" t="s">
        <v>143</v>
      </c>
      <c r="T1" s="4" t="s">
        <v>144</v>
      </c>
      <c r="U1" s="4" t="s">
        <v>145</v>
      </c>
    </row>
    <row r="2" spans="1:21" ht="26" x14ac:dyDescent="0.2">
      <c r="A2" s="5" t="s">
        <v>146</v>
      </c>
      <c r="B2" s="5" t="s">
        <v>147</v>
      </c>
      <c r="C2" s="5" t="s">
        <v>148</v>
      </c>
      <c r="D2" s="5">
        <v>50</v>
      </c>
      <c r="E2" s="5" t="s">
        <v>149</v>
      </c>
      <c r="F2" s="5" t="s">
        <v>150</v>
      </c>
      <c r="G2" s="5" t="s">
        <v>151</v>
      </c>
      <c r="H2" s="5" t="s">
        <v>152</v>
      </c>
      <c r="I2" s="6">
        <v>4677000</v>
      </c>
      <c r="J2" s="5" t="s">
        <v>153</v>
      </c>
      <c r="K2" s="5" t="s">
        <v>154</v>
      </c>
      <c r="L2" s="5" t="s">
        <v>155</v>
      </c>
      <c r="M2" s="5" t="s">
        <v>156</v>
      </c>
      <c r="N2" s="5">
        <v>1</v>
      </c>
      <c r="O2" s="5" t="s">
        <v>157</v>
      </c>
      <c r="P2" s="5">
        <v>5</v>
      </c>
      <c r="Q2" s="5" t="s">
        <v>158</v>
      </c>
      <c r="R2" s="5" t="s">
        <v>159</v>
      </c>
      <c r="S2" s="7">
        <v>0.47</v>
      </c>
      <c r="T2" s="6">
        <v>2716000</v>
      </c>
      <c r="U2" s="5" t="s">
        <v>160</v>
      </c>
    </row>
    <row r="3" spans="1:21" ht="26" x14ac:dyDescent="0.2">
      <c r="A3" s="8" t="s">
        <v>161</v>
      </c>
      <c r="B3" s="8" t="s">
        <v>162</v>
      </c>
      <c r="C3" s="8" t="s">
        <v>163</v>
      </c>
      <c r="D3" s="8">
        <v>72</v>
      </c>
      <c r="E3" s="8" t="s">
        <v>164</v>
      </c>
      <c r="F3" s="8" t="s">
        <v>150</v>
      </c>
      <c r="G3" s="8" t="s">
        <v>165</v>
      </c>
      <c r="H3" s="8" t="s">
        <v>166</v>
      </c>
      <c r="I3" s="9">
        <v>3021000</v>
      </c>
      <c r="J3" s="8" t="s">
        <v>153</v>
      </c>
      <c r="K3" s="8" t="s">
        <v>167</v>
      </c>
      <c r="L3" s="8" t="s">
        <v>168</v>
      </c>
      <c r="M3" s="8" t="s">
        <v>169</v>
      </c>
      <c r="N3" s="8">
        <v>2</v>
      </c>
      <c r="O3" s="8" t="s">
        <v>170</v>
      </c>
      <c r="P3" s="8">
        <v>3</v>
      </c>
      <c r="Q3" s="8" t="s">
        <v>171</v>
      </c>
      <c r="R3" s="8" t="s">
        <v>172</v>
      </c>
      <c r="S3" s="10">
        <v>1</v>
      </c>
      <c r="T3" s="9">
        <v>1306000</v>
      </c>
      <c r="U3" s="8" t="s">
        <v>173</v>
      </c>
    </row>
    <row r="4" spans="1:21" ht="26" x14ac:dyDescent="0.2">
      <c r="A4" s="5" t="s">
        <v>174</v>
      </c>
      <c r="B4" s="5" t="s">
        <v>175</v>
      </c>
      <c r="C4" s="5" t="s">
        <v>176</v>
      </c>
      <c r="D4" s="5">
        <v>59</v>
      </c>
      <c r="E4" s="5" t="s">
        <v>164</v>
      </c>
      <c r="F4" s="5" t="s">
        <v>150</v>
      </c>
      <c r="G4" s="5" t="s">
        <v>177</v>
      </c>
      <c r="H4" s="5" t="s">
        <v>178</v>
      </c>
      <c r="I4" s="6">
        <v>3085000</v>
      </c>
      <c r="J4" s="5" t="s">
        <v>153</v>
      </c>
      <c r="K4" s="5" t="s">
        <v>179</v>
      </c>
      <c r="L4" s="5" t="s">
        <v>180</v>
      </c>
      <c r="M4" s="5" t="s">
        <v>181</v>
      </c>
      <c r="N4" s="5">
        <v>4</v>
      </c>
      <c r="O4" s="5" t="s">
        <v>182</v>
      </c>
      <c r="P4" s="5">
        <v>3</v>
      </c>
      <c r="Q4" s="5" t="s">
        <v>158</v>
      </c>
      <c r="R4" s="5" t="s">
        <v>183</v>
      </c>
      <c r="S4" s="7">
        <v>0.1</v>
      </c>
      <c r="T4" s="6">
        <v>1354000</v>
      </c>
      <c r="U4" s="5" t="s">
        <v>184</v>
      </c>
    </row>
    <row r="5" spans="1:21" ht="26" x14ac:dyDescent="0.2">
      <c r="A5" s="8" t="s">
        <v>185</v>
      </c>
      <c r="B5" s="8" t="s">
        <v>186</v>
      </c>
      <c r="C5" s="8" t="s">
        <v>187</v>
      </c>
      <c r="D5" s="8">
        <v>57</v>
      </c>
      <c r="E5" s="8" t="s">
        <v>164</v>
      </c>
      <c r="F5" s="8" t="s">
        <v>150</v>
      </c>
      <c r="G5" s="8" t="s">
        <v>177</v>
      </c>
      <c r="H5" s="8" t="s">
        <v>152</v>
      </c>
      <c r="I5" s="9">
        <v>5856000</v>
      </c>
      <c r="J5" s="8" t="s">
        <v>188</v>
      </c>
      <c r="K5" s="8" t="s">
        <v>179</v>
      </c>
      <c r="L5" s="8" t="s">
        <v>189</v>
      </c>
      <c r="M5" s="8" t="s">
        <v>190</v>
      </c>
      <c r="N5" s="8">
        <v>5</v>
      </c>
      <c r="O5" s="8" t="s">
        <v>191</v>
      </c>
      <c r="P5" s="8">
        <v>7</v>
      </c>
      <c r="Q5" s="8" t="s">
        <v>192</v>
      </c>
      <c r="R5" s="8" t="s">
        <v>193</v>
      </c>
      <c r="S5" s="10">
        <v>0.12</v>
      </c>
      <c r="T5" s="9">
        <v>4114000</v>
      </c>
      <c r="U5" s="8" t="s">
        <v>194</v>
      </c>
    </row>
    <row r="6" spans="1:21" ht="26" x14ac:dyDescent="0.2">
      <c r="A6" s="5" t="s">
        <v>195</v>
      </c>
      <c r="B6" s="5" t="s">
        <v>196</v>
      </c>
      <c r="C6" s="5" t="s">
        <v>197</v>
      </c>
      <c r="D6" s="5">
        <v>71</v>
      </c>
      <c r="E6" s="5" t="s">
        <v>164</v>
      </c>
      <c r="F6" s="5" t="s">
        <v>198</v>
      </c>
      <c r="G6" s="5" t="s">
        <v>199</v>
      </c>
      <c r="H6" s="5" t="s">
        <v>200</v>
      </c>
      <c r="I6" s="6">
        <v>3187000</v>
      </c>
      <c r="J6" s="5" t="s">
        <v>153</v>
      </c>
      <c r="K6" s="5" t="s">
        <v>201</v>
      </c>
      <c r="L6" s="5" t="s">
        <v>202</v>
      </c>
      <c r="M6" s="5" t="s">
        <v>203</v>
      </c>
      <c r="N6" s="5">
        <v>4</v>
      </c>
      <c r="O6" s="5" t="s">
        <v>182</v>
      </c>
      <c r="P6" s="5">
        <v>8</v>
      </c>
      <c r="Q6" s="5" t="s">
        <v>204</v>
      </c>
      <c r="R6" s="5" t="s">
        <v>205</v>
      </c>
      <c r="S6" s="7">
        <v>0.28000000000000003</v>
      </c>
      <c r="T6" s="6">
        <v>1768000</v>
      </c>
      <c r="U6" s="5" t="s">
        <v>206</v>
      </c>
    </row>
    <row r="7" spans="1:21" ht="26" x14ac:dyDescent="0.2">
      <c r="A7" s="8" t="s">
        <v>207</v>
      </c>
      <c r="B7" s="8" t="s">
        <v>208</v>
      </c>
      <c r="C7" s="8" t="s">
        <v>176</v>
      </c>
      <c r="D7" s="8">
        <v>44</v>
      </c>
      <c r="E7" s="8" t="s">
        <v>149</v>
      </c>
      <c r="F7" s="8" t="s">
        <v>209</v>
      </c>
      <c r="G7" s="8" t="s">
        <v>210</v>
      </c>
      <c r="H7" s="8" t="s">
        <v>211</v>
      </c>
      <c r="I7" s="9">
        <v>6924000</v>
      </c>
      <c r="J7" s="8" t="s">
        <v>188</v>
      </c>
      <c r="K7" s="8" t="s">
        <v>201</v>
      </c>
      <c r="L7" s="8" t="s">
        <v>212</v>
      </c>
      <c r="M7" s="8" t="s">
        <v>213</v>
      </c>
      <c r="N7" s="8">
        <v>1</v>
      </c>
      <c r="O7" s="8" t="s">
        <v>157</v>
      </c>
      <c r="P7" s="8">
        <v>10</v>
      </c>
      <c r="Q7" s="8" t="s">
        <v>171</v>
      </c>
      <c r="R7" s="8" t="s">
        <v>172</v>
      </c>
      <c r="S7" s="10">
        <v>0.99</v>
      </c>
      <c r="T7" s="9">
        <v>2463000</v>
      </c>
      <c r="U7" s="8" t="s">
        <v>194</v>
      </c>
    </row>
    <row r="8" spans="1:21" ht="26" x14ac:dyDescent="0.2">
      <c r="A8" s="5" t="s">
        <v>214</v>
      </c>
      <c r="B8" s="5" t="s">
        <v>215</v>
      </c>
      <c r="C8" s="5" t="s">
        <v>216</v>
      </c>
      <c r="D8" s="5">
        <v>51</v>
      </c>
      <c r="E8" s="5" t="s">
        <v>149</v>
      </c>
      <c r="F8" s="5" t="s">
        <v>217</v>
      </c>
      <c r="G8" s="5" t="s">
        <v>218</v>
      </c>
      <c r="H8" s="5" t="s">
        <v>219</v>
      </c>
      <c r="I8" s="6">
        <v>1806000</v>
      </c>
      <c r="J8" s="5" t="s">
        <v>220</v>
      </c>
      <c r="K8" s="5" t="s">
        <v>221</v>
      </c>
      <c r="L8" s="5" t="s">
        <v>222</v>
      </c>
      <c r="M8" s="5" t="s">
        <v>223</v>
      </c>
      <c r="N8" s="5">
        <v>4</v>
      </c>
      <c r="O8" s="5" t="s">
        <v>224</v>
      </c>
      <c r="P8" s="5">
        <v>7</v>
      </c>
      <c r="Q8" s="5" t="s">
        <v>158</v>
      </c>
      <c r="R8" s="5" t="s">
        <v>159</v>
      </c>
      <c r="S8" s="7">
        <v>0.53</v>
      </c>
      <c r="T8" s="6">
        <v>1375000</v>
      </c>
      <c r="U8" s="5" t="s">
        <v>173</v>
      </c>
    </row>
    <row r="9" spans="1:21" ht="26" x14ac:dyDescent="0.2">
      <c r="A9" s="8" t="s">
        <v>225</v>
      </c>
      <c r="B9" s="8" t="s">
        <v>226</v>
      </c>
      <c r="C9" s="8" t="s">
        <v>216</v>
      </c>
      <c r="D9" s="8">
        <v>42</v>
      </c>
      <c r="E9" s="8" t="s">
        <v>164</v>
      </c>
      <c r="F9" s="8" t="s">
        <v>227</v>
      </c>
      <c r="G9" s="8" t="s">
        <v>177</v>
      </c>
      <c r="H9" s="8" t="s">
        <v>200</v>
      </c>
      <c r="I9" s="9">
        <v>445104000</v>
      </c>
      <c r="J9" s="8" t="s">
        <v>228</v>
      </c>
      <c r="K9" s="8" t="s">
        <v>154</v>
      </c>
      <c r="L9" s="8" t="s">
        <v>229</v>
      </c>
      <c r="M9" s="8" t="s">
        <v>230</v>
      </c>
      <c r="N9" s="8">
        <v>2</v>
      </c>
      <c r="O9" s="8" t="s">
        <v>224</v>
      </c>
      <c r="P9" s="8">
        <v>4</v>
      </c>
      <c r="Q9" s="8" t="s">
        <v>204</v>
      </c>
      <c r="R9" s="8" t="s">
        <v>183</v>
      </c>
      <c r="S9" s="10">
        <v>0.08</v>
      </c>
      <c r="T9" s="9">
        <v>192520000</v>
      </c>
      <c r="U9" s="8" t="s">
        <v>231</v>
      </c>
    </row>
    <row r="10" spans="1:21" ht="26" x14ac:dyDescent="0.2">
      <c r="A10" s="5" t="s">
        <v>232</v>
      </c>
      <c r="B10" s="5" t="s">
        <v>162</v>
      </c>
      <c r="C10" s="5" t="s">
        <v>233</v>
      </c>
      <c r="D10" s="5">
        <v>47</v>
      </c>
      <c r="E10" s="5" t="s">
        <v>164</v>
      </c>
      <c r="F10" s="5" t="s">
        <v>234</v>
      </c>
      <c r="G10" s="5" t="s">
        <v>235</v>
      </c>
      <c r="H10" s="5" t="s">
        <v>236</v>
      </c>
      <c r="I10" s="6">
        <v>7588000</v>
      </c>
      <c r="J10" s="5" t="s">
        <v>188</v>
      </c>
      <c r="K10" s="5" t="s">
        <v>154</v>
      </c>
      <c r="L10" s="5" t="s">
        <v>237</v>
      </c>
      <c r="M10" s="5" t="s">
        <v>238</v>
      </c>
      <c r="N10" s="5">
        <v>6</v>
      </c>
      <c r="O10" s="5" t="s">
        <v>239</v>
      </c>
      <c r="P10" s="5">
        <v>10</v>
      </c>
      <c r="Q10" s="5" t="s">
        <v>158</v>
      </c>
      <c r="R10" s="5" t="s">
        <v>159</v>
      </c>
      <c r="S10" s="7">
        <v>0.47</v>
      </c>
      <c r="T10" s="6">
        <v>2546000</v>
      </c>
      <c r="U10" s="5" t="s">
        <v>184</v>
      </c>
    </row>
    <row r="11" spans="1:21" ht="26" x14ac:dyDescent="0.2">
      <c r="A11" s="8" t="s">
        <v>240</v>
      </c>
      <c r="B11" s="8" t="s">
        <v>241</v>
      </c>
      <c r="C11" s="8" t="s">
        <v>242</v>
      </c>
      <c r="D11" s="8">
        <v>37</v>
      </c>
      <c r="E11" s="8" t="s">
        <v>149</v>
      </c>
      <c r="F11" s="8" t="s">
        <v>198</v>
      </c>
      <c r="G11" s="8" t="s">
        <v>243</v>
      </c>
      <c r="H11" s="8" t="s">
        <v>219</v>
      </c>
      <c r="I11" s="9">
        <v>36759000</v>
      </c>
      <c r="J11" s="8" t="s">
        <v>244</v>
      </c>
      <c r="K11" s="8" t="s">
        <v>179</v>
      </c>
      <c r="L11" s="8" t="s">
        <v>245</v>
      </c>
      <c r="M11" s="8" t="s">
        <v>246</v>
      </c>
      <c r="N11" s="8">
        <v>10</v>
      </c>
      <c r="O11" s="8" t="s">
        <v>247</v>
      </c>
      <c r="P11" s="8">
        <v>5</v>
      </c>
      <c r="Q11" s="8" t="s">
        <v>204</v>
      </c>
      <c r="R11" s="8" t="s">
        <v>172</v>
      </c>
      <c r="S11" s="10">
        <v>0.98</v>
      </c>
      <c r="T11" s="9">
        <v>12761000</v>
      </c>
      <c r="U11" s="8" t="s">
        <v>184</v>
      </c>
    </row>
    <row r="12" spans="1:21" ht="26" x14ac:dyDescent="0.2">
      <c r="A12" s="5" t="s">
        <v>248</v>
      </c>
      <c r="B12" s="5" t="s">
        <v>249</v>
      </c>
      <c r="C12" s="5" t="s">
        <v>250</v>
      </c>
      <c r="D12" s="5">
        <v>61</v>
      </c>
      <c r="E12" s="5" t="s">
        <v>164</v>
      </c>
      <c r="F12" s="5" t="s">
        <v>209</v>
      </c>
      <c r="G12" s="5" t="s">
        <v>151</v>
      </c>
      <c r="H12" s="5" t="s">
        <v>251</v>
      </c>
      <c r="I12" s="6">
        <v>4952000</v>
      </c>
      <c r="J12" s="5" t="s">
        <v>153</v>
      </c>
      <c r="K12" s="5" t="s">
        <v>154</v>
      </c>
      <c r="L12" s="5" t="s">
        <v>252</v>
      </c>
      <c r="M12" s="5" t="s">
        <v>253</v>
      </c>
      <c r="N12" s="5">
        <v>6</v>
      </c>
      <c r="O12" s="5" t="s">
        <v>157</v>
      </c>
      <c r="P12" s="5">
        <v>5</v>
      </c>
      <c r="Q12" s="5" t="s">
        <v>158</v>
      </c>
      <c r="R12" s="5" t="s">
        <v>193</v>
      </c>
      <c r="S12" s="7">
        <v>0.15</v>
      </c>
      <c r="T12" s="6">
        <v>1833000</v>
      </c>
      <c r="U12" s="5" t="s">
        <v>254</v>
      </c>
    </row>
    <row r="13" spans="1:21" ht="26" x14ac:dyDescent="0.2">
      <c r="A13" s="8" t="s">
        <v>255</v>
      </c>
      <c r="B13" s="8" t="s">
        <v>226</v>
      </c>
      <c r="C13" s="8" t="s">
        <v>256</v>
      </c>
      <c r="D13" s="8">
        <v>39</v>
      </c>
      <c r="E13" s="8" t="s">
        <v>164</v>
      </c>
      <c r="F13" s="8" t="s">
        <v>150</v>
      </c>
      <c r="G13" s="8" t="s">
        <v>257</v>
      </c>
      <c r="H13" s="8" t="s">
        <v>152</v>
      </c>
      <c r="I13" s="9">
        <v>499677000</v>
      </c>
      <c r="J13" s="8" t="s">
        <v>228</v>
      </c>
      <c r="K13" s="8" t="s">
        <v>258</v>
      </c>
      <c r="L13" s="8" t="s">
        <v>259</v>
      </c>
      <c r="M13" s="8" t="s">
        <v>260</v>
      </c>
      <c r="N13" s="8">
        <v>7</v>
      </c>
      <c r="O13" s="8" t="s">
        <v>247</v>
      </c>
      <c r="P13" s="8">
        <v>9</v>
      </c>
      <c r="Q13" s="8" t="s">
        <v>158</v>
      </c>
      <c r="R13" s="8" t="s">
        <v>183</v>
      </c>
      <c r="S13" s="10">
        <v>7.0000000000000007E-2</v>
      </c>
      <c r="T13" s="9">
        <v>191036000</v>
      </c>
      <c r="U13" s="8" t="s">
        <v>173</v>
      </c>
    </row>
    <row r="14" spans="1:21" ht="26" x14ac:dyDescent="0.2">
      <c r="A14" s="5" t="s">
        <v>261</v>
      </c>
      <c r="B14" s="5" t="s">
        <v>262</v>
      </c>
      <c r="C14" s="5" t="s">
        <v>163</v>
      </c>
      <c r="D14" s="5">
        <v>53</v>
      </c>
      <c r="E14" s="5" t="s">
        <v>164</v>
      </c>
      <c r="F14" s="5" t="s">
        <v>150</v>
      </c>
      <c r="G14" s="5" t="s">
        <v>151</v>
      </c>
      <c r="H14" s="5" t="s">
        <v>219</v>
      </c>
      <c r="I14" s="6">
        <v>3460000</v>
      </c>
      <c r="J14" s="5" t="s">
        <v>153</v>
      </c>
      <c r="K14" s="5" t="s">
        <v>179</v>
      </c>
      <c r="L14" s="5" t="s">
        <v>263</v>
      </c>
      <c r="M14" s="5" t="s">
        <v>264</v>
      </c>
      <c r="N14" s="5">
        <v>10</v>
      </c>
      <c r="O14" s="5" t="s">
        <v>239</v>
      </c>
      <c r="P14" s="5">
        <v>7</v>
      </c>
      <c r="Q14" s="5" t="s">
        <v>192</v>
      </c>
      <c r="R14" s="5" t="s">
        <v>265</v>
      </c>
      <c r="S14" s="7">
        <v>0.05</v>
      </c>
      <c r="T14" s="6">
        <v>1908000</v>
      </c>
      <c r="U14" s="5" t="s">
        <v>266</v>
      </c>
    </row>
    <row r="15" spans="1:21" ht="26" x14ac:dyDescent="0.2">
      <c r="A15" s="8" t="s">
        <v>267</v>
      </c>
      <c r="B15" s="8" t="s">
        <v>147</v>
      </c>
      <c r="C15" s="8" t="s">
        <v>268</v>
      </c>
      <c r="D15" s="8">
        <v>40</v>
      </c>
      <c r="E15" s="8" t="s">
        <v>149</v>
      </c>
      <c r="F15" s="8" t="s">
        <v>198</v>
      </c>
      <c r="G15" s="8" t="s">
        <v>243</v>
      </c>
      <c r="H15" s="8" t="s">
        <v>178</v>
      </c>
      <c r="I15" s="9">
        <v>437819000</v>
      </c>
      <c r="J15" s="8" t="s">
        <v>228</v>
      </c>
      <c r="K15" s="8" t="s">
        <v>269</v>
      </c>
      <c r="L15" s="8" t="s">
        <v>270</v>
      </c>
      <c r="M15" s="8" t="s">
        <v>271</v>
      </c>
      <c r="N15" s="8">
        <v>10</v>
      </c>
      <c r="O15" s="8" t="s">
        <v>239</v>
      </c>
      <c r="P15" s="8">
        <v>3</v>
      </c>
      <c r="Q15" s="8" t="s">
        <v>204</v>
      </c>
      <c r="R15" s="8" t="s">
        <v>272</v>
      </c>
      <c r="S15" s="10">
        <v>0.71</v>
      </c>
      <c r="T15" s="9">
        <v>245788000</v>
      </c>
      <c r="U15" s="8" t="s">
        <v>273</v>
      </c>
    </row>
    <row r="16" spans="1:21" ht="26" x14ac:dyDescent="0.2">
      <c r="A16" s="5" t="s">
        <v>274</v>
      </c>
      <c r="B16" s="5" t="s">
        <v>275</v>
      </c>
      <c r="C16" s="5" t="s">
        <v>276</v>
      </c>
      <c r="D16" s="5">
        <v>50</v>
      </c>
      <c r="E16" s="5" t="s">
        <v>149</v>
      </c>
      <c r="F16" s="5" t="s">
        <v>150</v>
      </c>
      <c r="G16" s="5" t="s">
        <v>218</v>
      </c>
      <c r="H16" s="5" t="s">
        <v>277</v>
      </c>
      <c r="I16" s="6">
        <v>9645000</v>
      </c>
      <c r="J16" s="5" t="s">
        <v>188</v>
      </c>
      <c r="K16" s="5" t="s">
        <v>154</v>
      </c>
      <c r="L16" s="5" t="s">
        <v>278</v>
      </c>
      <c r="M16" s="5" t="s">
        <v>279</v>
      </c>
      <c r="N16" s="5">
        <v>10</v>
      </c>
      <c r="O16" s="5" t="s">
        <v>157</v>
      </c>
      <c r="P16" s="5">
        <v>3</v>
      </c>
      <c r="Q16" s="5" t="s">
        <v>158</v>
      </c>
      <c r="R16" s="5" t="s">
        <v>159</v>
      </c>
      <c r="S16" s="7">
        <v>0.48</v>
      </c>
      <c r="T16" s="6">
        <v>7394000</v>
      </c>
      <c r="U16" s="5" t="s">
        <v>206</v>
      </c>
    </row>
    <row r="17" spans="1:21" ht="26" x14ac:dyDescent="0.2">
      <c r="A17" s="8" t="s">
        <v>280</v>
      </c>
      <c r="B17" s="8" t="s">
        <v>281</v>
      </c>
      <c r="C17" s="8" t="s">
        <v>282</v>
      </c>
      <c r="D17" s="8">
        <v>45</v>
      </c>
      <c r="E17" s="8" t="s">
        <v>149</v>
      </c>
      <c r="F17" s="8" t="s">
        <v>150</v>
      </c>
      <c r="G17" s="8" t="s">
        <v>257</v>
      </c>
      <c r="H17" s="8" t="s">
        <v>277</v>
      </c>
      <c r="I17" s="9">
        <v>9936000</v>
      </c>
      <c r="J17" s="8" t="s">
        <v>188</v>
      </c>
      <c r="K17" s="8" t="s">
        <v>258</v>
      </c>
      <c r="L17" s="8" t="s">
        <v>283</v>
      </c>
      <c r="M17" s="8" t="s">
        <v>284</v>
      </c>
      <c r="N17" s="8">
        <v>2</v>
      </c>
      <c r="O17" s="8" t="s">
        <v>224</v>
      </c>
      <c r="P17" s="8">
        <v>6</v>
      </c>
      <c r="Q17" s="8" t="s">
        <v>192</v>
      </c>
      <c r="R17" s="8" t="s">
        <v>183</v>
      </c>
      <c r="S17" s="10">
        <v>0.12</v>
      </c>
      <c r="T17" s="9">
        <v>5729000</v>
      </c>
      <c r="U17" s="8" t="s">
        <v>273</v>
      </c>
    </row>
    <row r="18" spans="1:21" ht="26" x14ac:dyDescent="0.2">
      <c r="A18" s="5" t="s">
        <v>285</v>
      </c>
      <c r="B18" s="5" t="s">
        <v>286</v>
      </c>
      <c r="C18" s="5" t="s">
        <v>197</v>
      </c>
      <c r="D18" s="5">
        <v>56</v>
      </c>
      <c r="E18" s="5" t="s">
        <v>164</v>
      </c>
      <c r="F18" s="5" t="s">
        <v>150</v>
      </c>
      <c r="G18" s="5" t="s">
        <v>210</v>
      </c>
      <c r="H18" s="5" t="s">
        <v>277</v>
      </c>
      <c r="I18" s="6">
        <v>6256000</v>
      </c>
      <c r="J18" s="5" t="s">
        <v>188</v>
      </c>
      <c r="K18" s="5" t="s">
        <v>258</v>
      </c>
      <c r="L18" s="5" t="s">
        <v>155</v>
      </c>
      <c r="M18" s="5" t="s">
        <v>287</v>
      </c>
      <c r="N18" s="5">
        <v>5</v>
      </c>
      <c r="O18" s="5" t="s">
        <v>239</v>
      </c>
      <c r="P18" s="5">
        <v>2</v>
      </c>
      <c r="Q18" s="5" t="s">
        <v>171</v>
      </c>
      <c r="R18" s="5" t="s">
        <v>172</v>
      </c>
      <c r="S18" s="7">
        <v>1</v>
      </c>
      <c r="T18" s="6">
        <v>4942000</v>
      </c>
      <c r="U18" s="5" t="s">
        <v>254</v>
      </c>
    </row>
    <row r="19" spans="1:21" ht="26" x14ac:dyDescent="0.2">
      <c r="A19" s="8" t="s">
        <v>288</v>
      </c>
      <c r="B19" s="8" t="s">
        <v>175</v>
      </c>
      <c r="C19" s="8" t="s">
        <v>250</v>
      </c>
      <c r="D19" s="8">
        <v>70</v>
      </c>
      <c r="E19" s="8" t="s">
        <v>164</v>
      </c>
      <c r="F19" s="8" t="s">
        <v>150</v>
      </c>
      <c r="G19" s="8" t="s">
        <v>243</v>
      </c>
      <c r="H19" s="8" t="s">
        <v>166</v>
      </c>
      <c r="I19" s="9">
        <v>9173000</v>
      </c>
      <c r="J19" s="8" t="s">
        <v>188</v>
      </c>
      <c r="K19" s="8" t="s">
        <v>167</v>
      </c>
      <c r="L19" s="8" t="s">
        <v>289</v>
      </c>
      <c r="M19" s="8" t="s">
        <v>290</v>
      </c>
      <c r="N19" s="8">
        <v>5</v>
      </c>
      <c r="O19" s="8" t="s">
        <v>291</v>
      </c>
      <c r="P19" s="8">
        <v>2</v>
      </c>
      <c r="Q19" s="8" t="s">
        <v>171</v>
      </c>
      <c r="R19" s="8" t="s">
        <v>193</v>
      </c>
      <c r="S19" s="10">
        <v>0.13</v>
      </c>
      <c r="T19" s="9">
        <v>5811000</v>
      </c>
      <c r="U19" s="8" t="s">
        <v>292</v>
      </c>
    </row>
    <row r="20" spans="1:21" ht="26" x14ac:dyDescent="0.2">
      <c r="A20" s="5" t="s">
        <v>293</v>
      </c>
      <c r="B20" s="5" t="s">
        <v>286</v>
      </c>
      <c r="C20" s="5" t="s">
        <v>294</v>
      </c>
      <c r="D20" s="5">
        <v>50</v>
      </c>
      <c r="E20" s="5" t="s">
        <v>164</v>
      </c>
      <c r="F20" s="5" t="s">
        <v>198</v>
      </c>
      <c r="G20" s="5" t="s">
        <v>218</v>
      </c>
      <c r="H20" s="5" t="s">
        <v>211</v>
      </c>
      <c r="I20" s="6">
        <v>381454000</v>
      </c>
      <c r="J20" s="5" t="s">
        <v>228</v>
      </c>
      <c r="K20" s="5" t="s">
        <v>295</v>
      </c>
      <c r="L20" s="5" t="s">
        <v>296</v>
      </c>
      <c r="M20" s="5" t="s">
        <v>297</v>
      </c>
      <c r="N20" s="5">
        <v>3</v>
      </c>
      <c r="O20" s="5" t="s">
        <v>157</v>
      </c>
      <c r="P20" s="5">
        <v>8</v>
      </c>
      <c r="Q20" s="5" t="s">
        <v>192</v>
      </c>
      <c r="R20" s="5" t="s">
        <v>183</v>
      </c>
      <c r="S20" s="7">
        <v>0.08</v>
      </c>
      <c r="T20" s="6">
        <v>152500000</v>
      </c>
      <c r="U20" s="5" t="s">
        <v>298</v>
      </c>
    </row>
    <row r="21" spans="1:21" ht="26" x14ac:dyDescent="0.2">
      <c r="A21" s="8" t="s">
        <v>299</v>
      </c>
      <c r="B21" s="8" t="s">
        <v>262</v>
      </c>
      <c r="C21" s="8" t="s">
        <v>256</v>
      </c>
      <c r="D21" s="8">
        <v>49</v>
      </c>
      <c r="E21" s="8" t="s">
        <v>164</v>
      </c>
      <c r="F21" s="8" t="s">
        <v>150</v>
      </c>
      <c r="G21" s="8" t="s">
        <v>300</v>
      </c>
      <c r="H21" s="8" t="s">
        <v>211</v>
      </c>
      <c r="I21" s="9">
        <v>44574000</v>
      </c>
      <c r="J21" s="8" t="s">
        <v>244</v>
      </c>
      <c r="K21" s="8" t="s">
        <v>221</v>
      </c>
      <c r="L21" s="8" t="s">
        <v>301</v>
      </c>
      <c r="M21" s="8" t="s">
        <v>302</v>
      </c>
      <c r="N21" s="8">
        <v>11</v>
      </c>
      <c r="O21" s="8" t="s">
        <v>291</v>
      </c>
      <c r="P21" s="8">
        <v>2</v>
      </c>
      <c r="Q21" s="8" t="s">
        <v>192</v>
      </c>
      <c r="R21" s="8" t="s">
        <v>183</v>
      </c>
      <c r="S21" s="10">
        <v>0.09</v>
      </c>
      <c r="T21" s="9">
        <v>17352000</v>
      </c>
      <c r="U21" s="8" t="s">
        <v>273</v>
      </c>
    </row>
    <row r="22" spans="1:21" ht="26" x14ac:dyDescent="0.2">
      <c r="A22" s="5" t="s">
        <v>303</v>
      </c>
      <c r="B22" s="5" t="s">
        <v>304</v>
      </c>
      <c r="C22" s="5" t="s">
        <v>250</v>
      </c>
      <c r="D22" s="5">
        <v>57</v>
      </c>
      <c r="E22" s="5" t="s">
        <v>149</v>
      </c>
      <c r="F22" s="5" t="s">
        <v>234</v>
      </c>
      <c r="G22" s="5" t="s">
        <v>199</v>
      </c>
      <c r="H22" s="5" t="s">
        <v>211</v>
      </c>
      <c r="I22" s="6">
        <v>7557000</v>
      </c>
      <c r="J22" s="5" t="s">
        <v>188</v>
      </c>
      <c r="K22" s="5" t="s">
        <v>269</v>
      </c>
      <c r="L22" s="5" t="s">
        <v>305</v>
      </c>
      <c r="M22" s="5" t="s">
        <v>246</v>
      </c>
      <c r="N22" s="5">
        <v>1</v>
      </c>
      <c r="O22" s="5" t="s">
        <v>170</v>
      </c>
      <c r="P22" s="5">
        <v>2</v>
      </c>
      <c r="Q22" s="5" t="s">
        <v>158</v>
      </c>
      <c r="R22" s="5" t="s">
        <v>205</v>
      </c>
      <c r="S22" s="7">
        <v>0.27</v>
      </c>
      <c r="T22" s="6">
        <v>5852000</v>
      </c>
      <c r="U22" s="5" t="s">
        <v>292</v>
      </c>
    </row>
    <row r="23" spans="1:21" ht="26" x14ac:dyDescent="0.2">
      <c r="A23" s="8" t="s">
        <v>306</v>
      </c>
      <c r="B23" s="8" t="s">
        <v>307</v>
      </c>
      <c r="C23" s="8" t="s">
        <v>176</v>
      </c>
      <c r="D23" s="8">
        <v>54</v>
      </c>
      <c r="E23" s="8" t="s">
        <v>164</v>
      </c>
      <c r="F23" s="8" t="s">
        <v>209</v>
      </c>
      <c r="G23" s="8" t="s">
        <v>210</v>
      </c>
      <c r="H23" s="8" t="s">
        <v>211</v>
      </c>
      <c r="I23" s="9">
        <v>37888000</v>
      </c>
      <c r="J23" s="8" t="s">
        <v>244</v>
      </c>
      <c r="K23" s="8" t="s">
        <v>167</v>
      </c>
      <c r="L23" s="8" t="s">
        <v>308</v>
      </c>
      <c r="M23" s="8" t="s">
        <v>309</v>
      </c>
      <c r="N23" s="8">
        <v>7</v>
      </c>
      <c r="O23" s="8" t="s">
        <v>224</v>
      </c>
      <c r="P23" s="8">
        <v>6</v>
      </c>
      <c r="Q23" s="8" t="s">
        <v>204</v>
      </c>
      <c r="R23" s="8" t="s">
        <v>159</v>
      </c>
      <c r="S23" s="10">
        <v>0.47</v>
      </c>
      <c r="T23" s="9">
        <v>17123000</v>
      </c>
      <c r="U23" s="8" t="s">
        <v>310</v>
      </c>
    </row>
    <row r="24" spans="1:21" ht="26" x14ac:dyDescent="0.2">
      <c r="A24" s="5" t="s">
        <v>311</v>
      </c>
      <c r="B24" s="5" t="s">
        <v>312</v>
      </c>
      <c r="C24" s="5" t="s">
        <v>276</v>
      </c>
      <c r="D24" s="5">
        <v>64</v>
      </c>
      <c r="E24" s="5" t="s">
        <v>164</v>
      </c>
      <c r="F24" s="5" t="s">
        <v>150</v>
      </c>
      <c r="G24" s="5" t="s">
        <v>210</v>
      </c>
      <c r="H24" s="5" t="s">
        <v>200</v>
      </c>
      <c r="I24" s="6">
        <v>8969000</v>
      </c>
      <c r="J24" s="5" t="s">
        <v>188</v>
      </c>
      <c r="K24" s="5" t="s">
        <v>167</v>
      </c>
      <c r="L24" s="5" t="s">
        <v>313</v>
      </c>
      <c r="M24" s="5" t="s">
        <v>314</v>
      </c>
      <c r="N24" s="5">
        <v>11</v>
      </c>
      <c r="O24" s="5" t="s">
        <v>291</v>
      </c>
      <c r="P24" s="5">
        <v>3</v>
      </c>
      <c r="Q24" s="5" t="s">
        <v>158</v>
      </c>
      <c r="R24" s="5" t="s">
        <v>272</v>
      </c>
      <c r="S24" s="7">
        <v>0.68</v>
      </c>
      <c r="T24" s="6">
        <v>6308000</v>
      </c>
      <c r="U24" s="5" t="s">
        <v>254</v>
      </c>
    </row>
    <row r="25" spans="1:21" ht="26" x14ac:dyDescent="0.2">
      <c r="A25" s="8" t="s">
        <v>315</v>
      </c>
      <c r="B25" s="8" t="s">
        <v>147</v>
      </c>
      <c r="C25" s="8" t="s">
        <v>256</v>
      </c>
      <c r="D25" s="8">
        <v>65</v>
      </c>
      <c r="E25" s="8" t="s">
        <v>149</v>
      </c>
      <c r="F25" s="8" t="s">
        <v>209</v>
      </c>
      <c r="G25" s="8" t="s">
        <v>243</v>
      </c>
      <c r="H25" s="8" t="s">
        <v>316</v>
      </c>
      <c r="I25" s="9">
        <v>8149000</v>
      </c>
      <c r="J25" s="8" t="s">
        <v>188</v>
      </c>
      <c r="K25" s="8" t="s">
        <v>179</v>
      </c>
      <c r="L25" s="8" t="s">
        <v>317</v>
      </c>
      <c r="M25" s="8" t="s">
        <v>318</v>
      </c>
      <c r="N25" s="8">
        <v>4</v>
      </c>
      <c r="O25" s="8" t="s">
        <v>224</v>
      </c>
      <c r="P25" s="8">
        <v>2</v>
      </c>
      <c r="Q25" s="8" t="s">
        <v>192</v>
      </c>
      <c r="R25" s="8" t="s">
        <v>172</v>
      </c>
      <c r="S25" s="10">
        <v>0.98</v>
      </c>
      <c r="T25" s="9">
        <v>3161000</v>
      </c>
      <c r="U25" s="8" t="s">
        <v>160</v>
      </c>
    </row>
    <row r="26" spans="1:21" ht="26" x14ac:dyDescent="0.2">
      <c r="A26" s="5" t="s">
        <v>319</v>
      </c>
      <c r="B26" s="5" t="s">
        <v>320</v>
      </c>
      <c r="C26" s="5" t="s">
        <v>233</v>
      </c>
      <c r="D26" s="5">
        <v>50</v>
      </c>
      <c r="E26" s="5" t="s">
        <v>164</v>
      </c>
      <c r="F26" s="5" t="s">
        <v>227</v>
      </c>
      <c r="G26" s="5" t="s">
        <v>243</v>
      </c>
      <c r="H26" s="5" t="s">
        <v>316</v>
      </c>
      <c r="I26" s="6">
        <v>28586000</v>
      </c>
      <c r="J26" s="5" t="s">
        <v>244</v>
      </c>
      <c r="K26" s="5" t="s">
        <v>295</v>
      </c>
      <c r="L26" s="5" t="s">
        <v>321</v>
      </c>
      <c r="M26" s="5" t="s">
        <v>302</v>
      </c>
      <c r="N26" s="5">
        <v>9</v>
      </c>
      <c r="O26" s="5" t="s">
        <v>247</v>
      </c>
      <c r="P26" s="5">
        <v>4</v>
      </c>
      <c r="Q26" s="5" t="s">
        <v>204</v>
      </c>
      <c r="R26" s="5" t="s">
        <v>159</v>
      </c>
      <c r="S26" s="7">
        <v>0.53</v>
      </c>
      <c r="T26" s="6">
        <v>12110000</v>
      </c>
      <c r="U26" s="5" t="s">
        <v>184</v>
      </c>
    </row>
    <row r="27" spans="1:21" ht="26" x14ac:dyDescent="0.2">
      <c r="A27" s="8" t="s">
        <v>322</v>
      </c>
      <c r="B27" s="8" t="s">
        <v>312</v>
      </c>
      <c r="C27" s="8" t="s">
        <v>268</v>
      </c>
      <c r="D27" s="8">
        <v>66</v>
      </c>
      <c r="E27" s="8" t="s">
        <v>164</v>
      </c>
      <c r="F27" s="8" t="s">
        <v>209</v>
      </c>
      <c r="G27" s="8" t="s">
        <v>177</v>
      </c>
      <c r="H27" s="8" t="s">
        <v>316</v>
      </c>
      <c r="I27" s="9">
        <v>178578000</v>
      </c>
      <c r="J27" s="8" t="s">
        <v>228</v>
      </c>
      <c r="K27" s="8" t="s">
        <v>221</v>
      </c>
      <c r="L27" s="8" t="s">
        <v>323</v>
      </c>
      <c r="M27" s="8" t="s">
        <v>324</v>
      </c>
      <c r="N27" s="8">
        <v>2</v>
      </c>
      <c r="O27" s="8" t="s">
        <v>224</v>
      </c>
      <c r="P27" s="8">
        <v>4</v>
      </c>
      <c r="Q27" s="8" t="s">
        <v>158</v>
      </c>
      <c r="R27" s="8" t="s">
        <v>205</v>
      </c>
      <c r="S27" s="10">
        <v>0.28000000000000003</v>
      </c>
      <c r="T27" s="9">
        <v>116649000</v>
      </c>
      <c r="U27" s="8" t="s">
        <v>206</v>
      </c>
    </row>
    <row r="28" spans="1:21" ht="26" x14ac:dyDescent="0.2">
      <c r="A28" s="5" t="s">
        <v>325</v>
      </c>
      <c r="B28" s="5" t="s">
        <v>326</v>
      </c>
      <c r="C28" s="5" t="s">
        <v>276</v>
      </c>
      <c r="D28" s="5">
        <v>69</v>
      </c>
      <c r="E28" s="5" t="s">
        <v>164</v>
      </c>
      <c r="F28" s="5" t="s">
        <v>209</v>
      </c>
      <c r="G28" s="5" t="s">
        <v>165</v>
      </c>
      <c r="H28" s="5" t="s">
        <v>200</v>
      </c>
      <c r="I28" s="6">
        <v>3168000</v>
      </c>
      <c r="J28" s="5" t="s">
        <v>153</v>
      </c>
      <c r="K28" s="5" t="s">
        <v>258</v>
      </c>
      <c r="L28" s="5" t="s">
        <v>327</v>
      </c>
      <c r="M28" s="5" t="s">
        <v>328</v>
      </c>
      <c r="N28" s="5">
        <v>1</v>
      </c>
      <c r="O28" s="5" t="s">
        <v>291</v>
      </c>
      <c r="P28" s="5">
        <v>6</v>
      </c>
      <c r="Q28" s="5" t="s">
        <v>204</v>
      </c>
      <c r="R28" s="5" t="s">
        <v>183</v>
      </c>
      <c r="S28" s="7">
        <v>0.13</v>
      </c>
      <c r="T28" s="6">
        <v>1614000</v>
      </c>
      <c r="U28" s="5" t="s">
        <v>160</v>
      </c>
    </row>
    <row r="29" spans="1:21" ht="26" x14ac:dyDescent="0.2">
      <c r="A29" s="8" t="s">
        <v>329</v>
      </c>
      <c r="B29" s="8" t="s">
        <v>215</v>
      </c>
      <c r="C29" s="8" t="s">
        <v>256</v>
      </c>
      <c r="D29" s="8">
        <v>52</v>
      </c>
      <c r="E29" s="8" t="s">
        <v>149</v>
      </c>
      <c r="F29" s="8" t="s">
        <v>150</v>
      </c>
      <c r="G29" s="8" t="s">
        <v>165</v>
      </c>
      <c r="H29" s="8" t="s">
        <v>211</v>
      </c>
      <c r="I29" s="9">
        <v>37166000</v>
      </c>
      <c r="J29" s="8" t="s">
        <v>244</v>
      </c>
      <c r="K29" s="8" t="s">
        <v>269</v>
      </c>
      <c r="L29" s="8" t="s">
        <v>330</v>
      </c>
      <c r="M29" s="8" t="s">
        <v>331</v>
      </c>
      <c r="N29" s="8">
        <v>10</v>
      </c>
      <c r="O29" s="8" t="s">
        <v>239</v>
      </c>
      <c r="P29" s="8">
        <v>8</v>
      </c>
      <c r="Q29" s="8" t="s">
        <v>192</v>
      </c>
      <c r="R29" s="8" t="s">
        <v>265</v>
      </c>
      <c r="S29" s="10">
        <v>0.05</v>
      </c>
      <c r="T29" s="9">
        <v>13672000</v>
      </c>
      <c r="U29" s="8" t="s">
        <v>298</v>
      </c>
    </row>
    <row r="30" spans="1:21" ht="26" x14ac:dyDescent="0.2">
      <c r="A30" s="5" t="s">
        <v>332</v>
      </c>
      <c r="B30" s="5" t="s">
        <v>147</v>
      </c>
      <c r="C30" s="5" t="s">
        <v>148</v>
      </c>
      <c r="D30" s="5">
        <v>59</v>
      </c>
      <c r="E30" s="5" t="s">
        <v>149</v>
      </c>
      <c r="F30" s="5" t="s">
        <v>150</v>
      </c>
      <c r="G30" s="5" t="s">
        <v>333</v>
      </c>
      <c r="H30" s="5" t="s">
        <v>236</v>
      </c>
      <c r="I30" s="6">
        <v>45186000</v>
      </c>
      <c r="J30" s="5" t="s">
        <v>244</v>
      </c>
      <c r="K30" s="5" t="s">
        <v>221</v>
      </c>
      <c r="L30" s="5" t="s">
        <v>334</v>
      </c>
      <c r="M30" s="5" t="s">
        <v>335</v>
      </c>
      <c r="N30" s="5">
        <v>2</v>
      </c>
      <c r="O30" s="5" t="s">
        <v>247</v>
      </c>
      <c r="P30" s="5">
        <v>2</v>
      </c>
      <c r="Q30" s="5" t="s">
        <v>192</v>
      </c>
      <c r="R30" s="5" t="s">
        <v>336</v>
      </c>
      <c r="S30" s="7">
        <v>0</v>
      </c>
      <c r="T30" s="6">
        <v>18622000</v>
      </c>
      <c r="U30" s="5" t="s">
        <v>206</v>
      </c>
    </row>
    <row r="31" spans="1:21" ht="26" x14ac:dyDescent="0.2">
      <c r="A31" s="8" t="s">
        <v>337</v>
      </c>
      <c r="B31" s="8" t="s">
        <v>338</v>
      </c>
      <c r="C31" s="8" t="s">
        <v>216</v>
      </c>
      <c r="D31" s="8">
        <v>50</v>
      </c>
      <c r="E31" s="8" t="s">
        <v>149</v>
      </c>
      <c r="F31" s="8" t="s">
        <v>150</v>
      </c>
      <c r="G31" s="8" t="s">
        <v>165</v>
      </c>
      <c r="H31" s="8" t="s">
        <v>178</v>
      </c>
      <c r="I31" s="9">
        <v>15049000</v>
      </c>
      <c r="J31" s="8" t="s">
        <v>244</v>
      </c>
      <c r="K31" s="8" t="s">
        <v>154</v>
      </c>
      <c r="L31" s="8" t="s">
        <v>263</v>
      </c>
      <c r="M31" s="8" t="s">
        <v>313</v>
      </c>
      <c r="N31" s="8">
        <v>12</v>
      </c>
      <c r="O31" s="8" t="s">
        <v>182</v>
      </c>
      <c r="P31" s="8">
        <v>7</v>
      </c>
      <c r="Q31" s="8" t="s">
        <v>158</v>
      </c>
      <c r="R31" s="8" t="s">
        <v>159</v>
      </c>
      <c r="S31" s="10">
        <v>0.52</v>
      </c>
      <c r="T31" s="9">
        <v>9920000</v>
      </c>
      <c r="U31" s="8" t="s">
        <v>254</v>
      </c>
    </row>
    <row r="32" spans="1:21" ht="26" x14ac:dyDescent="0.2">
      <c r="A32" s="5" t="s">
        <v>339</v>
      </c>
      <c r="B32" s="5" t="s">
        <v>196</v>
      </c>
      <c r="C32" s="5" t="s">
        <v>216</v>
      </c>
      <c r="D32" s="5">
        <v>54</v>
      </c>
      <c r="E32" s="5" t="s">
        <v>164</v>
      </c>
      <c r="F32" s="5" t="s">
        <v>209</v>
      </c>
      <c r="G32" s="5" t="s">
        <v>235</v>
      </c>
      <c r="H32" s="5" t="s">
        <v>211</v>
      </c>
      <c r="I32" s="6">
        <v>797000</v>
      </c>
      <c r="J32" s="5" t="s">
        <v>220</v>
      </c>
      <c r="K32" s="5" t="s">
        <v>179</v>
      </c>
      <c r="L32" s="5" t="s">
        <v>340</v>
      </c>
      <c r="M32" s="5" t="s">
        <v>341</v>
      </c>
      <c r="N32" s="5">
        <v>11</v>
      </c>
      <c r="O32" s="5" t="s">
        <v>157</v>
      </c>
      <c r="P32" s="5">
        <v>2</v>
      </c>
      <c r="Q32" s="5" t="s">
        <v>171</v>
      </c>
      <c r="R32" s="5" t="s">
        <v>159</v>
      </c>
      <c r="S32" s="7">
        <v>0.52</v>
      </c>
      <c r="T32" s="6">
        <v>387000</v>
      </c>
      <c r="U32" s="5" t="s">
        <v>266</v>
      </c>
    </row>
    <row r="33" spans="1:21" ht="26" x14ac:dyDescent="0.2">
      <c r="A33" s="8" t="s">
        <v>342</v>
      </c>
      <c r="B33" s="8" t="s">
        <v>320</v>
      </c>
      <c r="C33" s="8" t="s">
        <v>250</v>
      </c>
      <c r="D33" s="8">
        <v>66</v>
      </c>
      <c r="E33" s="8" t="s">
        <v>164</v>
      </c>
      <c r="F33" s="8" t="s">
        <v>150</v>
      </c>
      <c r="G33" s="8" t="s">
        <v>199</v>
      </c>
      <c r="H33" s="8" t="s">
        <v>316</v>
      </c>
      <c r="I33" s="9">
        <v>3306000</v>
      </c>
      <c r="J33" s="8" t="s">
        <v>153</v>
      </c>
      <c r="K33" s="8" t="s">
        <v>221</v>
      </c>
      <c r="L33" s="8" t="s">
        <v>343</v>
      </c>
      <c r="M33" s="8" t="s">
        <v>344</v>
      </c>
      <c r="N33" s="8">
        <v>8</v>
      </c>
      <c r="O33" s="8" t="s">
        <v>247</v>
      </c>
      <c r="P33" s="8">
        <v>8</v>
      </c>
      <c r="Q33" s="8" t="s">
        <v>171</v>
      </c>
      <c r="R33" s="8" t="s">
        <v>205</v>
      </c>
      <c r="S33" s="10">
        <v>0.28000000000000003</v>
      </c>
      <c r="T33" s="9">
        <v>2365000</v>
      </c>
      <c r="U33" s="8" t="s">
        <v>206</v>
      </c>
    </row>
    <row r="34" spans="1:21" ht="26" x14ac:dyDescent="0.2">
      <c r="A34" s="5" t="s">
        <v>345</v>
      </c>
      <c r="B34" s="5" t="s">
        <v>346</v>
      </c>
      <c r="C34" s="5" t="s">
        <v>163</v>
      </c>
      <c r="D34" s="5">
        <v>50</v>
      </c>
      <c r="E34" s="5" t="s">
        <v>164</v>
      </c>
      <c r="F34" s="5" t="s">
        <v>234</v>
      </c>
      <c r="G34" s="5" t="s">
        <v>347</v>
      </c>
      <c r="H34" s="5" t="s">
        <v>178</v>
      </c>
      <c r="I34" s="6">
        <v>3009000</v>
      </c>
      <c r="J34" s="5" t="s">
        <v>153</v>
      </c>
      <c r="K34" s="5" t="s">
        <v>201</v>
      </c>
      <c r="L34" s="5" t="s">
        <v>348</v>
      </c>
      <c r="M34" s="5" t="s">
        <v>334</v>
      </c>
      <c r="N34" s="5">
        <v>4</v>
      </c>
      <c r="O34" s="5" t="s">
        <v>291</v>
      </c>
      <c r="P34" s="5">
        <v>6</v>
      </c>
      <c r="Q34" s="5" t="s">
        <v>171</v>
      </c>
      <c r="R34" s="5" t="s">
        <v>205</v>
      </c>
      <c r="S34" s="7">
        <v>0.31</v>
      </c>
      <c r="T34" s="6">
        <v>1958000</v>
      </c>
      <c r="U34" s="5" t="s">
        <v>273</v>
      </c>
    </row>
    <row r="35" spans="1:21" ht="26" x14ac:dyDescent="0.2">
      <c r="A35" s="8" t="s">
        <v>349</v>
      </c>
      <c r="B35" s="8" t="s">
        <v>350</v>
      </c>
      <c r="C35" s="8" t="s">
        <v>197</v>
      </c>
      <c r="D35" s="8">
        <v>40</v>
      </c>
      <c r="E35" s="8" t="s">
        <v>149</v>
      </c>
      <c r="F35" s="8" t="s">
        <v>150</v>
      </c>
      <c r="G35" s="8" t="s">
        <v>235</v>
      </c>
      <c r="H35" s="8" t="s">
        <v>316</v>
      </c>
      <c r="I35" s="9">
        <v>6202000</v>
      </c>
      <c r="J35" s="8" t="s">
        <v>188</v>
      </c>
      <c r="K35" s="8" t="s">
        <v>201</v>
      </c>
      <c r="L35" s="8" t="s">
        <v>351</v>
      </c>
      <c r="M35" s="8" t="s">
        <v>352</v>
      </c>
      <c r="N35" s="8">
        <v>1</v>
      </c>
      <c r="O35" s="8" t="s">
        <v>157</v>
      </c>
      <c r="P35" s="8">
        <v>6</v>
      </c>
      <c r="Q35" s="8" t="s">
        <v>158</v>
      </c>
      <c r="R35" s="8" t="s">
        <v>205</v>
      </c>
      <c r="S35" s="10">
        <v>0.28000000000000003</v>
      </c>
      <c r="T35" s="9">
        <v>2810000</v>
      </c>
      <c r="U35" s="8" t="s">
        <v>231</v>
      </c>
    </row>
    <row r="36" spans="1:21" ht="26" x14ac:dyDescent="0.2">
      <c r="A36" s="5" t="s">
        <v>353</v>
      </c>
      <c r="B36" s="5" t="s">
        <v>226</v>
      </c>
      <c r="C36" s="5" t="s">
        <v>233</v>
      </c>
      <c r="D36" s="5">
        <v>68</v>
      </c>
      <c r="E36" s="5" t="s">
        <v>164</v>
      </c>
      <c r="F36" s="5" t="s">
        <v>150</v>
      </c>
      <c r="G36" s="5" t="s">
        <v>151</v>
      </c>
      <c r="H36" s="5" t="s">
        <v>219</v>
      </c>
      <c r="I36" s="6">
        <v>38114000</v>
      </c>
      <c r="J36" s="5" t="s">
        <v>244</v>
      </c>
      <c r="K36" s="5" t="s">
        <v>221</v>
      </c>
      <c r="L36" s="5" t="s">
        <v>212</v>
      </c>
      <c r="M36" s="5" t="s">
        <v>354</v>
      </c>
      <c r="N36" s="5">
        <v>2</v>
      </c>
      <c r="O36" s="5" t="s">
        <v>191</v>
      </c>
      <c r="P36" s="5">
        <v>7</v>
      </c>
      <c r="Q36" s="5" t="s">
        <v>192</v>
      </c>
      <c r="R36" s="5" t="s">
        <v>272</v>
      </c>
      <c r="S36" s="7">
        <v>0.73</v>
      </c>
      <c r="T36" s="6">
        <v>24587000</v>
      </c>
      <c r="U36" s="5" t="s">
        <v>310</v>
      </c>
    </row>
    <row r="37" spans="1:21" ht="26" x14ac:dyDescent="0.2">
      <c r="A37" s="8" t="s">
        <v>355</v>
      </c>
      <c r="B37" s="8" t="s">
        <v>356</v>
      </c>
      <c r="C37" s="8" t="s">
        <v>357</v>
      </c>
      <c r="D37" s="8">
        <v>52</v>
      </c>
      <c r="E37" s="8" t="s">
        <v>149</v>
      </c>
      <c r="F37" s="8" t="s">
        <v>234</v>
      </c>
      <c r="G37" s="8" t="s">
        <v>257</v>
      </c>
      <c r="H37" s="8" t="s">
        <v>178</v>
      </c>
      <c r="I37" s="9">
        <v>14021000</v>
      </c>
      <c r="J37" s="8" t="s">
        <v>244</v>
      </c>
      <c r="K37" s="8" t="s">
        <v>179</v>
      </c>
      <c r="L37" s="8" t="s">
        <v>358</v>
      </c>
      <c r="M37" s="8" t="s">
        <v>359</v>
      </c>
      <c r="N37" s="8">
        <v>3</v>
      </c>
      <c r="O37" s="8" t="s">
        <v>182</v>
      </c>
      <c r="P37" s="8">
        <v>2</v>
      </c>
      <c r="Q37" s="8" t="s">
        <v>158</v>
      </c>
      <c r="R37" s="8" t="s">
        <v>205</v>
      </c>
      <c r="S37" s="10">
        <v>0.27</v>
      </c>
      <c r="T37" s="9">
        <v>8086000</v>
      </c>
      <c r="U37" s="8" t="s">
        <v>160</v>
      </c>
    </row>
    <row r="38" spans="1:21" ht="26" x14ac:dyDescent="0.2">
      <c r="A38" s="5" t="s">
        <v>360</v>
      </c>
      <c r="B38" s="5" t="s">
        <v>275</v>
      </c>
      <c r="C38" s="5" t="s">
        <v>357</v>
      </c>
      <c r="D38" s="5">
        <v>41</v>
      </c>
      <c r="E38" s="5" t="s">
        <v>149</v>
      </c>
      <c r="F38" s="5" t="s">
        <v>198</v>
      </c>
      <c r="G38" s="5" t="s">
        <v>347</v>
      </c>
      <c r="H38" s="5" t="s">
        <v>277</v>
      </c>
      <c r="I38" s="6">
        <v>7202000</v>
      </c>
      <c r="J38" s="5" t="s">
        <v>188</v>
      </c>
      <c r="K38" s="5" t="s">
        <v>167</v>
      </c>
      <c r="L38" s="5" t="s">
        <v>334</v>
      </c>
      <c r="M38" s="5" t="s">
        <v>361</v>
      </c>
      <c r="N38" s="5">
        <v>8</v>
      </c>
      <c r="O38" s="5" t="s">
        <v>157</v>
      </c>
      <c r="P38" s="5">
        <v>3</v>
      </c>
      <c r="Q38" s="5" t="s">
        <v>204</v>
      </c>
      <c r="R38" s="5" t="s">
        <v>159</v>
      </c>
      <c r="S38" s="7">
        <v>0.51</v>
      </c>
      <c r="T38" s="6">
        <v>4427000</v>
      </c>
      <c r="U38" s="5" t="s">
        <v>173</v>
      </c>
    </row>
    <row r="39" spans="1:21" ht="26" x14ac:dyDescent="0.2">
      <c r="A39" s="8" t="s">
        <v>362</v>
      </c>
      <c r="B39" s="8" t="s">
        <v>363</v>
      </c>
      <c r="C39" s="8" t="s">
        <v>282</v>
      </c>
      <c r="D39" s="8">
        <v>40</v>
      </c>
      <c r="E39" s="8" t="s">
        <v>149</v>
      </c>
      <c r="F39" s="8" t="s">
        <v>217</v>
      </c>
      <c r="G39" s="8" t="s">
        <v>243</v>
      </c>
      <c r="H39" s="8" t="s">
        <v>219</v>
      </c>
      <c r="I39" s="9">
        <v>3819000</v>
      </c>
      <c r="J39" s="8" t="s">
        <v>153</v>
      </c>
      <c r="K39" s="8" t="s">
        <v>179</v>
      </c>
      <c r="L39" s="8" t="s">
        <v>327</v>
      </c>
      <c r="M39" s="8" t="s">
        <v>364</v>
      </c>
      <c r="N39" s="8">
        <v>8</v>
      </c>
      <c r="O39" s="8" t="s">
        <v>182</v>
      </c>
      <c r="P39" s="8">
        <v>8</v>
      </c>
      <c r="Q39" s="8" t="s">
        <v>171</v>
      </c>
      <c r="R39" s="8" t="s">
        <v>159</v>
      </c>
      <c r="S39" s="10">
        <v>0.47</v>
      </c>
      <c r="T39" s="9">
        <v>2310000</v>
      </c>
      <c r="U39" s="8" t="s">
        <v>160</v>
      </c>
    </row>
    <row r="40" spans="1:21" ht="26" x14ac:dyDescent="0.2">
      <c r="A40" s="5" t="s">
        <v>365</v>
      </c>
      <c r="B40" s="5" t="s">
        <v>338</v>
      </c>
      <c r="C40" s="5" t="s">
        <v>197</v>
      </c>
      <c r="D40" s="5">
        <v>48</v>
      </c>
      <c r="E40" s="5" t="s">
        <v>149</v>
      </c>
      <c r="F40" s="5" t="s">
        <v>150</v>
      </c>
      <c r="G40" s="5" t="s">
        <v>243</v>
      </c>
      <c r="H40" s="5" t="s">
        <v>166</v>
      </c>
      <c r="I40" s="6">
        <v>32080000</v>
      </c>
      <c r="J40" s="5" t="s">
        <v>244</v>
      </c>
      <c r="K40" s="5" t="s">
        <v>167</v>
      </c>
      <c r="L40" s="5" t="s">
        <v>366</v>
      </c>
      <c r="M40" s="5" t="s">
        <v>367</v>
      </c>
      <c r="N40" s="5">
        <v>12</v>
      </c>
      <c r="O40" s="5" t="s">
        <v>247</v>
      </c>
      <c r="P40" s="5">
        <v>6</v>
      </c>
      <c r="Q40" s="5" t="s">
        <v>192</v>
      </c>
      <c r="R40" s="5" t="s">
        <v>193</v>
      </c>
      <c r="S40" s="7">
        <v>0.17</v>
      </c>
      <c r="T40" s="6">
        <v>14159000</v>
      </c>
      <c r="U40" s="5" t="s">
        <v>298</v>
      </c>
    </row>
    <row r="41" spans="1:21" ht="26" x14ac:dyDescent="0.2">
      <c r="A41" s="8" t="s">
        <v>368</v>
      </c>
      <c r="B41" s="8" t="s">
        <v>275</v>
      </c>
      <c r="C41" s="8" t="s">
        <v>256</v>
      </c>
      <c r="D41" s="8">
        <v>51</v>
      </c>
      <c r="E41" s="8" t="s">
        <v>149</v>
      </c>
      <c r="F41" s="8" t="s">
        <v>234</v>
      </c>
      <c r="G41" s="8" t="s">
        <v>210</v>
      </c>
      <c r="H41" s="8" t="s">
        <v>178</v>
      </c>
      <c r="I41" s="9">
        <v>4801000</v>
      </c>
      <c r="J41" s="8" t="s">
        <v>153</v>
      </c>
      <c r="K41" s="8" t="s">
        <v>269</v>
      </c>
      <c r="L41" s="8" t="s">
        <v>279</v>
      </c>
      <c r="M41" s="8" t="s">
        <v>369</v>
      </c>
      <c r="N41" s="8">
        <v>11</v>
      </c>
      <c r="O41" s="8" t="s">
        <v>224</v>
      </c>
      <c r="P41" s="8">
        <v>6</v>
      </c>
      <c r="Q41" s="8" t="s">
        <v>158</v>
      </c>
      <c r="R41" s="8" t="s">
        <v>265</v>
      </c>
      <c r="S41" s="10">
        <v>0.03</v>
      </c>
      <c r="T41" s="9">
        <v>3343000</v>
      </c>
      <c r="U41" s="8" t="s">
        <v>231</v>
      </c>
    </row>
    <row r="42" spans="1:21" ht="26" x14ac:dyDescent="0.2">
      <c r="A42" s="5" t="s">
        <v>370</v>
      </c>
      <c r="B42" s="5" t="s">
        <v>226</v>
      </c>
      <c r="C42" s="5" t="s">
        <v>176</v>
      </c>
      <c r="D42" s="5">
        <v>64</v>
      </c>
      <c r="E42" s="5" t="s">
        <v>164</v>
      </c>
      <c r="F42" s="5" t="s">
        <v>234</v>
      </c>
      <c r="G42" s="5" t="s">
        <v>151</v>
      </c>
      <c r="H42" s="5" t="s">
        <v>211</v>
      </c>
      <c r="I42" s="6">
        <v>1251000</v>
      </c>
      <c r="J42" s="5" t="s">
        <v>220</v>
      </c>
      <c r="K42" s="5" t="s">
        <v>201</v>
      </c>
      <c r="L42" s="5" t="s">
        <v>371</v>
      </c>
      <c r="M42" s="5" t="s">
        <v>372</v>
      </c>
      <c r="N42" s="5">
        <v>1</v>
      </c>
      <c r="O42" s="5" t="s">
        <v>170</v>
      </c>
      <c r="P42" s="5">
        <v>7</v>
      </c>
      <c r="Q42" s="5" t="s">
        <v>171</v>
      </c>
      <c r="R42" s="5" t="s">
        <v>265</v>
      </c>
      <c r="S42" s="7">
        <v>0.03</v>
      </c>
      <c r="T42" s="6">
        <v>977000</v>
      </c>
      <c r="U42" s="5" t="s">
        <v>231</v>
      </c>
    </row>
    <row r="43" spans="1:21" ht="26" x14ac:dyDescent="0.2">
      <c r="A43" s="8" t="s">
        <v>373</v>
      </c>
      <c r="B43" s="8" t="s">
        <v>338</v>
      </c>
      <c r="C43" s="8" t="s">
        <v>148</v>
      </c>
      <c r="D43" s="8">
        <v>71</v>
      </c>
      <c r="E43" s="8" t="s">
        <v>149</v>
      </c>
      <c r="F43" s="8" t="s">
        <v>150</v>
      </c>
      <c r="G43" s="8" t="s">
        <v>218</v>
      </c>
      <c r="H43" s="8" t="s">
        <v>316</v>
      </c>
      <c r="I43" s="9">
        <v>7211000</v>
      </c>
      <c r="J43" s="8" t="s">
        <v>188</v>
      </c>
      <c r="K43" s="8" t="s">
        <v>221</v>
      </c>
      <c r="L43" s="8" t="s">
        <v>374</v>
      </c>
      <c r="M43" s="8" t="s">
        <v>375</v>
      </c>
      <c r="N43" s="8">
        <v>11</v>
      </c>
      <c r="O43" s="8" t="s">
        <v>247</v>
      </c>
      <c r="P43" s="8">
        <v>3</v>
      </c>
      <c r="Q43" s="8" t="s">
        <v>204</v>
      </c>
      <c r="R43" s="8" t="s">
        <v>205</v>
      </c>
      <c r="S43" s="10">
        <v>0.28999999999999998</v>
      </c>
      <c r="T43" s="9">
        <v>3321000</v>
      </c>
      <c r="U43" s="8" t="s">
        <v>206</v>
      </c>
    </row>
    <row r="44" spans="1:21" ht="26" x14ac:dyDescent="0.2">
      <c r="A44" s="5" t="s">
        <v>376</v>
      </c>
      <c r="B44" s="5" t="s">
        <v>281</v>
      </c>
      <c r="C44" s="5" t="s">
        <v>250</v>
      </c>
      <c r="D44" s="5">
        <v>66</v>
      </c>
      <c r="E44" s="5" t="s">
        <v>149</v>
      </c>
      <c r="F44" s="5" t="s">
        <v>150</v>
      </c>
      <c r="G44" s="5" t="s">
        <v>235</v>
      </c>
      <c r="H44" s="5" t="s">
        <v>219</v>
      </c>
      <c r="I44" s="6">
        <v>89627000</v>
      </c>
      <c r="J44" s="5" t="s">
        <v>228</v>
      </c>
      <c r="K44" s="5" t="s">
        <v>221</v>
      </c>
      <c r="L44" s="5" t="s">
        <v>377</v>
      </c>
      <c r="M44" s="5" t="s">
        <v>378</v>
      </c>
      <c r="N44" s="5">
        <v>7</v>
      </c>
      <c r="O44" s="5" t="s">
        <v>239</v>
      </c>
      <c r="P44" s="5">
        <v>10</v>
      </c>
      <c r="Q44" s="5" t="s">
        <v>204</v>
      </c>
      <c r="R44" s="5" t="s">
        <v>205</v>
      </c>
      <c r="S44" s="7">
        <v>0.28000000000000003</v>
      </c>
      <c r="T44" s="6">
        <v>50121000</v>
      </c>
      <c r="U44" s="5" t="s">
        <v>231</v>
      </c>
    </row>
    <row r="45" spans="1:21" ht="26" x14ac:dyDescent="0.2">
      <c r="A45" s="8" t="s">
        <v>379</v>
      </c>
      <c r="B45" s="8" t="s">
        <v>307</v>
      </c>
      <c r="C45" s="8" t="s">
        <v>163</v>
      </c>
      <c r="D45" s="8">
        <v>38</v>
      </c>
      <c r="E45" s="8" t="s">
        <v>164</v>
      </c>
      <c r="F45" s="8" t="s">
        <v>150</v>
      </c>
      <c r="G45" s="8" t="s">
        <v>257</v>
      </c>
      <c r="H45" s="8" t="s">
        <v>166</v>
      </c>
      <c r="I45" s="9">
        <v>1157000</v>
      </c>
      <c r="J45" s="8" t="s">
        <v>220</v>
      </c>
      <c r="K45" s="8" t="s">
        <v>201</v>
      </c>
      <c r="L45" s="8" t="s">
        <v>380</v>
      </c>
      <c r="M45" s="8" t="s">
        <v>377</v>
      </c>
      <c r="N45" s="8">
        <v>10</v>
      </c>
      <c r="O45" s="8" t="s">
        <v>191</v>
      </c>
      <c r="P45" s="8">
        <v>4</v>
      </c>
      <c r="Q45" s="8" t="s">
        <v>171</v>
      </c>
      <c r="R45" s="8" t="s">
        <v>159</v>
      </c>
      <c r="S45" s="10">
        <v>0.51</v>
      </c>
      <c r="T45" s="9">
        <v>583000</v>
      </c>
      <c r="U45" s="8" t="s">
        <v>310</v>
      </c>
    </row>
    <row r="46" spans="1:21" ht="26" x14ac:dyDescent="0.2">
      <c r="A46" s="5" t="s">
        <v>381</v>
      </c>
      <c r="B46" s="5" t="s">
        <v>215</v>
      </c>
      <c r="C46" s="5" t="s">
        <v>176</v>
      </c>
      <c r="D46" s="5">
        <v>44</v>
      </c>
      <c r="E46" s="5" t="s">
        <v>149</v>
      </c>
      <c r="F46" s="5" t="s">
        <v>209</v>
      </c>
      <c r="G46" s="5" t="s">
        <v>151</v>
      </c>
      <c r="H46" s="5" t="s">
        <v>277</v>
      </c>
      <c r="I46" s="6">
        <v>6367000</v>
      </c>
      <c r="J46" s="5" t="s">
        <v>188</v>
      </c>
      <c r="K46" s="5" t="s">
        <v>201</v>
      </c>
      <c r="L46" s="5" t="s">
        <v>238</v>
      </c>
      <c r="M46" s="5" t="s">
        <v>382</v>
      </c>
      <c r="N46" s="5">
        <v>9</v>
      </c>
      <c r="O46" s="5" t="s">
        <v>224</v>
      </c>
      <c r="P46" s="5">
        <v>8</v>
      </c>
      <c r="Q46" s="5" t="s">
        <v>158</v>
      </c>
      <c r="R46" s="5" t="s">
        <v>183</v>
      </c>
      <c r="S46" s="7">
        <v>0.11</v>
      </c>
      <c r="T46" s="6">
        <v>4286000</v>
      </c>
      <c r="U46" s="5" t="s">
        <v>254</v>
      </c>
    </row>
    <row r="47" spans="1:21" ht="26" x14ac:dyDescent="0.2">
      <c r="A47" s="8" t="s">
        <v>383</v>
      </c>
      <c r="B47" s="8" t="s">
        <v>384</v>
      </c>
      <c r="C47" s="8" t="s">
        <v>250</v>
      </c>
      <c r="D47" s="8">
        <v>56</v>
      </c>
      <c r="E47" s="8" t="s">
        <v>149</v>
      </c>
      <c r="F47" s="8" t="s">
        <v>227</v>
      </c>
      <c r="G47" s="8" t="s">
        <v>257</v>
      </c>
      <c r="H47" s="8" t="s">
        <v>277</v>
      </c>
      <c r="I47" s="9">
        <v>2849000</v>
      </c>
      <c r="J47" s="8" t="s">
        <v>153</v>
      </c>
      <c r="K47" s="8" t="s">
        <v>221</v>
      </c>
      <c r="L47" s="8" t="s">
        <v>385</v>
      </c>
      <c r="M47" s="8" t="s">
        <v>386</v>
      </c>
      <c r="N47" s="8">
        <v>8</v>
      </c>
      <c r="O47" s="8" t="s">
        <v>224</v>
      </c>
      <c r="P47" s="8">
        <v>9</v>
      </c>
      <c r="Q47" s="8" t="s">
        <v>204</v>
      </c>
      <c r="R47" s="8" t="s">
        <v>205</v>
      </c>
      <c r="S47" s="10">
        <v>0.31</v>
      </c>
      <c r="T47" s="9">
        <v>1941000</v>
      </c>
      <c r="U47" s="8" t="s">
        <v>194</v>
      </c>
    </row>
    <row r="48" spans="1:21" ht="26" x14ac:dyDescent="0.2">
      <c r="A48" s="5" t="s">
        <v>387</v>
      </c>
      <c r="B48" s="5" t="s">
        <v>346</v>
      </c>
      <c r="C48" s="5" t="s">
        <v>276</v>
      </c>
      <c r="D48" s="5">
        <v>47</v>
      </c>
      <c r="E48" s="5" t="s">
        <v>164</v>
      </c>
      <c r="F48" s="5" t="s">
        <v>217</v>
      </c>
      <c r="G48" s="5" t="s">
        <v>300</v>
      </c>
      <c r="H48" s="5" t="s">
        <v>178</v>
      </c>
      <c r="I48" s="6">
        <v>44241000</v>
      </c>
      <c r="J48" s="5" t="s">
        <v>244</v>
      </c>
      <c r="K48" s="5" t="s">
        <v>269</v>
      </c>
      <c r="L48" s="5" t="s">
        <v>388</v>
      </c>
      <c r="M48" s="5" t="s">
        <v>389</v>
      </c>
      <c r="N48" s="5">
        <v>8</v>
      </c>
      <c r="O48" s="5" t="s">
        <v>170</v>
      </c>
      <c r="P48" s="5">
        <v>8</v>
      </c>
      <c r="Q48" s="5" t="s">
        <v>158</v>
      </c>
      <c r="R48" s="5" t="s">
        <v>159</v>
      </c>
      <c r="S48" s="7">
        <v>0.47</v>
      </c>
      <c r="T48" s="6">
        <v>16065000</v>
      </c>
      <c r="U48" s="5" t="s">
        <v>231</v>
      </c>
    </row>
    <row r="49" spans="1:21" ht="26" x14ac:dyDescent="0.2">
      <c r="A49" s="8" t="s">
        <v>390</v>
      </c>
      <c r="B49" s="8" t="s">
        <v>391</v>
      </c>
      <c r="C49" s="8" t="s">
        <v>176</v>
      </c>
      <c r="D49" s="8">
        <v>63</v>
      </c>
      <c r="E49" s="8" t="s">
        <v>164</v>
      </c>
      <c r="F49" s="8" t="s">
        <v>150</v>
      </c>
      <c r="G49" s="8" t="s">
        <v>333</v>
      </c>
      <c r="H49" s="8" t="s">
        <v>251</v>
      </c>
      <c r="I49" s="9">
        <v>3230000</v>
      </c>
      <c r="J49" s="8" t="s">
        <v>153</v>
      </c>
      <c r="K49" s="8" t="s">
        <v>167</v>
      </c>
      <c r="L49" s="8" t="s">
        <v>392</v>
      </c>
      <c r="M49" s="8" t="s">
        <v>393</v>
      </c>
      <c r="N49" s="8">
        <v>5</v>
      </c>
      <c r="O49" s="8" t="s">
        <v>291</v>
      </c>
      <c r="P49" s="8">
        <v>8</v>
      </c>
      <c r="Q49" s="8" t="s">
        <v>192</v>
      </c>
      <c r="R49" s="8" t="s">
        <v>183</v>
      </c>
      <c r="S49" s="10">
        <v>0.13</v>
      </c>
      <c r="T49" s="9">
        <v>2058000</v>
      </c>
      <c r="U49" s="8" t="s">
        <v>266</v>
      </c>
    </row>
    <row r="50" spans="1:21" ht="26" x14ac:dyDescent="0.2">
      <c r="A50" s="5" t="s">
        <v>394</v>
      </c>
      <c r="B50" s="5" t="s">
        <v>249</v>
      </c>
      <c r="C50" s="5" t="s">
        <v>357</v>
      </c>
      <c r="D50" s="5">
        <v>69</v>
      </c>
      <c r="E50" s="5" t="s">
        <v>164</v>
      </c>
      <c r="F50" s="5" t="s">
        <v>150</v>
      </c>
      <c r="G50" s="5" t="s">
        <v>243</v>
      </c>
      <c r="H50" s="5" t="s">
        <v>200</v>
      </c>
      <c r="I50" s="6">
        <v>9605000</v>
      </c>
      <c r="J50" s="5" t="s">
        <v>188</v>
      </c>
      <c r="K50" s="5" t="s">
        <v>179</v>
      </c>
      <c r="L50" s="5" t="s">
        <v>395</v>
      </c>
      <c r="M50" s="5" t="s">
        <v>396</v>
      </c>
      <c r="N50" s="5">
        <v>11</v>
      </c>
      <c r="O50" s="5" t="s">
        <v>157</v>
      </c>
      <c r="P50" s="5">
        <v>9</v>
      </c>
      <c r="Q50" s="5" t="s">
        <v>158</v>
      </c>
      <c r="R50" s="5" t="s">
        <v>272</v>
      </c>
      <c r="S50" s="7">
        <v>0.67</v>
      </c>
      <c r="T50" s="6">
        <v>3102000</v>
      </c>
      <c r="U50" s="5" t="s">
        <v>173</v>
      </c>
    </row>
    <row r="51" spans="1:21" ht="26" x14ac:dyDescent="0.2">
      <c r="A51" s="8" t="s">
        <v>397</v>
      </c>
      <c r="B51" s="8" t="s">
        <v>249</v>
      </c>
      <c r="C51" s="8" t="s">
        <v>187</v>
      </c>
      <c r="D51" s="8">
        <v>62</v>
      </c>
      <c r="E51" s="8" t="s">
        <v>164</v>
      </c>
      <c r="F51" s="8" t="s">
        <v>150</v>
      </c>
      <c r="G51" s="8" t="s">
        <v>257</v>
      </c>
      <c r="H51" s="8" t="s">
        <v>211</v>
      </c>
      <c r="I51" s="9">
        <v>8963000</v>
      </c>
      <c r="J51" s="8" t="s">
        <v>188</v>
      </c>
      <c r="K51" s="8" t="s">
        <v>167</v>
      </c>
      <c r="L51" s="8" t="s">
        <v>398</v>
      </c>
      <c r="M51" s="8" t="s">
        <v>372</v>
      </c>
      <c r="N51" s="8">
        <v>7</v>
      </c>
      <c r="O51" s="8" t="s">
        <v>191</v>
      </c>
      <c r="P51" s="8">
        <v>9</v>
      </c>
      <c r="Q51" s="8" t="s">
        <v>158</v>
      </c>
      <c r="R51" s="8" t="s">
        <v>193</v>
      </c>
      <c r="S51" s="10">
        <v>0.17</v>
      </c>
      <c r="T51" s="9">
        <v>3827000</v>
      </c>
      <c r="U51" s="8" t="s">
        <v>273</v>
      </c>
    </row>
    <row r="52" spans="1:21" ht="26" x14ac:dyDescent="0.2">
      <c r="A52" s="5" t="s">
        <v>399</v>
      </c>
      <c r="B52" s="5" t="s">
        <v>400</v>
      </c>
      <c r="C52" s="5" t="s">
        <v>163</v>
      </c>
      <c r="D52" s="5">
        <v>53</v>
      </c>
      <c r="E52" s="5" t="s">
        <v>149</v>
      </c>
      <c r="F52" s="5" t="s">
        <v>234</v>
      </c>
      <c r="G52" s="5" t="s">
        <v>218</v>
      </c>
      <c r="H52" s="5" t="s">
        <v>152</v>
      </c>
      <c r="I52" s="6">
        <v>6728000</v>
      </c>
      <c r="J52" s="5" t="s">
        <v>188</v>
      </c>
      <c r="K52" s="5" t="s">
        <v>221</v>
      </c>
      <c r="L52" s="5" t="s">
        <v>401</v>
      </c>
      <c r="M52" s="5" t="s">
        <v>402</v>
      </c>
      <c r="N52" s="5">
        <v>5</v>
      </c>
      <c r="O52" s="5" t="s">
        <v>247</v>
      </c>
      <c r="P52" s="5">
        <v>6</v>
      </c>
      <c r="Q52" s="5" t="s">
        <v>158</v>
      </c>
      <c r="R52" s="5" t="s">
        <v>336</v>
      </c>
      <c r="S52" s="7">
        <v>0.03</v>
      </c>
      <c r="T52" s="6">
        <v>3644000</v>
      </c>
      <c r="U52" s="5" t="s">
        <v>310</v>
      </c>
    </row>
    <row r="53" spans="1:21" ht="26" x14ac:dyDescent="0.2">
      <c r="A53" s="8" t="s">
        <v>403</v>
      </c>
      <c r="B53" s="8" t="s">
        <v>286</v>
      </c>
      <c r="C53" s="8" t="s">
        <v>187</v>
      </c>
      <c r="D53" s="8">
        <v>71</v>
      </c>
      <c r="E53" s="8" t="s">
        <v>164</v>
      </c>
      <c r="F53" s="8" t="s">
        <v>150</v>
      </c>
      <c r="G53" s="8" t="s">
        <v>151</v>
      </c>
      <c r="H53" s="8" t="s">
        <v>277</v>
      </c>
      <c r="I53" s="9">
        <v>423517000</v>
      </c>
      <c r="J53" s="8" t="s">
        <v>228</v>
      </c>
      <c r="K53" s="8" t="s">
        <v>269</v>
      </c>
      <c r="L53" s="8" t="s">
        <v>404</v>
      </c>
      <c r="M53" s="8" t="s">
        <v>405</v>
      </c>
      <c r="N53" s="8">
        <v>11</v>
      </c>
      <c r="O53" s="8" t="s">
        <v>239</v>
      </c>
      <c r="P53" s="8">
        <v>9</v>
      </c>
      <c r="Q53" s="8" t="s">
        <v>171</v>
      </c>
      <c r="R53" s="8" t="s">
        <v>172</v>
      </c>
      <c r="S53" s="10">
        <v>0.98</v>
      </c>
      <c r="T53" s="9">
        <v>255606000</v>
      </c>
      <c r="U53" s="8" t="s">
        <v>292</v>
      </c>
    </row>
    <row r="54" spans="1:21" ht="26" x14ac:dyDescent="0.2">
      <c r="A54" s="5" t="s">
        <v>406</v>
      </c>
      <c r="B54" s="5" t="s">
        <v>275</v>
      </c>
      <c r="C54" s="5" t="s">
        <v>197</v>
      </c>
      <c r="D54" s="5">
        <v>51</v>
      </c>
      <c r="E54" s="5" t="s">
        <v>149</v>
      </c>
      <c r="F54" s="5" t="s">
        <v>234</v>
      </c>
      <c r="G54" s="5" t="s">
        <v>151</v>
      </c>
      <c r="H54" s="5" t="s">
        <v>166</v>
      </c>
      <c r="I54" s="6">
        <v>9517000</v>
      </c>
      <c r="J54" s="5" t="s">
        <v>188</v>
      </c>
      <c r="K54" s="5" t="s">
        <v>258</v>
      </c>
      <c r="L54" s="5" t="s">
        <v>407</v>
      </c>
      <c r="M54" s="5" t="s">
        <v>408</v>
      </c>
      <c r="N54" s="5">
        <v>10</v>
      </c>
      <c r="O54" s="5" t="s">
        <v>291</v>
      </c>
      <c r="P54" s="5">
        <v>4</v>
      </c>
      <c r="Q54" s="5" t="s">
        <v>192</v>
      </c>
      <c r="R54" s="5" t="s">
        <v>183</v>
      </c>
      <c r="S54" s="7">
        <v>0.09</v>
      </c>
      <c r="T54" s="6">
        <v>6412000</v>
      </c>
      <c r="U54" s="5" t="s">
        <v>254</v>
      </c>
    </row>
    <row r="55" spans="1:21" ht="26" x14ac:dyDescent="0.2">
      <c r="A55" s="8" t="s">
        <v>409</v>
      </c>
      <c r="B55" s="8" t="s">
        <v>363</v>
      </c>
      <c r="C55" s="8" t="s">
        <v>233</v>
      </c>
      <c r="D55" s="8">
        <v>58</v>
      </c>
      <c r="E55" s="8" t="s">
        <v>149</v>
      </c>
      <c r="F55" s="8" t="s">
        <v>209</v>
      </c>
      <c r="G55" s="8" t="s">
        <v>177</v>
      </c>
      <c r="H55" s="8" t="s">
        <v>166</v>
      </c>
      <c r="I55" s="9">
        <v>42988000</v>
      </c>
      <c r="J55" s="8" t="s">
        <v>244</v>
      </c>
      <c r="K55" s="8" t="s">
        <v>201</v>
      </c>
      <c r="L55" s="8" t="s">
        <v>410</v>
      </c>
      <c r="M55" s="8" t="s">
        <v>328</v>
      </c>
      <c r="N55" s="8">
        <v>2</v>
      </c>
      <c r="O55" s="8" t="s">
        <v>247</v>
      </c>
      <c r="P55" s="8">
        <v>3</v>
      </c>
      <c r="Q55" s="8" t="s">
        <v>158</v>
      </c>
      <c r="R55" s="8" t="s">
        <v>172</v>
      </c>
      <c r="S55" s="10">
        <v>0.98</v>
      </c>
      <c r="T55" s="9">
        <v>31384000</v>
      </c>
      <c r="U55" s="8" t="s">
        <v>160</v>
      </c>
    </row>
    <row r="56" spans="1:21" ht="26" x14ac:dyDescent="0.2">
      <c r="A56" s="5" t="s">
        <v>411</v>
      </c>
      <c r="B56" s="5" t="s">
        <v>391</v>
      </c>
      <c r="C56" s="5" t="s">
        <v>233</v>
      </c>
      <c r="D56" s="5">
        <v>58</v>
      </c>
      <c r="E56" s="5" t="s">
        <v>164</v>
      </c>
      <c r="F56" s="5" t="s">
        <v>150</v>
      </c>
      <c r="G56" s="5" t="s">
        <v>235</v>
      </c>
      <c r="H56" s="5" t="s">
        <v>251</v>
      </c>
      <c r="I56" s="6">
        <v>14944000</v>
      </c>
      <c r="J56" s="5" t="s">
        <v>244</v>
      </c>
      <c r="K56" s="5" t="s">
        <v>295</v>
      </c>
      <c r="L56" s="5" t="s">
        <v>374</v>
      </c>
      <c r="M56" s="5" t="s">
        <v>412</v>
      </c>
      <c r="N56" s="5">
        <v>11</v>
      </c>
      <c r="O56" s="5" t="s">
        <v>291</v>
      </c>
      <c r="P56" s="5">
        <v>3</v>
      </c>
      <c r="Q56" s="5" t="s">
        <v>158</v>
      </c>
      <c r="R56" s="5" t="s">
        <v>159</v>
      </c>
      <c r="S56" s="7">
        <v>0.51</v>
      </c>
      <c r="T56" s="6">
        <v>11090000</v>
      </c>
      <c r="U56" s="5" t="s">
        <v>266</v>
      </c>
    </row>
    <row r="57" spans="1:21" ht="26" x14ac:dyDescent="0.2">
      <c r="A57" s="8" t="s">
        <v>413</v>
      </c>
      <c r="B57" s="8" t="s">
        <v>346</v>
      </c>
      <c r="C57" s="8" t="s">
        <v>256</v>
      </c>
      <c r="D57" s="8">
        <v>39</v>
      </c>
      <c r="E57" s="8" t="s">
        <v>164</v>
      </c>
      <c r="F57" s="8" t="s">
        <v>209</v>
      </c>
      <c r="G57" s="8" t="s">
        <v>333</v>
      </c>
      <c r="H57" s="8" t="s">
        <v>277</v>
      </c>
      <c r="I57" s="9">
        <v>5583000</v>
      </c>
      <c r="J57" s="8" t="s">
        <v>188</v>
      </c>
      <c r="K57" s="8" t="s">
        <v>258</v>
      </c>
      <c r="L57" s="8" t="s">
        <v>414</v>
      </c>
      <c r="M57" s="8" t="s">
        <v>415</v>
      </c>
      <c r="N57" s="8">
        <v>2</v>
      </c>
      <c r="O57" s="8" t="s">
        <v>157</v>
      </c>
      <c r="P57" s="8">
        <v>5</v>
      </c>
      <c r="Q57" s="8" t="s">
        <v>158</v>
      </c>
      <c r="R57" s="8" t="s">
        <v>205</v>
      </c>
      <c r="S57" s="10">
        <v>0.28999999999999998</v>
      </c>
      <c r="T57" s="9">
        <v>3547000</v>
      </c>
      <c r="U57" s="8" t="s">
        <v>160</v>
      </c>
    </row>
    <row r="58" spans="1:21" ht="26" x14ac:dyDescent="0.2">
      <c r="A58" s="5" t="s">
        <v>416</v>
      </c>
      <c r="B58" s="5" t="s">
        <v>286</v>
      </c>
      <c r="C58" s="5" t="s">
        <v>294</v>
      </c>
      <c r="D58" s="5">
        <v>61</v>
      </c>
      <c r="E58" s="5" t="s">
        <v>164</v>
      </c>
      <c r="F58" s="5" t="s">
        <v>234</v>
      </c>
      <c r="G58" s="5" t="s">
        <v>333</v>
      </c>
      <c r="H58" s="5" t="s">
        <v>178</v>
      </c>
      <c r="I58" s="6">
        <v>9758000</v>
      </c>
      <c r="J58" s="5" t="s">
        <v>188</v>
      </c>
      <c r="K58" s="5" t="s">
        <v>258</v>
      </c>
      <c r="L58" s="5" t="s">
        <v>263</v>
      </c>
      <c r="M58" s="5" t="s">
        <v>359</v>
      </c>
      <c r="N58" s="5">
        <v>8</v>
      </c>
      <c r="O58" s="5" t="s">
        <v>191</v>
      </c>
      <c r="P58" s="5">
        <v>7</v>
      </c>
      <c r="Q58" s="5" t="s">
        <v>192</v>
      </c>
      <c r="R58" s="5" t="s">
        <v>336</v>
      </c>
      <c r="S58" s="7">
        <v>0</v>
      </c>
      <c r="T58" s="6">
        <v>5584000</v>
      </c>
      <c r="U58" s="5" t="s">
        <v>184</v>
      </c>
    </row>
    <row r="59" spans="1:21" ht="26" x14ac:dyDescent="0.2">
      <c r="A59" s="8" t="s">
        <v>417</v>
      </c>
      <c r="B59" s="8" t="s">
        <v>320</v>
      </c>
      <c r="C59" s="8" t="s">
        <v>418</v>
      </c>
      <c r="D59" s="8">
        <v>52</v>
      </c>
      <c r="E59" s="8" t="s">
        <v>164</v>
      </c>
      <c r="F59" s="8" t="s">
        <v>150</v>
      </c>
      <c r="G59" s="8" t="s">
        <v>243</v>
      </c>
      <c r="H59" s="8" t="s">
        <v>316</v>
      </c>
      <c r="I59" s="9">
        <v>145448000</v>
      </c>
      <c r="J59" s="8" t="s">
        <v>228</v>
      </c>
      <c r="K59" s="8" t="s">
        <v>258</v>
      </c>
      <c r="L59" s="8" t="s">
        <v>419</v>
      </c>
      <c r="M59" s="8" t="s">
        <v>420</v>
      </c>
      <c r="N59" s="8">
        <v>3</v>
      </c>
      <c r="O59" s="8" t="s">
        <v>191</v>
      </c>
      <c r="P59" s="8">
        <v>3</v>
      </c>
      <c r="Q59" s="8" t="s">
        <v>158</v>
      </c>
      <c r="R59" s="8" t="s">
        <v>159</v>
      </c>
      <c r="S59" s="10">
        <v>0.53</v>
      </c>
      <c r="T59" s="9">
        <v>106882000</v>
      </c>
      <c r="U59" s="8" t="s">
        <v>292</v>
      </c>
    </row>
    <row r="60" spans="1:21" ht="26" x14ac:dyDescent="0.2">
      <c r="A60" s="5" t="s">
        <v>421</v>
      </c>
      <c r="B60" s="5" t="s">
        <v>338</v>
      </c>
      <c r="C60" s="5" t="s">
        <v>216</v>
      </c>
      <c r="D60" s="5">
        <v>52</v>
      </c>
      <c r="E60" s="5" t="s">
        <v>149</v>
      </c>
      <c r="F60" s="5" t="s">
        <v>198</v>
      </c>
      <c r="G60" s="5" t="s">
        <v>218</v>
      </c>
      <c r="H60" s="5" t="s">
        <v>166</v>
      </c>
      <c r="I60" s="6">
        <v>8993000</v>
      </c>
      <c r="J60" s="5" t="s">
        <v>188</v>
      </c>
      <c r="K60" s="5" t="s">
        <v>154</v>
      </c>
      <c r="L60" s="5" t="s">
        <v>245</v>
      </c>
      <c r="M60" s="5" t="s">
        <v>290</v>
      </c>
      <c r="N60" s="5">
        <v>6</v>
      </c>
      <c r="O60" s="5" t="s">
        <v>191</v>
      </c>
      <c r="P60" s="5">
        <v>7</v>
      </c>
      <c r="Q60" s="5" t="s">
        <v>192</v>
      </c>
      <c r="R60" s="5" t="s">
        <v>193</v>
      </c>
      <c r="S60" s="7">
        <v>0.12</v>
      </c>
      <c r="T60" s="6">
        <v>3268000</v>
      </c>
      <c r="U60" s="5" t="s">
        <v>194</v>
      </c>
    </row>
    <row r="61" spans="1:21" ht="26" x14ac:dyDescent="0.2">
      <c r="A61" s="8" t="s">
        <v>422</v>
      </c>
      <c r="B61" s="8" t="s">
        <v>356</v>
      </c>
      <c r="C61" s="8" t="s">
        <v>242</v>
      </c>
      <c r="D61" s="8">
        <v>65</v>
      </c>
      <c r="E61" s="8" t="s">
        <v>149</v>
      </c>
      <c r="F61" s="8" t="s">
        <v>150</v>
      </c>
      <c r="G61" s="8" t="s">
        <v>199</v>
      </c>
      <c r="H61" s="8" t="s">
        <v>219</v>
      </c>
      <c r="I61" s="9">
        <v>7260000</v>
      </c>
      <c r="J61" s="8" t="s">
        <v>188</v>
      </c>
      <c r="K61" s="8" t="s">
        <v>179</v>
      </c>
      <c r="L61" s="8" t="s">
        <v>423</v>
      </c>
      <c r="M61" s="8" t="s">
        <v>424</v>
      </c>
      <c r="N61" s="8">
        <v>11</v>
      </c>
      <c r="O61" s="8" t="s">
        <v>182</v>
      </c>
      <c r="P61" s="8">
        <v>9</v>
      </c>
      <c r="Q61" s="8" t="s">
        <v>192</v>
      </c>
      <c r="R61" s="8" t="s">
        <v>265</v>
      </c>
      <c r="S61" s="10">
        <v>0.05</v>
      </c>
      <c r="T61" s="9">
        <v>5254000</v>
      </c>
      <c r="U61" s="8" t="s">
        <v>194</v>
      </c>
    </row>
    <row r="62" spans="1:21" ht="26" x14ac:dyDescent="0.2">
      <c r="A62" s="5" t="s">
        <v>425</v>
      </c>
      <c r="B62" s="5" t="s">
        <v>215</v>
      </c>
      <c r="C62" s="5" t="s">
        <v>163</v>
      </c>
      <c r="D62" s="5">
        <v>39</v>
      </c>
      <c r="E62" s="5" t="s">
        <v>149</v>
      </c>
      <c r="F62" s="5" t="s">
        <v>227</v>
      </c>
      <c r="G62" s="5" t="s">
        <v>199</v>
      </c>
      <c r="H62" s="5" t="s">
        <v>178</v>
      </c>
      <c r="I62" s="6">
        <v>15048000</v>
      </c>
      <c r="J62" s="5" t="s">
        <v>244</v>
      </c>
      <c r="K62" s="5" t="s">
        <v>295</v>
      </c>
      <c r="L62" s="5" t="s">
        <v>426</v>
      </c>
      <c r="M62" s="5" t="s">
        <v>427</v>
      </c>
      <c r="N62" s="5">
        <v>8</v>
      </c>
      <c r="O62" s="5" t="s">
        <v>170</v>
      </c>
      <c r="P62" s="5">
        <v>3</v>
      </c>
      <c r="Q62" s="5" t="s">
        <v>192</v>
      </c>
      <c r="R62" s="5" t="s">
        <v>183</v>
      </c>
      <c r="S62" s="7">
        <v>0.12</v>
      </c>
      <c r="T62" s="6">
        <v>11118000</v>
      </c>
      <c r="U62" s="5" t="s">
        <v>266</v>
      </c>
    </row>
    <row r="63" spans="1:21" ht="26" x14ac:dyDescent="0.2">
      <c r="A63" s="8" t="s">
        <v>428</v>
      </c>
      <c r="B63" s="8" t="s">
        <v>429</v>
      </c>
      <c r="C63" s="8" t="s">
        <v>163</v>
      </c>
      <c r="D63" s="8">
        <v>49</v>
      </c>
      <c r="E63" s="8" t="s">
        <v>149</v>
      </c>
      <c r="F63" s="8" t="s">
        <v>150</v>
      </c>
      <c r="G63" s="8" t="s">
        <v>333</v>
      </c>
      <c r="H63" s="8" t="s">
        <v>211</v>
      </c>
      <c r="I63" s="9">
        <v>5475000</v>
      </c>
      <c r="J63" s="8" t="s">
        <v>188</v>
      </c>
      <c r="K63" s="8" t="s">
        <v>269</v>
      </c>
      <c r="L63" s="8" t="s">
        <v>430</v>
      </c>
      <c r="M63" s="8" t="s">
        <v>382</v>
      </c>
      <c r="N63" s="8">
        <v>3</v>
      </c>
      <c r="O63" s="8" t="s">
        <v>247</v>
      </c>
      <c r="P63" s="8">
        <v>3</v>
      </c>
      <c r="Q63" s="8" t="s">
        <v>192</v>
      </c>
      <c r="R63" s="8" t="s">
        <v>172</v>
      </c>
      <c r="S63" s="10">
        <v>0.97</v>
      </c>
      <c r="T63" s="9">
        <v>2825000</v>
      </c>
      <c r="U63" s="8" t="s">
        <v>160</v>
      </c>
    </row>
    <row r="64" spans="1:21" ht="26" x14ac:dyDescent="0.2">
      <c r="A64" s="5" t="s">
        <v>431</v>
      </c>
      <c r="B64" s="5" t="s">
        <v>312</v>
      </c>
      <c r="C64" s="5" t="s">
        <v>294</v>
      </c>
      <c r="D64" s="5">
        <v>70</v>
      </c>
      <c r="E64" s="5" t="s">
        <v>164</v>
      </c>
      <c r="F64" s="5" t="s">
        <v>150</v>
      </c>
      <c r="G64" s="5" t="s">
        <v>257</v>
      </c>
      <c r="H64" s="5" t="s">
        <v>219</v>
      </c>
      <c r="I64" s="6">
        <v>14889000</v>
      </c>
      <c r="J64" s="5" t="s">
        <v>244</v>
      </c>
      <c r="K64" s="5" t="s">
        <v>295</v>
      </c>
      <c r="L64" s="5" t="s">
        <v>432</v>
      </c>
      <c r="M64" s="5" t="s">
        <v>433</v>
      </c>
      <c r="N64" s="5">
        <v>10</v>
      </c>
      <c r="O64" s="5" t="s">
        <v>182</v>
      </c>
      <c r="P64" s="5">
        <v>7</v>
      </c>
      <c r="Q64" s="5" t="s">
        <v>192</v>
      </c>
      <c r="R64" s="5" t="s">
        <v>159</v>
      </c>
      <c r="S64" s="7">
        <v>0.48</v>
      </c>
      <c r="T64" s="6">
        <v>5619000</v>
      </c>
      <c r="U64" s="5" t="s">
        <v>298</v>
      </c>
    </row>
    <row r="65" spans="1:21" ht="26" x14ac:dyDescent="0.2">
      <c r="A65" s="8" t="s">
        <v>434</v>
      </c>
      <c r="B65" s="8" t="s">
        <v>208</v>
      </c>
      <c r="C65" s="8" t="s">
        <v>176</v>
      </c>
      <c r="D65" s="8">
        <v>57</v>
      </c>
      <c r="E65" s="8" t="s">
        <v>149</v>
      </c>
      <c r="F65" s="8" t="s">
        <v>198</v>
      </c>
      <c r="G65" s="8" t="s">
        <v>199</v>
      </c>
      <c r="H65" s="8" t="s">
        <v>152</v>
      </c>
      <c r="I65" s="9">
        <v>3722000</v>
      </c>
      <c r="J65" s="8" t="s">
        <v>153</v>
      </c>
      <c r="K65" s="8" t="s">
        <v>269</v>
      </c>
      <c r="L65" s="8" t="s">
        <v>435</v>
      </c>
      <c r="M65" s="8" t="s">
        <v>270</v>
      </c>
      <c r="N65" s="8">
        <v>10</v>
      </c>
      <c r="O65" s="8" t="s">
        <v>182</v>
      </c>
      <c r="P65" s="8">
        <v>2</v>
      </c>
      <c r="Q65" s="8" t="s">
        <v>158</v>
      </c>
      <c r="R65" s="8" t="s">
        <v>205</v>
      </c>
      <c r="S65" s="10">
        <v>0.33</v>
      </c>
      <c r="T65" s="9">
        <v>1692000</v>
      </c>
      <c r="U65" s="8" t="s">
        <v>292</v>
      </c>
    </row>
    <row r="66" spans="1:21" ht="26" x14ac:dyDescent="0.2">
      <c r="A66" s="5" t="s">
        <v>436</v>
      </c>
      <c r="B66" s="5" t="s">
        <v>320</v>
      </c>
      <c r="C66" s="5" t="s">
        <v>437</v>
      </c>
      <c r="D66" s="5">
        <v>44</v>
      </c>
      <c r="E66" s="5" t="s">
        <v>164</v>
      </c>
      <c r="F66" s="5" t="s">
        <v>209</v>
      </c>
      <c r="G66" s="5" t="s">
        <v>235</v>
      </c>
      <c r="H66" s="5" t="s">
        <v>152</v>
      </c>
      <c r="I66" s="6">
        <v>35327000</v>
      </c>
      <c r="J66" s="5" t="s">
        <v>244</v>
      </c>
      <c r="K66" s="5" t="s">
        <v>258</v>
      </c>
      <c r="L66" s="5" t="s">
        <v>426</v>
      </c>
      <c r="M66" s="5" t="s">
        <v>438</v>
      </c>
      <c r="N66" s="5">
        <v>7</v>
      </c>
      <c r="O66" s="5" t="s">
        <v>170</v>
      </c>
      <c r="P66" s="5">
        <v>9</v>
      </c>
      <c r="Q66" s="5" t="s">
        <v>171</v>
      </c>
      <c r="R66" s="5" t="s">
        <v>193</v>
      </c>
      <c r="S66" s="7">
        <v>0.14000000000000001</v>
      </c>
      <c r="T66" s="6">
        <v>23344000</v>
      </c>
      <c r="U66" s="5" t="s">
        <v>231</v>
      </c>
    </row>
    <row r="67" spans="1:21" ht="26" x14ac:dyDescent="0.2">
      <c r="A67" s="8" t="s">
        <v>439</v>
      </c>
      <c r="B67" s="8" t="s">
        <v>400</v>
      </c>
      <c r="C67" s="8" t="s">
        <v>440</v>
      </c>
      <c r="D67" s="8">
        <v>44</v>
      </c>
      <c r="E67" s="8" t="s">
        <v>149</v>
      </c>
      <c r="F67" s="8" t="s">
        <v>150</v>
      </c>
      <c r="G67" s="8" t="s">
        <v>347</v>
      </c>
      <c r="H67" s="8" t="s">
        <v>251</v>
      </c>
      <c r="I67" s="9">
        <v>2816000</v>
      </c>
      <c r="J67" s="8" t="s">
        <v>153</v>
      </c>
      <c r="K67" s="8" t="s">
        <v>269</v>
      </c>
      <c r="L67" s="8" t="s">
        <v>441</v>
      </c>
      <c r="M67" s="8" t="s">
        <v>253</v>
      </c>
      <c r="N67" s="8">
        <v>5</v>
      </c>
      <c r="O67" s="8" t="s">
        <v>191</v>
      </c>
      <c r="P67" s="8">
        <v>10</v>
      </c>
      <c r="Q67" s="8" t="s">
        <v>192</v>
      </c>
      <c r="R67" s="8" t="s">
        <v>205</v>
      </c>
      <c r="S67" s="10">
        <v>0.27</v>
      </c>
      <c r="T67" s="9">
        <v>1244000</v>
      </c>
      <c r="U67" s="8" t="s">
        <v>184</v>
      </c>
    </row>
    <row r="68" spans="1:21" ht="26" x14ac:dyDescent="0.2">
      <c r="A68" s="5" t="s">
        <v>442</v>
      </c>
      <c r="B68" s="5" t="s">
        <v>175</v>
      </c>
      <c r="C68" s="5" t="s">
        <v>282</v>
      </c>
      <c r="D68" s="5">
        <v>37</v>
      </c>
      <c r="E68" s="5" t="s">
        <v>164</v>
      </c>
      <c r="F68" s="5" t="s">
        <v>150</v>
      </c>
      <c r="G68" s="5" t="s">
        <v>347</v>
      </c>
      <c r="H68" s="5" t="s">
        <v>251</v>
      </c>
      <c r="I68" s="6">
        <v>185639000</v>
      </c>
      <c r="J68" s="5" t="s">
        <v>228</v>
      </c>
      <c r="K68" s="5" t="s">
        <v>179</v>
      </c>
      <c r="L68" s="5" t="s">
        <v>430</v>
      </c>
      <c r="M68" s="5" t="s">
        <v>283</v>
      </c>
      <c r="N68" s="5">
        <v>6</v>
      </c>
      <c r="O68" s="5" t="s">
        <v>157</v>
      </c>
      <c r="P68" s="5">
        <v>2</v>
      </c>
      <c r="Q68" s="5" t="s">
        <v>204</v>
      </c>
      <c r="R68" s="5" t="s">
        <v>272</v>
      </c>
      <c r="S68" s="7">
        <v>0.68</v>
      </c>
      <c r="T68" s="6">
        <v>67683000</v>
      </c>
      <c r="U68" s="5" t="s">
        <v>266</v>
      </c>
    </row>
    <row r="69" spans="1:21" ht="26" x14ac:dyDescent="0.2">
      <c r="A69" s="8" t="s">
        <v>443</v>
      </c>
      <c r="B69" s="8" t="s">
        <v>350</v>
      </c>
      <c r="C69" s="8" t="s">
        <v>233</v>
      </c>
      <c r="D69" s="8">
        <v>57</v>
      </c>
      <c r="E69" s="8" t="s">
        <v>149</v>
      </c>
      <c r="F69" s="8" t="s">
        <v>150</v>
      </c>
      <c r="G69" s="8" t="s">
        <v>151</v>
      </c>
      <c r="H69" s="8" t="s">
        <v>251</v>
      </c>
      <c r="I69" s="9">
        <v>7299000</v>
      </c>
      <c r="J69" s="8" t="s">
        <v>188</v>
      </c>
      <c r="K69" s="8" t="s">
        <v>154</v>
      </c>
      <c r="L69" s="8" t="s">
        <v>427</v>
      </c>
      <c r="M69" s="8" t="s">
        <v>444</v>
      </c>
      <c r="N69" s="8">
        <v>10</v>
      </c>
      <c r="O69" s="8" t="s">
        <v>170</v>
      </c>
      <c r="P69" s="8">
        <v>8</v>
      </c>
      <c r="Q69" s="8" t="s">
        <v>171</v>
      </c>
      <c r="R69" s="8" t="s">
        <v>193</v>
      </c>
      <c r="S69" s="10">
        <v>0.12</v>
      </c>
      <c r="T69" s="9">
        <v>5716000</v>
      </c>
      <c r="U69" s="8" t="s">
        <v>254</v>
      </c>
    </row>
    <row r="70" spans="1:21" ht="26" x14ac:dyDescent="0.2">
      <c r="A70" s="5" t="s">
        <v>445</v>
      </c>
      <c r="B70" s="5" t="s">
        <v>391</v>
      </c>
      <c r="C70" s="5" t="s">
        <v>187</v>
      </c>
      <c r="D70" s="5">
        <v>40</v>
      </c>
      <c r="E70" s="5" t="s">
        <v>164</v>
      </c>
      <c r="F70" s="5" t="s">
        <v>150</v>
      </c>
      <c r="G70" s="5" t="s">
        <v>243</v>
      </c>
      <c r="H70" s="5" t="s">
        <v>200</v>
      </c>
      <c r="I70" s="6">
        <v>7002000</v>
      </c>
      <c r="J70" s="5" t="s">
        <v>188</v>
      </c>
      <c r="K70" s="5" t="s">
        <v>154</v>
      </c>
      <c r="L70" s="5" t="s">
        <v>382</v>
      </c>
      <c r="M70" s="5" t="s">
        <v>446</v>
      </c>
      <c r="N70" s="5">
        <v>6</v>
      </c>
      <c r="O70" s="5" t="s">
        <v>191</v>
      </c>
      <c r="P70" s="5">
        <v>7</v>
      </c>
      <c r="Q70" s="5" t="s">
        <v>158</v>
      </c>
      <c r="R70" s="5" t="s">
        <v>265</v>
      </c>
      <c r="S70" s="7">
        <v>7.0000000000000007E-2</v>
      </c>
      <c r="T70" s="6">
        <v>2500000</v>
      </c>
      <c r="U70" s="5" t="s">
        <v>266</v>
      </c>
    </row>
    <row r="71" spans="1:21" ht="26" x14ac:dyDescent="0.2">
      <c r="A71" s="8" t="s">
        <v>447</v>
      </c>
      <c r="B71" s="8" t="s">
        <v>400</v>
      </c>
      <c r="C71" s="8" t="s">
        <v>187</v>
      </c>
      <c r="D71" s="8">
        <v>57</v>
      </c>
      <c r="E71" s="8" t="s">
        <v>149</v>
      </c>
      <c r="F71" s="8" t="s">
        <v>234</v>
      </c>
      <c r="G71" s="8" t="s">
        <v>210</v>
      </c>
      <c r="H71" s="8" t="s">
        <v>166</v>
      </c>
      <c r="I71" s="9">
        <v>15858000</v>
      </c>
      <c r="J71" s="8" t="s">
        <v>244</v>
      </c>
      <c r="K71" s="8" t="s">
        <v>179</v>
      </c>
      <c r="L71" s="8" t="s">
        <v>448</v>
      </c>
      <c r="M71" s="8" t="s">
        <v>449</v>
      </c>
      <c r="N71" s="8">
        <v>11</v>
      </c>
      <c r="O71" s="8" t="s">
        <v>157</v>
      </c>
      <c r="P71" s="8">
        <v>4</v>
      </c>
      <c r="Q71" s="8" t="s">
        <v>204</v>
      </c>
      <c r="R71" s="8" t="s">
        <v>159</v>
      </c>
      <c r="S71" s="10">
        <v>0.51</v>
      </c>
      <c r="T71" s="9">
        <v>10782000</v>
      </c>
      <c r="U71" s="8" t="s">
        <v>298</v>
      </c>
    </row>
    <row r="72" spans="1:21" ht="26" x14ac:dyDescent="0.2">
      <c r="A72" s="5" t="s">
        <v>450</v>
      </c>
      <c r="B72" s="5" t="s">
        <v>391</v>
      </c>
      <c r="C72" s="5" t="s">
        <v>276</v>
      </c>
      <c r="D72" s="5">
        <v>44</v>
      </c>
      <c r="E72" s="5" t="s">
        <v>164</v>
      </c>
      <c r="F72" s="5" t="s">
        <v>150</v>
      </c>
      <c r="G72" s="5" t="s">
        <v>333</v>
      </c>
      <c r="H72" s="5" t="s">
        <v>316</v>
      </c>
      <c r="I72" s="6">
        <v>8982000</v>
      </c>
      <c r="J72" s="5" t="s">
        <v>188</v>
      </c>
      <c r="K72" s="5" t="s">
        <v>258</v>
      </c>
      <c r="L72" s="5" t="s">
        <v>222</v>
      </c>
      <c r="M72" s="5" t="s">
        <v>451</v>
      </c>
      <c r="N72" s="5">
        <v>5</v>
      </c>
      <c r="O72" s="5" t="s">
        <v>247</v>
      </c>
      <c r="P72" s="5">
        <v>9</v>
      </c>
      <c r="Q72" s="5" t="s">
        <v>192</v>
      </c>
      <c r="R72" s="5" t="s">
        <v>265</v>
      </c>
      <c r="S72" s="7">
        <v>0.08</v>
      </c>
      <c r="T72" s="6">
        <v>3984000</v>
      </c>
      <c r="U72" s="5" t="s">
        <v>184</v>
      </c>
    </row>
    <row r="73" spans="1:21" ht="26" x14ac:dyDescent="0.2">
      <c r="A73" s="8" t="s">
        <v>452</v>
      </c>
      <c r="B73" s="8" t="s">
        <v>453</v>
      </c>
      <c r="C73" s="8" t="s">
        <v>268</v>
      </c>
      <c r="D73" s="8">
        <v>59</v>
      </c>
      <c r="E73" s="8" t="s">
        <v>149</v>
      </c>
      <c r="F73" s="8" t="s">
        <v>209</v>
      </c>
      <c r="G73" s="8" t="s">
        <v>257</v>
      </c>
      <c r="H73" s="8" t="s">
        <v>251</v>
      </c>
      <c r="I73" s="9">
        <v>9049000</v>
      </c>
      <c r="J73" s="8" t="s">
        <v>188</v>
      </c>
      <c r="K73" s="8" t="s">
        <v>179</v>
      </c>
      <c r="L73" s="8" t="s">
        <v>454</v>
      </c>
      <c r="M73" s="8" t="s">
        <v>455</v>
      </c>
      <c r="N73" s="8">
        <v>3</v>
      </c>
      <c r="O73" s="8" t="s">
        <v>239</v>
      </c>
      <c r="P73" s="8">
        <v>9</v>
      </c>
      <c r="Q73" s="8" t="s">
        <v>192</v>
      </c>
      <c r="R73" s="8" t="s">
        <v>172</v>
      </c>
      <c r="S73" s="10">
        <v>1</v>
      </c>
      <c r="T73" s="9">
        <v>4269000</v>
      </c>
      <c r="U73" s="8" t="s">
        <v>160</v>
      </c>
    </row>
    <row r="74" spans="1:21" ht="26" x14ac:dyDescent="0.2">
      <c r="A74" s="5" t="s">
        <v>456</v>
      </c>
      <c r="B74" s="5" t="s">
        <v>350</v>
      </c>
      <c r="C74" s="5" t="s">
        <v>437</v>
      </c>
      <c r="D74" s="5">
        <v>37</v>
      </c>
      <c r="E74" s="5" t="s">
        <v>149</v>
      </c>
      <c r="F74" s="5" t="s">
        <v>150</v>
      </c>
      <c r="G74" s="5" t="s">
        <v>333</v>
      </c>
      <c r="H74" s="5" t="s">
        <v>316</v>
      </c>
      <c r="I74" s="6">
        <v>8049000</v>
      </c>
      <c r="J74" s="5" t="s">
        <v>188</v>
      </c>
      <c r="K74" s="5" t="s">
        <v>295</v>
      </c>
      <c r="L74" s="5" t="s">
        <v>359</v>
      </c>
      <c r="M74" s="5" t="s">
        <v>410</v>
      </c>
      <c r="N74" s="5">
        <v>7</v>
      </c>
      <c r="O74" s="5" t="s">
        <v>291</v>
      </c>
      <c r="P74" s="5">
        <v>2</v>
      </c>
      <c r="Q74" s="5" t="s">
        <v>171</v>
      </c>
      <c r="R74" s="5" t="s">
        <v>265</v>
      </c>
      <c r="S74" s="7">
        <v>0.02</v>
      </c>
      <c r="T74" s="6">
        <v>4660000</v>
      </c>
      <c r="U74" s="5" t="s">
        <v>194</v>
      </c>
    </row>
    <row r="75" spans="1:21" ht="26" x14ac:dyDescent="0.2">
      <c r="A75" s="8" t="s">
        <v>457</v>
      </c>
      <c r="B75" s="8" t="s">
        <v>262</v>
      </c>
      <c r="C75" s="8" t="s">
        <v>294</v>
      </c>
      <c r="D75" s="8">
        <v>56</v>
      </c>
      <c r="E75" s="8" t="s">
        <v>164</v>
      </c>
      <c r="F75" s="8" t="s">
        <v>150</v>
      </c>
      <c r="G75" s="8" t="s">
        <v>210</v>
      </c>
      <c r="H75" s="8" t="s">
        <v>166</v>
      </c>
      <c r="I75" s="9">
        <v>965000</v>
      </c>
      <c r="J75" s="8" t="s">
        <v>220</v>
      </c>
      <c r="K75" s="8" t="s">
        <v>269</v>
      </c>
      <c r="L75" s="8" t="s">
        <v>458</v>
      </c>
      <c r="M75" s="8" t="s">
        <v>245</v>
      </c>
      <c r="N75" s="8">
        <v>9</v>
      </c>
      <c r="O75" s="8" t="s">
        <v>170</v>
      </c>
      <c r="P75" s="8">
        <v>7</v>
      </c>
      <c r="Q75" s="8" t="s">
        <v>158</v>
      </c>
      <c r="R75" s="8" t="s">
        <v>272</v>
      </c>
      <c r="S75" s="10">
        <v>0.73</v>
      </c>
      <c r="T75" s="9">
        <v>746000</v>
      </c>
      <c r="U75" s="8" t="s">
        <v>184</v>
      </c>
    </row>
    <row r="76" spans="1:21" ht="26" x14ac:dyDescent="0.2">
      <c r="A76" s="5" t="s">
        <v>459</v>
      </c>
      <c r="B76" s="5" t="s">
        <v>275</v>
      </c>
      <c r="C76" s="5" t="s">
        <v>250</v>
      </c>
      <c r="D76" s="5">
        <v>67</v>
      </c>
      <c r="E76" s="5" t="s">
        <v>149</v>
      </c>
      <c r="F76" s="5" t="s">
        <v>150</v>
      </c>
      <c r="G76" s="5" t="s">
        <v>199</v>
      </c>
      <c r="H76" s="5" t="s">
        <v>277</v>
      </c>
      <c r="I76" s="6">
        <v>18568000</v>
      </c>
      <c r="J76" s="5" t="s">
        <v>244</v>
      </c>
      <c r="K76" s="5" t="s">
        <v>201</v>
      </c>
      <c r="L76" s="5" t="s">
        <v>237</v>
      </c>
      <c r="M76" s="5" t="s">
        <v>212</v>
      </c>
      <c r="N76" s="5">
        <v>3</v>
      </c>
      <c r="O76" s="5" t="s">
        <v>157</v>
      </c>
      <c r="P76" s="5">
        <v>6</v>
      </c>
      <c r="Q76" s="5" t="s">
        <v>192</v>
      </c>
      <c r="R76" s="5" t="s">
        <v>159</v>
      </c>
      <c r="S76" s="7">
        <v>0.51</v>
      </c>
      <c r="T76" s="6">
        <v>13324000</v>
      </c>
      <c r="U76" s="5" t="s">
        <v>266</v>
      </c>
    </row>
    <row r="77" spans="1:21" ht="26" x14ac:dyDescent="0.2">
      <c r="A77" s="8" t="s">
        <v>460</v>
      </c>
      <c r="B77" s="8" t="s">
        <v>275</v>
      </c>
      <c r="C77" s="8" t="s">
        <v>276</v>
      </c>
      <c r="D77" s="8">
        <v>43</v>
      </c>
      <c r="E77" s="8" t="s">
        <v>149</v>
      </c>
      <c r="F77" s="8" t="s">
        <v>209</v>
      </c>
      <c r="G77" s="8" t="s">
        <v>218</v>
      </c>
      <c r="H77" s="8" t="s">
        <v>166</v>
      </c>
      <c r="I77" s="9">
        <v>37714000</v>
      </c>
      <c r="J77" s="8" t="s">
        <v>244</v>
      </c>
      <c r="K77" s="8" t="s">
        <v>167</v>
      </c>
      <c r="L77" s="8" t="s">
        <v>423</v>
      </c>
      <c r="M77" s="8" t="s">
        <v>461</v>
      </c>
      <c r="N77" s="8">
        <v>6</v>
      </c>
      <c r="O77" s="8" t="s">
        <v>191</v>
      </c>
      <c r="P77" s="8">
        <v>9</v>
      </c>
      <c r="Q77" s="8" t="s">
        <v>171</v>
      </c>
      <c r="R77" s="8" t="s">
        <v>172</v>
      </c>
      <c r="S77" s="10">
        <v>1</v>
      </c>
      <c r="T77" s="9">
        <v>19780000</v>
      </c>
      <c r="U77" s="8" t="s">
        <v>266</v>
      </c>
    </row>
    <row r="78" spans="1:21" ht="26" x14ac:dyDescent="0.2">
      <c r="A78" s="5" t="s">
        <v>462</v>
      </c>
      <c r="B78" s="5" t="s">
        <v>384</v>
      </c>
      <c r="C78" s="5" t="s">
        <v>357</v>
      </c>
      <c r="D78" s="5">
        <v>47</v>
      </c>
      <c r="E78" s="5" t="s">
        <v>149</v>
      </c>
      <c r="F78" s="5" t="s">
        <v>150</v>
      </c>
      <c r="G78" s="5" t="s">
        <v>347</v>
      </c>
      <c r="H78" s="5" t="s">
        <v>316</v>
      </c>
      <c r="I78" s="6">
        <v>6409000</v>
      </c>
      <c r="J78" s="5" t="s">
        <v>188</v>
      </c>
      <c r="K78" s="5" t="s">
        <v>269</v>
      </c>
      <c r="L78" s="5" t="s">
        <v>463</v>
      </c>
      <c r="M78" s="5" t="s">
        <v>464</v>
      </c>
      <c r="N78" s="5">
        <v>3</v>
      </c>
      <c r="O78" s="5" t="s">
        <v>191</v>
      </c>
      <c r="P78" s="5">
        <v>4</v>
      </c>
      <c r="Q78" s="5" t="s">
        <v>171</v>
      </c>
      <c r="R78" s="5" t="s">
        <v>265</v>
      </c>
      <c r="S78" s="7">
        <v>0.05</v>
      </c>
      <c r="T78" s="6">
        <v>4724000</v>
      </c>
      <c r="U78" s="5" t="s">
        <v>266</v>
      </c>
    </row>
    <row r="79" spans="1:21" ht="26" x14ac:dyDescent="0.2">
      <c r="A79" s="8" t="s">
        <v>465</v>
      </c>
      <c r="B79" s="8" t="s">
        <v>356</v>
      </c>
      <c r="C79" s="8" t="s">
        <v>268</v>
      </c>
      <c r="D79" s="8">
        <v>42</v>
      </c>
      <c r="E79" s="8" t="s">
        <v>149</v>
      </c>
      <c r="F79" s="8" t="s">
        <v>150</v>
      </c>
      <c r="G79" s="8" t="s">
        <v>218</v>
      </c>
      <c r="H79" s="8" t="s">
        <v>277</v>
      </c>
      <c r="I79" s="9">
        <v>7567000</v>
      </c>
      <c r="J79" s="8" t="s">
        <v>188</v>
      </c>
      <c r="K79" s="8" t="s">
        <v>269</v>
      </c>
      <c r="L79" s="8" t="s">
        <v>378</v>
      </c>
      <c r="M79" s="8" t="s">
        <v>419</v>
      </c>
      <c r="N79" s="8">
        <v>8</v>
      </c>
      <c r="O79" s="8" t="s">
        <v>291</v>
      </c>
      <c r="P79" s="8">
        <v>2</v>
      </c>
      <c r="Q79" s="8" t="s">
        <v>204</v>
      </c>
      <c r="R79" s="8" t="s">
        <v>265</v>
      </c>
      <c r="S79" s="10">
        <v>0.06</v>
      </c>
      <c r="T79" s="9">
        <v>3685000</v>
      </c>
      <c r="U79" s="8" t="s">
        <v>194</v>
      </c>
    </row>
    <row r="80" spans="1:21" ht="26" x14ac:dyDescent="0.2">
      <c r="A80" s="5" t="s">
        <v>466</v>
      </c>
      <c r="B80" s="5" t="s">
        <v>281</v>
      </c>
      <c r="C80" s="5" t="s">
        <v>256</v>
      </c>
      <c r="D80" s="5">
        <v>36</v>
      </c>
      <c r="E80" s="5" t="s">
        <v>149</v>
      </c>
      <c r="F80" s="5" t="s">
        <v>150</v>
      </c>
      <c r="G80" s="5" t="s">
        <v>243</v>
      </c>
      <c r="H80" s="5" t="s">
        <v>236</v>
      </c>
      <c r="I80" s="6">
        <v>2413000</v>
      </c>
      <c r="J80" s="5" t="s">
        <v>153</v>
      </c>
      <c r="K80" s="5" t="s">
        <v>221</v>
      </c>
      <c r="L80" s="5" t="s">
        <v>467</v>
      </c>
      <c r="M80" s="5" t="s">
        <v>238</v>
      </c>
      <c r="N80" s="5">
        <v>12</v>
      </c>
      <c r="O80" s="5" t="s">
        <v>247</v>
      </c>
      <c r="P80" s="5">
        <v>9</v>
      </c>
      <c r="Q80" s="5" t="s">
        <v>192</v>
      </c>
      <c r="R80" s="5" t="s">
        <v>183</v>
      </c>
      <c r="S80" s="7">
        <v>7.0000000000000007E-2</v>
      </c>
      <c r="T80" s="6">
        <v>1033000</v>
      </c>
      <c r="U80" s="5" t="s">
        <v>254</v>
      </c>
    </row>
    <row r="81" spans="1:21" ht="26" x14ac:dyDescent="0.2">
      <c r="A81" s="8" t="s">
        <v>468</v>
      </c>
      <c r="B81" s="8" t="s">
        <v>196</v>
      </c>
      <c r="C81" s="8" t="s">
        <v>282</v>
      </c>
      <c r="D81" s="8">
        <v>50</v>
      </c>
      <c r="E81" s="8" t="s">
        <v>164</v>
      </c>
      <c r="F81" s="8" t="s">
        <v>150</v>
      </c>
      <c r="G81" s="8" t="s">
        <v>165</v>
      </c>
      <c r="H81" s="8" t="s">
        <v>200</v>
      </c>
      <c r="I81" s="9">
        <v>8969000</v>
      </c>
      <c r="J81" s="8" t="s">
        <v>188</v>
      </c>
      <c r="K81" s="8" t="s">
        <v>201</v>
      </c>
      <c r="L81" s="8" t="s">
        <v>469</v>
      </c>
      <c r="M81" s="8" t="s">
        <v>470</v>
      </c>
      <c r="N81" s="8">
        <v>8</v>
      </c>
      <c r="O81" s="8" t="s">
        <v>239</v>
      </c>
      <c r="P81" s="8">
        <v>10</v>
      </c>
      <c r="Q81" s="8" t="s">
        <v>158</v>
      </c>
      <c r="R81" s="8" t="s">
        <v>272</v>
      </c>
      <c r="S81" s="10">
        <v>0.69</v>
      </c>
      <c r="T81" s="9">
        <v>4616000</v>
      </c>
      <c r="U81" s="8" t="s">
        <v>231</v>
      </c>
    </row>
    <row r="82" spans="1:21" ht="26" x14ac:dyDescent="0.2">
      <c r="A82" s="5" t="s">
        <v>471</v>
      </c>
      <c r="B82" s="5" t="s">
        <v>162</v>
      </c>
      <c r="C82" s="5" t="s">
        <v>250</v>
      </c>
      <c r="D82" s="5">
        <v>46</v>
      </c>
      <c r="E82" s="5" t="s">
        <v>164</v>
      </c>
      <c r="F82" s="5" t="s">
        <v>234</v>
      </c>
      <c r="G82" s="5" t="s">
        <v>243</v>
      </c>
      <c r="H82" s="5" t="s">
        <v>219</v>
      </c>
      <c r="I82" s="6">
        <v>602000</v>
      </c>
      <c r="J82" s="5" t="s">
        <v>220</v>
      </c>
      <c r="K82" s="5" t="s">
        <v>258</v>
      </c>
      <c r="L82" s="5" t="s">
        <v>392</v>
      </c>
      <c r="M82" s="5" t="s">
        <v>472</v>
      </c>
      <c r="N82" s="5">
        <v>11</v>
      </c>
      <c r="O82" s="5" t="s">
        <v>170</v>
      </c>
      <c r="P82" s="5">
        <v>7</v>
      </c>
      <c r="Q82" s="5" t="s">
        <v>171</v>
      </c>
      <c r="R82" s="5" t="s">
        <v>272</v>
      </c>
      <c r="S82" s="7">
        <v>0.69</v>
      </c>
      <c r="T82" s="6">
        <v>418000</v>
      </c>
      <c r="U82" s="5" t="s">
        <v>292</v>
      </c>
    </row>
    <row r="83" spans="1:21" ht="26" x14ac:dyDescent="0.2">
      <c r="A83" s="8" t="s">
        <v>473</v>
      </c>
      <c r="B83" s="8" t="s">
        <v>356</v>
      </c>
      <c r="C83" s="8" t="s">
        <v>176</v>
      </c>
      <c r="D83" s="8">
        <v>72</v>
      </c>
      <c r="E83" s="8" t="s">
        <v>149</v>
      </c>
      <c r="F83" s="8" t="s">
        <v>234</v>
      </c>
      <c r="G83" s="8" t="s">
        <v>199</v>
      </c>
      <c r="H83" s="8" t="s">
        <v>166</v>
      </c>
      <c r="I83" s="9">
        <v>295706000</v>
      </c>
      <c r="J83" s="8" t="s">
        <v>228</v>
      </c>
      <c r="K83" s="8" t="s">
        <v>167</v>
      </c>
      <c r="L83" s="8" t="s">
        <v>474</v>
      </c>
      <c r="M83" s="8" t="s">
        <v>302</v>
      </c>
      <c r="N83" s="8">
        <v>3</v>
      </c>
      <c r="O83" s="8" t="s">
        <v>224</v>
      </c>
      <c r="P83" s="8">
        <v>3</v>
      </c>
      <c r="Q83" s="8" t="s">
        <v>204</v>
      </c>
      <c r="R83" s="8" t="s">
        <v>265</v>
      </c>
      <c r="S83" s="10">
        <v>0.03</v>
      </c>
      <c r="T83" s="9">
        <v>95189000</v>
      </c>
      <c r="U83" s="8" t="s">
        <v>310</v>
      </c>
    </row>
    <row r="84" spans="1:21" ht="26" x14ac:dyDescent="0.2">
      <c r="A84" s="5" t="s">
        <v>475</v>
      </c>
      <c r="B84" s="5" t="s">
        <v>281</v>
      </c>
      <c r="C84" s="5" t="s">
        <v>282</v>
      </c>
      <c r="D84" s="5">
        <v>67</v>
      </c>
      <c r="E84" s="5" t="s">
        <v>149</v>
      </c>
      <c r="F84" s="5" t="s">
        <v>150</v>
      </c>
      <c r="G84" s="5" t="s">
        <v>257</v>
      </c>
      <c r="H84" s="5" t="s">
        <v>316</v>
      </c>
      <c r="I84" s="6">
        <v>40132000</v>
      </c>
      <c r="J84" s="5" t="s">
        <v>244</v>
      </c>
      <c r="K84" s="5" t="s">
        <v>179</v>
      </c>
      <c r="L84" s="5" t="s">
        <v>314</v>
      </c>
      <c r="M84" s="5" t="s">
        <v>367</v>
      </c>
      <c r="N84" s="5">
        <v>1</v>
      </c>
      <c r="O84" s="5" t="s">
        <v>291</v>
      </c>
      <c r="P84" s="5">
        <v>6</v>
      </c>
      <c r="Q84" s="5" t="s">
        <v>192</v>
      </c>
      <c r="R84" s="5" t="s">
        <v>172</v>
      </c>
      <c r="S84" s="7">
        <v>1</v>
      </c>
      <c r="T84" s="6">
        <v>29888000</v>
      </c>
      <c r="U84" s="5" t="s">
        <v>160</v>
      </c>
    </row>
    <row r="85" spans="1:21" ht="26" x14ac:dyDescent="0.2">
      <c r="A85" s="8" t="s">
        <v>476</v>
      </c>
      <c r="B85" s="8" t="s">
        <v>346</v>
      </c>
      <c r="C85" s="8" t="s">
        <v>418</v>
      </c>
      <c r="D85" s="8">
        <v>56</v>
      </c>
      <c r="E85" s="8" t="s">
        <v>164</v>
      </c>
      <c r="F85" s="8" t="s">
        <v>217</v>
      </c>
      <c r="G85" s="8" t="s">
        <v>333</v>
      </c>
      <c r="H85" s="8" t="s">
        <v>316</v>
      </c>
      <c r="I85" s="9">
        <v>41892000</v>
      </c>
      <c r="J85" s="8" t="s">
        <v>244</v>
      </c>
      <c r="K85" s="8" t="s">
        <v>221</v>
      </c>
      <c r="L85" s="8" t="s">
        <v>401</v>
      </c>
      <c r="M85" s="8" t="s">
        <v>364</v>
      </c>
      <c r="N85" s="8">
        <v>7</v>
      </c>
      <c r="O85" s="8" t="s">
        <v>224</v>
      </c>
      <c r="P85" s="8">
        <v>10</v>
      </c>
      <c r="Q85" s="8" t="s">
        <v>171</v>
      </c>
      <c r="R85" s="8" t="s">
        <v>205</v>
      </c>
      <c r="S85" s="10">
        <v>0.27</v>
      </c>
      <c r="T85" s="9">
        <v>19436000</v>
      </c>
      <c r="U85" s="8" t="s">
        <v>273</v>
      </c>
    </row>
    <row r="86" spans="1:21" ht="26" x14ac:dyDescent="0.2">
      <c r="A86" s="5" t="s">
        <v>477</v>
      </c>
      <c r="B86" s="5" t="s">
        <v>226</v>
      </c>
      <c r="C86" s="5" t="s">
        <v>250</v>
      </c>
      <c r="D86" s="5">
        <v>45</v>
      </c>
      <c r="E86" s="5" t="s">
        <v>164</v>
      </c>
      <c r="F86" s="5" t="s">
        <v>234</v>
      </c>
      <c r="G86" s="5" t="s">
        <v>199</v>
      </c>
      <c r="H86" s="5" t="s">
        <v>316</v>
      </c>
      <c r="I86" s="6">
        <v>441517000</v>
      </c>
      <c r="J86" s="5" t="s">
        <v>228</v>
      </c>
      <c r="K86" s="5" t="s">
        <v>295</v>
      </c>
      <c r="L86" s="5" t="s">
        <v>395</v>
      </c>
      <c r="M86" s="5" t="s">
        <v>478</v>
      </c>
      <c r="N86" s="5">
        <v>11</v>
      </c>
      <c r="O86" s="5" t="s">
        <v>239</v>
      </c>
      <c r="P86" s="5">
        <v>3</v>
      </c>
      <c r="Q86" s="5" t="s">
        <v>204</v>
      </c>
      <c r="R86" s="5" t="s">
        <v>205</v>
      </c>
      <c r="S86" s="7">
        <v>0.33</v>
      </c>
      <c r="T86" s="6">
        <v>298001000</v>
      </c>
      <c r="U86" s="5" t="s">
        <v>254</v>
      </c>
    </row>
    <row r="87" spans="1:21" ht="26" x14ac:dyDescent="0.2">
      <c r="A87" s="8" t="s">
        <v>479</v>
      </c>
      <c r="B87" s="8" t="s">
        <v>363</v>
      </c>
      <c r="C87" s="8" t="s">
        <v>163</v>
      </c>
      <c r="D87" s="8">
        <v>37</v>
      </c>
      <c r="E87" s="8" t="s">
        <v>149</v>
      </c>
      <c r="F87" s="8" t="s">
        <v>150</v>
      </c>
      <c r="G87" s="8" t="s">
        <v>300</v>
      </c>
      <c r="H87" s="8" t="s">
        <v>236</v>
      </c>
      <c r="I87" s="9">
        <v>47979000</v>
      </c>
      <c r="J87" s="8" t="s">
        <v>244</v>
      </c>
      <c r="K87" s="8" t="s">
        <v>258</v>
      </c>
      <c r="L87" s="8" t="s">
        <v>448</v>
      </c>
      <c r="M87" s="8" t="s">
        <v>480</v>
      </c>
      <c r="N87" s="8">
        <v>8</v>
      </c>
      <c r="O87" s="8" t="s">
        <v>291</v>
      </c>
      <c r="P87" s="8">
        <v>7</v>
      </c>
      <c r="Q87" s="8" t="s">
        <v>204</v>
      </c>
      <c r="R87" s="8" t="s">
        <v>172</v>
      </c>
      <c r="S87" s="10">
        <v>1</v>
      </c>
      <c r="T87" s="9">
        <v>17697000</v>
      </c>
      <c r="U87" s="8" t="s">
        <v>292</v>
      </c>
    </row>
    <row r="88" spans="1:21" ht="26" x14ac:dyDescent="0.2">
      <c r="A88" s="5" t="s">
        <v>481</v>
      </c>
      <c r="B88" s="5" t="s">
        <v>249</v>
      </c>
      <c r="C88" s="5" t="s">
        <v>148</v>
      </c>
      <c r="D88" s="5">
        <v>50</v>
      </c>
      <c r="E88" s="5" t="s">
        <v>164</v>
      </c>
      <c r="F88" s="5" t="s">
        <v>217</v>
      </c>
      <c r="G88" s="5" t="s">
        <v>165</v>
      </c>
      <c r="H88" s="5" t="s">
        <v>166</v>
      </c>
      <c r="I88" s="6">
        <v>6935000</v>
      </c>
      <c r="J88" s="5" t="s">
        <v>188</v>
      </c>
      <c r="K88" s="5" t="s">
        <v>154</v>
      </c>
      <c r="L88" s="5" t="s">
        <v>482</v>
      </c>
      <c r="M88" s="5" t="s">
        <v>169</v>
      </c>
      <c r="N88" s="5">
        <v>8</v>
      </c>
      <c r="O88" s="5" t="s">
        <v>191</v>
      </c>
      <c r="P88" s="5">
        <v>6</v>
      </c>
      <c r="Q88" s="5" t="s">
        <v>204</v>
      </c>
      <c r="R88" s="5" t="s">
        <v>193</v>
      </c>
      <c r="S88" s="7">
        <v>0.13</v>
      </c>
      <c r="T88" s="6">
        <v>5038000</v>
      </c>
      <c r="U88" s="5" t="s">
        <v>298</v>
      </c>
    </row>
    <row r="89" spans="1:21" ht="26" x14ac:dyDescent="0.2">
      <c r="A89" s="8" t="s">
        <v>483</v>
      </c>
      <c r="B89" s="8" t="s">
        <v>400</v>
      </c>
      <c r="C89" s="8" t="s">
        <v>163</v>
      </c>
      <c r="D89" s="8">
        <v>40</v>
      </c>
      <c r="E89" s="8" t="s">
        <v>149</v>
      </c>
      <c r="F89" s="8" t="s">
        <v>198</v>
      </c>
      <c r="G89" s="8" t="s">
        <v>199</v>
      </c>
      <c r="H89" s="8" t="s">
        <v>236</v>
      </c>
      <c r="I89" s="9">
        <v>3650000</v>
      </c>
      <c r="J89" s="8" t="s">
        <v>153</v>
      </c>
      <c r="K89" s="8" t="s">
        <v>221</v>
      </c>
      <c r="L89" s="8" t="s">
        <v>484</v>
      </c>
      <c r="M89" s="8" t="s">
        <v>430</v>
      </c>
      <c r="N89" s="8">
        <v>12</v>
      </c>
      <c r="O89" s="8" t="s">
        <v>224</v>
      </c>
      <c r="P89" s="8">
        <v>7</v>
      </c>
      <c r="Q89" s="8" t="s">
        <v>158</v>
      </c>
      <c r="R89" s="8" t="s">
        <v>193</v>
      </c>
      <c r="S89" s="10">
        <v>0.13</v>
      </c>
      <c r="T89" s="9">
        <v>2541000</v>
      </c>
      <c r="U89" s="8" t="s">
        <v>310</v>
      </c>
    </row>
    <row r="90" spans="1:21" ht="26" x14ac:dyDescent="0.2">
      <c r="A90" s="5" t="s">
        <v>485</v>
      </c>
      <c r="B90" s="5" t="s">
        <v>320</v>
      </c>
      <c r="C90" s="5" t="s">
        <v>187</v>
      </c>
      <c r="D90" s="5">
        <v>70</v>
      </c>
      <c r="E90" s="5" t="s">
        <v>164</v>
      </c>
      <c r="F90" s="5" t="s">
        <v>209</v>
      </c>
      <c r="G90" s="5" t="s">
        <v>333</v>
      </c>
      <c r="H90" s="5" t="s">
        <v>219</v>
      </c>
      <c r="I90" s="6">
        <v>45370000</v>
      </c>
      <c r="J90" s="5" t="s">
        <v>244</v>
      </c>
      <c r="K90" s="5" t="s">
        <v>154</v>
      </c>
      <c r="L90" s="5" t="s">
        <v>486</v>
      </c>
      <c r="M90" s="5" t="s">
        <v>317</v>
      </c>
      <c r="N90" s="5">
        <v>12</v>
      </c>
      <c r="O90" s="5" t="s">
        <v>247</v>
      </c>
      <c r="P90" s="5">
        <v>10</v>
      </c>
      <c r="Q90" s="5" t="s">
        <v>204</v>
      </c>
      <c r="R90" s="5" t="s">
        <v>172</v>
      </c>
      <c r="S90" s="7">
        <v>1</v>
      </c>
      <c r="T90" s="6">
        <v>26653000</v>
      </c>
      <c r="U90" s="5" t="s">
        <v>254</v>
      </c>
    </row>
    <row r="91" spans="1:21" ht="26" x14ac:dyDescent="0.2">
      <c r="A91" s="8" t="s">
        <v>487</v>
      </c>
      <c r="B91" s="8" t="s">
        <v>307</v>
      </c>
      <c r="C91" s="8" t="s">
        <v>242</v>
      </c>
      <c r="D91" s="8">
        <v>63</v>
      </c>
      <c r="E91" s="8" t="s">
        <v>164</v>
      </c>
      <c r="F91" s="8" t="s">
        <v>209</v>
      </c>
      <c r="G91" s="8" t="s">
        <v>257</v>
      </c>
      <c r="H91" s="8" t="s">
        <v>236</v>
      </c>
      <c r="I91" s="9">
        <v>43162000</v>
      </c>
      <c r="J91" s="8" t="s">
        <v>244</v>
      </c>
      <c r="K91" s="8" t="s">
        <v>167</v>
      </c>
      <c r="L91" s="8" t="s">
        <v>488</v>
      </c>
      <c r="M91" s="8" t="s">
        <v>321</v>
      </c>
      <c r="N91" s="8">
        <v>1</v>
      </c>
      <c r="O91" s="8" t="s">
        <v>157</v>
      </c>
      <c r="P91" s="8">
        <v>10</v>
      </c>
      <c r="Q91" s="8" t="s">
        <v>158</v>
      </c>
      <c r="R91" s="8" t="s">
        <v>205</v>
      </c>
      <c r="S91" s="10">
        <v>0.28000000000000003</v>
      </c>
      <c r="T91" s="9">
        <v>19912000</v>
      </c>
      <c r="U91" s="8" t="s">
        <v>160</v>
      </c>
    </row>
    <row r="92" spans="1:21" ht="26" x14ac:dyDescent="0.2">
      <c r="A92" s="5" t="s">
        <v>489</v>
      </c>
      <c r="B92" s="5" t="s">
        <v>281</v>
      </c>
      <c r="C92" s="5" t="s">
        <v>268</v>
      </c>
      <c r="D92" s="5">
        <v>53</v>
      </c>
      <c r="E92" s="5" t="s">
        <v>149</v>
      </c>
      <c r="F92" s="5" t="s">
        <v>198</v>
      </c>
      <c r="G92" s="5" t="s">
        <v>177</v>
      </c>
      <c r="H92" s="5" t="s">
        <v>200</v>
      </c>
      <c r="I92" s="6">
        <v>7754000</v>
      </c>
      <c r="J92" s="5" t="s">
        <v>188</v>
      </c>
      <c r="K92" s="5" t="s">
        <v>167</v>
      </c>
      <c r="L92" s="5" t="s">
        <v>414</v>
      </c>
      <c r="M92" s="5" t="s">
        <v>490</v>
      </c>
      <c r="N92" s="5">
        <v>9</v>
      </c>
      <c r="O92" s="5" t="s">
        <v>157</v>
      </c>
      <c r="P92" s="5">
        <v>10</v>
      </c>
      <c r="Q92" s="5" t="s">
        <v>158</v>
      </c>
      <c r="R92" s="5" t="s">
        <v>159</v>
      </c>
      <c r="S92" s="7">
        <v>0.51</v>
      </c>
      <c r="T92" s="6">
        <v>2924000</v>
      </c>
      <c r="U92" s="5" t="s">
        <v>184</v>
      </c>
    </row>
    <row r="93" spans="1:21" ht="26" x14ac:dyDescent="0.2">
      <c r="A93" s="8" t="s">
        <v>491</v>
      </c>
      <c r="B93" s="8" t="s">
        <v>391</v>
      </c>
      <c r="C93" s="8" t="s">
        <v>440</v>
      </c>
      <c r="D93" s="8">
        <v>36</v>
      </c>
      <c r="E93" s="8" t="s">
        <v>164</v>
      </c>
      <c r="F93" s="8" t="s">
        <v>150</v>
      </c>
      <c r="G93" s="8" t="s">
        <v>210</v>
      </c>
      <c r="H93" s="8" t="s">
        <v>178</v>
      </c>
      <c r="I93" s="9">
        <v>18432000</v>
      </c>
      <c r="J93" s="8" t="s">
        <v>244</v>
      </c>
      <c r="K93" s="8" t="s">
        <v>269</v>
      </c>
      <c r="L93" s="8" t="s">
        <v>492</v>
      </c>
      <c r="M93" s="8" t="s">
        <v>493</v>
      </c>
      <c r="N93" s="8">
        <v>11</v>
      </c>
      <c r="O93" s="8" t="s">
        <v>182</v>
      </c>
      <c r="P93" s="8">
        <v>6</v>
      </c>
      <c r="Q93" s="8" t="s">
        <v>204</v>
      </c>
      <c r="R93" s="8" t="s">
        <v>193</v>
      </c>
      <c r="S93" s="10">
        <v>0.18</v>
      </c>
      <c r="T93" s="9">
        <v>11842000</v>
      </c>
      <c r="U93" s="8" t="s">
        <v>273</v>
      </c>
    </row>
    <row r="94" spans="1:21" ht="26" x14ac:dyDescent="0.2">
      <c r="A94" s="5" t="s">
        <v>494</v>
      </c>
      <c r="B94" s="5" t="s">
        <v>196</v>
      </c>
      <c r="C94" s="5" t="s">
        <v>440</v>
      </c>
      <c r="D94" s="5">
        <v>45</v>
      </c>
      <c r="E94" s="5" t="s">
        <v>164</v>
      </c>
      <c r="F94" s="5" t="s">
        <v>150</v>
      </c>
      <c r="G94" s="5" t="s">
        <v>333</v>
      </c>
      <c r="H94" s="5" t="s">
        <v>316</v>
      </c>
      <c r="I94" s="6">
        <v>34266000</v>
      </c>
      <c r="J94" s="5" t="s">
        <v>244</v>
      </c>
      <c r="K94" s="5" t="s">
        <v>295</v>
      </c>
      <c r="L94" s="5" t="s">
        <v>495</v>
      </c>
      <c r="M94" s="5" t="s">
        <v>252</v>
      </c>
      <c r="N94" s="5">
        <v>3</v>
      </c>
      <c r="O94" s="5" t="s">
        <v>291</v>
      </c>
      <c r="P94" s="5">
        <v>10</v>
      </c>
      <c r="Q94" s="5" t="s">
        <v>192</v>
      </c>
      <c r="R94" s="5" t="s">
        <v>205</v>
      </c>
      <c r="S94" s="7">
        <v>0.3</v>
      </c>
      <c r="T94" s="6">
        <v>12379000</v>
      </c>
      <c r="U94" s="5" t="s">
        <v>298</v>
      </c>
    </row>
    <row r="95" spans="1:21" ht="26" x14ac:dyDescent="0.2">
      <c r="A95" s="8" t="s">
        <v>496</v>
      </c>
      <c r="B95" s="8" t="s">
        <v>363</v>
      </c>
      <c r="C95" s="8" t="s">
        <v>176</v>
      </c>
      <c r="D95" s="8">
        <v>38</v>
      </c>
      <c r="E95" s="8" t="s">
        <v>149</v>
      </c>
      <c r="F95" s="8" t="s">
        <v>150</v>
      </c>
      <c r="G95" s="8" t="s">
        <v>235</v>
      </c>
      <c r="H95" s="8" t="s">
        <v>178</v>
      </c>
      <c r="I95" s="9">
        <v>9813000</v>
      </c>
      <c r="J95" s="8" t="s">
        <v>188</v>
      </c>
      <c r="K95" s="8" t="s">
        <v>167</v>
      </c>
      <c r="L95" s="8" t="s">
        <v>393</v>
      </c>
      <c r="M95" s="8" t="s">
        <v>497</v>
      </c>
      <c r="N95" s="8">
        <v>6</v>
      </c>
      <c r="O95" s="8" t="s">
        <v>191</v>
      </c>
      <c r="P95" s="8">
        <v>4</v>
      </c>
      <c r="Q95" s="8" t="s">
        <v>204</v>
      </c>
      <c r="R95" s="8" t="s">
        <v>336</v>
      </c>
      <c r="S95" s="10">
        <v>0</v>
      </c>
      <c r="T95" s="9">
        <v>5391000</v>
      </c>
      <c r="U95" s="8" t="s">
        <v>273</v>
      </c>
    </row>
    <row r="96" spans="1:21" ht="26" x14ac:dyDescent="0.2">
      <c r="A96" s="5" t="s">
        <v>498</v>
      </c>
      <c r="B96" s="5" t="s">
        <v>320</v>
      </c>
      <c r="C96" s="5" t="s">
        <v>242</v>
      </c>
      <c r="D96" s="5">
        <v>60</v>
      </c>
      <c r="E96" s="5" t="s">
        <v>164</v>
      </c>
      <c r="F96" s="5" t="s">
        <v>209</v>
      </c>
      <c r="G96" s="5" t="s">
        <v>300</v>
      </c>
      <c r="H96" s="5" t="s">
        <v>200</v>
      </c>
      <c r="I96" s="6">
        <v>5243000</v>
      </c>
      <c r="J96" s="5" t="s">
        <v>188</v>
      </c>
      <c r="K96" s="5" t="s">
        <v>221</v>
      </c>
      <c r="L96" s="5" t="s">
        <v>392</v>
      </c>
      <c r="M96" s="5" t="s">
        <v>499</v>
      </c>
      <c r="N96" s="5">
        <v>9</v>
      </c>
      <c r="O96" s="5" t="s">
        <v>239</v>
      </c>
      <c r="P96" s="5">
        <v>3</v>
      </c>
      <c r="Q96" s="5" t="s">
        <v>204</v>
      </c>
      <c r="R96" s="5" t="s">
        <v>193</v>
      </c>
      <c r="S96" s="7">
        <v>0.14000000000000001</v>
      </c>
      <c r="T96" s="6">
        <v>3480000</v>
      </c>
      <c r="U96" s="5" t="s">
        <v>194</v>
      </c>
    </row>
    <row r="97" spans="1:21" ht="26" x14ac:dyDescent="0.2">
      <c r="A97" s="8" t="s">
        <v>500</v>
      </c>
      <c r="B97" s="8" t="s">
        <v>320</v>
      </c>
      <c r="C97" s="8" t="s">
        <v>418</v>
      </c>
      <c r="D97" s="8">
        <v>38</v>
      </c>
      <c r="E97" s="8" t="s">
        <v>164</v>
      </c>
      <c r="F97" s="8" t="s">
        <v>209</v>
      </c>
      <c r="G97" s="8" t="s">
        <v>300</v>
      </c>
      <c r="H97" s="8" t="s">
        <v>236</v>
      </c>
      <c r="I97" s="9">
        <v>5368000</v>
      </c>
      <c r="J97" s="8" t="s">
        <v>188</v>
      </c>
      <c r="K97" s="8" t="s">
        <v>201</v>
      </c>
      <c r="L97" s="8" t="s">
        <v>501</v>
      </c>
      <c r="M97" s="8" t="s">
        <v>284</v>
      </c>
      <c r="N97" s="8">
        <v>10</v>
      </c>
      <c r="O97" s="8" t="s">
        <v>157</v>
      </c>
      <c r="P97" s="8">
        <v>4</v>
      </c>
      <c r="Q97" s="8" t="s">
        <v>192</v>
      </c>
      <c r="R97" s="8" t="s">
        <v>205</v>
      </c>
      <c r="S97" s="10">
        <v>0.33</v>
      </c>
      <c r="T97" s="9">
        <v>4259000</v>
      </c>
      <c r="U97" s="8" t="s">
        <v>266</v>
      </c>
    </row>
    <row r="98" spans="1:21" ht="26" x14ac:dyDescent="0.2">
      <c r="A98" s="5" t="s">
        <v>502</v>
      </c>
      <c r="B98" s="5" t="s">
        <v>312</v>
      </c>
      <c r="C98" s="5" t="s">
        <v>294</v>
      </c>
      <c r="D98" s="5">
        <v>47</v>
      </c>
      <c r="E98" s="5" t="s">
        <v>164</v>
      </c>
      <c r="F98" s="5" t="s">
        <v>209</v>
      </c>
      <c r="G98" s="5" t="s">
        <v>235</v>
      </c>
      <c r="H98" s="5" t="s">
        <v>219</v>
      </c>
      <c r="I98" s="6">
        <v>67511000</v>
      </c>
      <c r="J98" s="5" t="s">
        <v>228</v>
      </c>
      <c r="K98" s="5" t="s">
        <v>295</v>
      </c>
      <c r="L98" s="5" t="s">
        <v>190</v>
      </c>
      <c r="M98" s="5" t="s">
        <v>374</v>
      </c>
      <c r="N98" s="5">
        <v>3</v>
      </c>
      <c r="O98" s="5" t="s">
        <v>224</v>
      </c>
      <c r="P98" s="5">
        <v>7</v>
      </c>
      <c r="Q98" s="5" t="s">
        <v>171</v>
      </c>
      <c r="R98" s="5" t="s">
        <v>193</v>
      </c>
      <c r="S98" s="7">
        <v>0.16</v>
      </c>
      <c r="T98" s="6">
        <v>45209000</v>
      </c>
      <c r="U98" s="5" t="s">
        <v>273</v>
      </c>
    </row>
    <row r="99" spans="1:21" ht="26" x14ac:dyDescent="0.2">
      <c r="A99" s="8" t="s">
        <v>503</v>
      </c>
      <c r="B99" s="8" t="s">
        <v>175</v>
      </c>
      <c r="C99" s="8" t="s">
        <v>268</v>
      </c>
      <c r="D99" s="8">
        <v>69</v>
      </c>
      <c r="E99" s="8" t="s">
        <v>164</v>
      </c>
      <c r="F99" s="8" t="s">
        <v>209</v>
      </c>
      <c r="G99" s="8" t="s">
        <v>347</v>
      </c>
      <c r="H99" s="8" t="s">
        <v>277</v>
      </c>
      <c r="I99" s="9">
        <v>5083000</v>
      </c>
      <c r="J99" s="8" t="s">
        <v>188</v>
      </c>
      <c r="K99" s="8" t="s">
        <v>295</v>
      </c>
      <c r="L99" s="8" t="s">
        <v>341</v>
      </c>
      <c r="M99" s="8" t="s">
        <v>504</v>
      </c>
      <c r="N99" s="8">
        <v>5</v>
      </c>
      <c r="O99" s="8" t="s">
        <v>239</v>
      </c>
      <c r="P99" s="8">
        <v>9</v>
      </c>
      <c r="Q99" s="8" t="s">
        <v>171</v>
      </c>
      <c r="R99" s="8" t="s">
        <v>336</v>
      </c>
      <c r="S99" s="10">
        <v>0.03</v>
      </c>
      <c r="T99" s="9">
        <v>3995000</v>
      </c>
      <c r="U99" s="8" t="s">
        <v>231</v>
      </c>
    </row>
    <row r="100" spans="1:21" ht="26" x14ac:dyDescent="0.2">
      <c r="A100" s="5" t="s">
        <v>505</v>
      </c>
      <c r="B100" s="5" t="s">
        <v>356</v>
      </c>
      <c r="C100" s="5" t="s">
        <v>440</v>
      </c>
      <c r="D100" s="5">
        <v>72</v>
      </c>
      <c r="E100" s="5" t="s">
        <v>149</v>
      </c>
      <c r="F100" s="5" t="s">
        <v>209</v>
      </c>
      <c r="G100" s="5" t="s">
        <v>257</v>
      </c>
      <c r="H100" s="5" t="s">
        <v>178</v>
      </c>
      <c r="I100" s="6">
        <v>3141000</v>
      </c>
      <c r="J100" s="5" t="s">
        <v>153</v>
      </c>
      <c r="K100" s="5" t="s">
        <v>179</v>
      </c>
      <c r="L100" s="5" t="s">
        <v>506</v>
      </c>
      <c r="M100" s="5" t="s">
        <v>507</v>
      </c>
      <c r="N100" s="5">
        <v>2</v>
      </c>
      <c r="O100" s="5" t="s">
        <v>191</v>
      </c>
      <c r="P100" s="5">
        <v>2</v>
      </c>
      <c r="Q100" s="5" t="s">
        <v>204</v>
      </c>
      <c r="R100" s="5" t="s">
        <v>205</v>
      </c>
      <c r="S100" s="7">
        <v>0.28000000000000003</v>
      </c>
      <c r="T100" s="6">
        <v>1591000</v>
      </c>
      <c r="U100" s="5" t="s">
        <v>310</v>
      </c>
    </row>
    <row r="101" spans="1:21" ht="26" x14ac:dyDescent="0.2">
      <c r="A101" s="8" t="s">
        <v>508</v>
      </c>
      <c r="B101" s="8" t="s">
        <v>175</v>
      </c>
      <c r="C101" s="8" t="s">
        <v>357</v>
      </c>
      <c r="D101" s="8">
        <v>38</v>
      </c>
      <c r="E101" s="8" t="s">
        <v>164</v>
      </c>
      <c r="F101" s="8" t="s">
        <v>234</v>
      </c>
      <c r="G101" s="8" t="s">
        <v>257</v>
      </c>
      <c r="H101" s="8" t="s">
        <v>200</v>
      </c>
      <c r="I101" s="9">
        <v>9991000</v>
      </c>
      <c r="J101" s="8" t="s">
        <v>188</v>
      </c>
      <c r="K101" s="8" t="s">
        <v>201</v>
      </c>
      <c r="L101" s="8" t="s">
        <v>509</v>
      </c>
      <c r="M101" s="8" t="s">
        <v>401</v>
      </c>
      <c r="N101" s="8">
        <v>3</v>
      </c>
      <c r="O101" s="8" t="s">
        <v>247</v>
      </c>
      <c r="P101" s="8">
        <v>10</v>
      </c>
      <c r="Q101" s="8" t="s">
        <v>171</v>
      </c>
      <c r="R101" s="8" t="s">
        <v>159</v>
      </c>
      <c r="S101" s="10">
        <v>0.52</v>
      </c>
      <c r="T101" s="9">
        <v>6854000</v>
      </c>
      <c r="U101" s="8" t="s">
        <v>160</v>
      </c>
    </row>
    <row r="102" spans="1:21" ht="26" x14ac:dyDescent="0.2">
      <c r="A102" s="5" t="s">
        <v>510</v>
      </c>
      <c r="B102" s="5" t="s">
        <v>286</v>
      </c>
      <c r="C102" s="5" t="s">
        <v>357</v>
      </c>
      <c r="D102" s="5">
        <v>47</v>
      </c>
      <c r="E102" s="5" t="s">
        <v>164</v>
      </c>
      <c r="F102" s="5" t="s">
        <v>217</v>
      </c>
      <c r="G102" s="5" t="s">
        <v>177</v>
      </c>
      <c r="H102" s="5" t="s">
        <v>219</v>
      </c>
      <c r="I102" s="6">
        <v>47659000</v>
      </c>
      <c r="J102" s="5" t="s">
        <v>244</v>
      </c>
      <c r="K102" s="5" t="s">
        <v>221</v>
      </c>
      <c r="L102" s="5" t="s">
        <v>511</v>
      </c>
      <c r="M102" s="5" t="s">
        <v>414</v>
      </c>
      <c r="N102" s="5">
        <v>12</v>
      </c>
      <c r="O102" s="5" t="s">
        <v>247</v>
      </c>
      <c r="P102" s="5">
        <v>7</v>
      </c>
      <c r="Q102" s="5" t="s">
        <v>204</v>
      </c>
      <c r="R102" s="5" t="s">
        <v>205</v>
      </c>
      <c r="S102" s="7">
        <v>0.33</v>
      </c>
      <c r="T102" s="6">
        <v>31495000</v>
      </c>
      <c r="U102" s="5" t="s">
        <v>273</v>
      </c>
    </row>
    <row r="103" spans="1:21" ht="26" x14ac:dyDescent="0.2">
      <c r="A103" s="8" t="s">
        <v>512</v>
      </c>
      <c r="B103" s="8" t="s">
        <v>453</v>
      </c>
      <c r="C103" s="8" t="s">
        <v>233</v>
      </c>
      <c r="D103" s="8">
        <v>59</v>
      </c>
      <c r="E103" s="8" t="s">
        <v>149</v>
      </c>
      <c r="F103" s="8" t="s">
        <v>227</v>
      </c>
      <c r="G103" s="8" t="s">
        <v>235</v>
      </c>
      <c r="H103" s="8" t="s">
        <v>236</v>
      </c>
      <c r="I103" s="9">
        <v>1707000</v>
      </c>
      <c r="J103" s="8" t="s">
        <v>220</v>
      </c>
      <c r="K103" s="8" t="s">
        <v>221</v>
      </c>
      <c r="L103" s="8" t="s">
        <v>354</v>
      </c>
      <c r="M103" s="8" t="s">
        <v>513</v>
      </c>
      <c r="N103" s="8">
        <v>2</v>
      </c>
      <c r="O103" s="8" t="s">
        <v>291</v>
      </c>
      <c r="P103" s="8">
        <v>9</v>
      </c>
      <c r="Q103" s="8" t="s">
        <v>171</v>
      </c>
      <c r="R103" s="8" t="s">
        <v>272</v>
      </c>
      <c r="S103" s="10">
        <v>0.68</v>
      </c>
      <c r="T103" s="9">
        <v>685000</v>
      </c>
      <c r="U103" s="8" t="s">
        <v>266</v>
      </c>
    </row>
    <row r="104" spans="1:21" ht="26" x14ac:dyDescent="0.2">
      <c r="A104" s="5" t="s">
        <v>514</v>
      </c>
      <c r="B104" s="5" t="s">
        <v>346</v>
      </c>
      <c r="C104" s="5" t="s">
        <v>233</v>
      </c>
      <c r="D104" s="5">
        <v>52</v>
      </c>
      <c r="E104" s="5" t="s">
        <v>164</v>
      </c>
      <c r="F104" s="5" t="s">
        <v>150</v>
      </c>
      <c r="G104" s="5" t="s">
        <v>347</v>
      </c>
      <c r="H104" s="5" t="s">
        <v>178</v>
      </c>
      <c r="I104" s="6">
        <v>12031000</v>
      </c>
      <c r="J104" s="5" t="s">
        <v>244</v>
      </c>
      <c r="K104" s="5" t="s">
        <v>179</v>
      </c>
      <c r="L104" s="5" t="s">
        <v>264</v>
      </c>
      <c r="M104" s="5" t="s">
        <v>296</v>
      </c>
      <c r="N104" s="5">
        <v>2</v>
      </c>
      <c r="O104" s="5" t="s">
        <v>170</v>
      </c>
      <c r="P104" s="5">
        <v>7</v>
      </c>
      <c r="Q104" s="5" t="s">
        <v>204</v>
      </c>
      <c r="R104" s="5" t="s">
        <v>193</v>
      </c>
      <c r="S104" s="7">
        <v>0.18</v>
      </c>
      <c r="T104" s="6">
        <v>4436000</v>
      </c>
      <c r="U104" s="5" t="s">
        <v>266</v>
      </c>
    </row>
    <row r="105" spans="1:21" ht="26" x14ac:dyDescent="0.2">
      <c r="A105" s="8" t="s">
        <v>515</v>
      </c>
      <c r="B105" s="8" t="s">
        <v>429</v>
      </c>
      <c r="C105" s="8" t="s">
        <v>357</v>
      </c>
      <c r="D105" s="8">
        <v>65</v>
      </c>
      <c r="E105" s="8" t="s">
        <v>149</v>
      </c>
      <c r="F105" s="8" t="s">
        <v>234</v>
      </c>
      <c r="G105" s="8" t="s">
        <v>177</v>
      </c>
      <c r="H105" s="8" t="s">
        <v>236</v>
      </c>
      <c r="I105" s="9">
        <v>12367000</v>
      </c>
      <c r="J105" s="8" t="s">
        <v>244</v>
      </c>
      <c r="K105" s="8" t="s">
        <v>154</v>
      </c>
      <c r="L105" s="8" t="s">
        <v>506</v>
      </c>
      <c r="M105" s="8" t="s">
        <v>516</v>
      </c>
      <c r="N105" s="8">
        <v>9</v>
      </c>
      <c r="O105" s="8" t="s">
        <v>239</v>
      </c>
      <c r="P105" s="8">
        <v>4</v>
      </c>
      <c r="Q105" s="8" t="s">
        <v>204</v>
      </c>
      <c r="R105" s="8" t="s">
        <v>183</v>
      </c>
      <c r="S105" s="10">
        <v>0.08</v>
      </c>
      <c r="T105" s="9">
        <v>9485000</v>
      </c>
      <c r="U105" s="8" t="s">
        <v>173</v>
      </c>
    </row>
    <row r="106" spans="1:21" ht="26" x14ac:dyDescent="0.2">
      <c r="A106" s="5" t="s">
        <v>517</v>
      </c>
      <c r="B106" s="5" t="s">
        <v>312</v>
      </c>
      <c r="C106" s="5" t="s">
        <v>357</v>
      </c>
      <c r="D106" s="5">
        <v>46</v>
      </c>
      <c r="E106" s="5" t="s">
        <v>164</v>
      </c>
      <c r="F106" s="5" t="s">
        <v>227</v>
      </c>
      <c r="G106" s="5" t="s">
        <v>177</v>
      </c>
      <c r="H106" s="5" t="s">
        <v>251</v>
      </c>
      <c r="I106" s="6">
        <v>305583000</v>
      </c>
      <c r="J106" s="5" t="s">
        <v>228</v>
      </c>
      <c r="K106" s="5" t="s">
        <v>154</v>
      </c>
      <c r="L106" s="5" t="s">
        <v>313</v>
      </c>
      <c r="M106" s="5" t="s">
        <v>518</v>
      </c>
      <c r="N106" s="5">
        <v>11</v>
      </c>
      <c r="O106" s="5" t="s">
        <v>247</v>
      </c>
      <c r="P106" s="5">
        <v>4</v>
      </c>
      <c r="Q106" s="5" t="s">
        <v>204</v>
      </c>
      <c r="R106" s="5" t="s">
        <v>205</v>
      </c>
      <c r="S106" s="7">
        <v>0.33</v>
      </c>
      <c r="T106" s="6">
        <v>108886000</v>
      </c>
      <c r="U106" s="5" t="s">
        <v>254</v>
      </c>
    </row>
    <row r="107" spans="1:21" ht="26" x14ac:dyDescent="0.2">
      <c r="A107" s="8" t="s">
        <v>519</v>
      </c>
      <c r="B107" s="8" t="s">
        <v>307</v>
      </c>
      <c r="C107" s="8" t="s">
        <v>148</v>
      </c>
      <c r="D107" s="8">
        <v>46</v>
      </c>
      <c r="E107" s="8" t="s">
        <v>164</v>
      </c>
      <c r="F107" s="8" t="s">
        <v>150</v>
      </c>
      <c r="G107" s="8" t="s">
        <v>199</v>
      </c>
      <c r="H107" s="8" t="s">
        <v>277</v>
      </c>
      <c r="I107" s="9">
        <v>8786000</v>
      </c>
      <c r="J107" s="8" t="s">
        <v>188</v>
      </c>
      <c r="K107" s="8" t="s">
        <v>167</v>
      </c>
      <c r="L107" s="8" t="s">
        <v>520</v>
      </c>
      <c r="M107" s="8" t="s">
        <v>521</v>
      </c>
      <c r="N107" s="8">
        <v>7</v>
      </c>
      <c r="O107" s="8" t="s">
        <v>291</v>
      </c>
      <c r="P107" s="8">
        <v>3</v>
      </c>
      <c r="Q107" s="8" t="s">
        <v>204</v>
      </c>
      <c r="R107" s="8" t="s">
        <v>272</v>
      </c>
      <c r="S107" s="10">
        <v>0.68</v>
      </c>
      <c r="T107" s="9">
        <v>6948000</v>
      </c>
      <c r="U107" s="8" t="s">
        <v>298</v>
      </c>
    </row>
    <row r="108" spans="1:21" ht="26" x14ac:dyDescent="0.2">
      <c r="A108" s="5" t="s">
        <v>522</v>
      </c>
      <c r="B108" s="5" t="s">
        <v>346</v>
      </c>
      <c r="C108" s="5" t="s">
        <v>256</v>
      </c>
      <c r="D108" s="5">
        <v>35</v>
      </c>
      <c r="E108" s="5" t="s">
        <v>164</v>
      </c>
      <c r="F108" s="5" t="s">
        <v>150</v>
      </c>
      <c r="G108" s="5" t="s">
        <v>300</v>
      </c>
      <c r="H108" s="5" t="s">
        <v>316</v>
      </c>
      <c r="I108" s="6">
        <v>4862000</v>
      </c>
      <c r="J108" s="5" t="s">
        <v>153</v>
      </c>
      <c r="K108" s="5" t="s">
        <v>221</v>
      </c>
      <c r="L108" s="5" t="s">
        <v>506</v>
      </c>
      <c r="M108" s="5" t="s">
        <v>523</v>
      </c>
      <c r="N108" s="5">
        <v>5</v>
      </c>
      <c r="O108" s="5" t="s">
        <v>291</v>
      </c>
      <c r="P108" s="5">
        <v>5</v>
      </c>
      <c r="Q108" s="5" t="s">
        <v>192</v>
      </c>
      <c r="R108" s="5" t="s">
        <v>272</v>
      </c>
      <c r="S108" s="7">
        <v>0.7</v>
      </c>
      <c r="T108" s="6">
        <v>2204000</v>
      </c>
      <c r="U108" s="5" t="s">
        <v>194</v>
      </c>
    </row>
    <row r="109" spans="1:21" ht="26" x14ac:dyDescent="0.2">
      <c r="A109" s="8" t="s">
        <v>524</v>
      </c>
      <c r="B109" s="8" t="s">
        <v>525</v>
      </c>
      <c r="C109" s="8" t="s">
        <v>176</v>
      </c>
      <c r="D109" s="8">
        <v>53</v>
      </c>
      <c r="E109" s="8" t="s">
        <v>164</v>
      </c>
      <c r="F109" s="8" t="s">
        <v>150</v>
      </c>
      <c r="G109" s="8" t="s">
        <v>300</v>
      </c>
      <c r="H109" s="8" t="s">
        <v>200</v>
      </c>
      <c r="I109" s="9">
        <v>1217000</v>
      </c>
      <c r="J109" s="8" t="s">
        <v>220</v>
      </c>
      <c r="K109" s="8" t="s">
        <v>201</v>
      </c>
      <c r="L109" s="8" t="s">
        <v>415</v>
      </c>
      <c r="M109" s="8" t="s">
        <v>395</v>
      </c>
      <c r="N109" s="8">
        <v>12</v>
      </c>
      <c r="O109" s="8" t="s">
        <v>247</v>
      </c>
      <c r="P109" s="8">
        <v>10</v>
      </c>
      <c r="Q109" s="8" t="s">
        <v>158</v>
      </c>
      <c r="R109" s="8" t="s">
        <v>172</v>
      </c>
      <c r="S109" s="10">
        <v>1</v>
      </c>
      <c r="T109" s="9">
        <v>824000</v>
      </c>
      <c r="U109" s="8" t="s">
        <v>206</v>
      </c>
    </row>
    <row r="110" spans="1:21" ht="26" x14ac:dyDescent="0.2">
      <c r="A110" s="5" t="s">
        <v>526</v>
      </c>
      <c r="B110" s="5" t="s">
        <v>175</v>
      </c>
      <c r="C110" s="5" t="s">
        <v>187</v>
      </c>
      <c r="D110" s="5">
        <v>39</v>
      </c>
      <c r="E110" s="5" t="s">
        <v>164</v>
      </c>
      <c r="F110" s="5" t="s">
        <v>227</v>
      </c>
      <c r="G110" s="5" t="s">
        <v>243</v>
      </c>
      <c r="H110" s="5" t="s">
        <v>251</v>
      </c>
      <c r="I110" s="6">
        <v>4709000</v>
      </c>
      <c r="J110" s="5" t="s">
        <v>153</v>
      </c>
      <c r="K110" s="5" t="s">
        <v>179</v>
      </c>
      <c r="L110" s="5" t="s">
        <v>287</v>
      </c>
      <c r="M110" s="5" t="s">
        <v>527</v>
      </c>
      <c r="N110" s="5">
        <v>3</v>
      </c>
      <c r="O110" s="5" t="s">
        <v>291</v>
      </c>
      <c r="P110" s="5">
        <v>10</v>
      </c>
      <c r="Q110" s="5" t="s">
        <v>204</v>
      </c>
      <c r="R110" s="5" t="s">
        <v>193</v>
      </c>
      <c r="S110" s="7">
        <v>0.13</v>
      </c>
      <c r="T110" s="6">
        <v>3101000</v>
      </c>
      <c r="U110" s="5" t="s">
        <v>298</v>
      </c>
    </row>
    <row r="111" spans="1:21" ht="26" x14ac:dyDescent="0.2">
      <c r="A111" s="8" t="s">
        <v>528</v>
      </c>
      <c r="B111" s="8" t="s">
        <v>400</v>
      </c>
      <c r="C111" s="8" t="s">
        <v>268</v>
      </c>
      <c r="D111" s="8">
        <v>63</v>
      </c>
      <c r="E111" s="8" t="s">
        <v>149</v>
      </c>
      <c r="F111" s="8" t="s">
        <v>198</v>
      </c>
      <c r="G111" s="8" t="s">
        <v>333</v>
      </c>
      <c r="H111" s="8" t="s">
        <v>166</v>
      </c>
      <c r="I111" s="9">
        <v>7284000</v>
      </c>
      <c r="J111" s="8" t="s">
        <v>188</v>
      </c>
      <c r="K111" s="8" t="s">
        <v>258</v>
      </c>
      <c r="L111" s="8" t="s">
        <v>189</v>
      </c>
      <c r="M111" s="8" t="s">
        <v>352</v>
      </c>
      <c r="N111" s="8">
        <v>5</v>
      </c>
      <c r="O111" s="8" t="s">
        <v>239</v>
      </c>
      <c r="P111" s="8">
        <v>8</v>
      </c>
      <c r="Q111" s="8" t="s">
        <v>171</v>
      </c>
      <c r="R111" s="8" t="s">
        <v>172</v>
      </c>
      <c r="S111" s="10">
        <v>1</v>
      </c>
      <c r="T111" s="9">
        <v>2979000</v>
      </c>
      <c r="U111" s="8" t="s">
        <v>206</v>
      </c>
    </row>
    <row r="112" spans="1:21" ht="26" x14ac:dyDescent="0.2">
      <c r="A112" s="5" t="s">
        <v>529</v>
      </c>
      <c r="B112" s="5" t="s">
        <v>429</v>
      </c>
      <c r="C112" s="5" t="s">
        <v>187</v>
      </c>
      <c r="D112" s="5">
        <v>39</v>
      </c>
      <c r="E112" s="5" t="s">
        <v>149</v>
      </c>
      <c r="F112" s="5" t="s">
        <v>209</v>
      </c>
      <c r="G112" s="5" t="s">
        <v>165</v>
      </c>
      <c r="H112" s="5" t="s">
        <v>152</v>
      </c>
      <c r="I112" s="6">
        <v>1208000</v>
      </c>
      <c r="J112" s="5" t="s">
        <v>220</v>
      </c>
      <c r="K112" s="5" t="s">
        <v>221</v>
      </c>
      <c r="L112" s="5" t="s">
        <v>530</v>
      </c>
      <c r="M112" s="5" t="s">
        <v>531</v>
      </c>
      <c r="N112" s="5">
        <v>3</v>
      </c>
      <c r="O112" s="5" t="s">
        <v>170</v>
      </c>
      <c r="P112" s="5">
        <v>7</v>
      </c>
      <c r="Q112" s="5" t="s">
        <v>204</v>
      </c>
      <c r="R112" s="5" t="s">
        <v>205</v>
      </c>
      <c r="S112" s="7">
        <v>0.3</v>
      </c>
      <c r="T112" s="6">
        <v>589000</v>
      </c>
      <c r="U112" s="5" t="s">
        <v>184</v>
      </c>
    </row>
    <row r="113" spans="1:21" ht="26" x14ac:dyDescent="0.2">
      <c r="A113" s="8" t="s">
        <v>532</v>
      </c>
      <c r="B113" s="8" t="s">
        <v>275</v>
      </c>
      <c r="C113" s="8" t="s">
        <v>187</v>
      </c>
      <c r="D113" s="8">
        <v>42</v>
      </c>
      <c r="E113" s="8" t="s">
        <v>149</v>
      </c>
      <c r="F113" s="8" t="s">
        <v>150</v>
      </c>
      <c r="G113" s="8" t="s">
        <v>257</v>
      </c>
      <c r="H113" s="8" t="s">
        <v>211</v>
      </c>
      <c r="I113" s="9">
        <v>8639000</v>
      </c>
      <c r="J113" s="8" t="s">
        <v>188</v>
      </c>
      <c r="K113" s="8" t="s">
        <v>179</v>
      </c>
      <c r="L113" s="8" t="s">
        <v>533</v>
      </c>
      <c r="M113" s="8" t="s">
        <v>534</v>
      </c>
      <c r="N113" s="8">
        <v>8</v>
      </c>
      <c r="O113" s="8" t="s">
        <v>170</v>
      </c>
      <c r="P113" s="8">
        <v>10</v>
      </c>
      <c r="Q113" s="8" t="s">
        <v>204</v>
      </c>
      <c r="R113" s="8" t="s">
        <v>172</v>
      </c>
      <c r="S113" s="10">
        <v>0.98</v>
      </c>
      <c r="T113" s="9">
        <v>4581000</v>
      </c>
      <c r="U113" s="8" t="s">
        <v>254</v>
      </c>
    </row>
    <row r="114" spans="1:21" ht="26" x14ac:dyDescent="0.2">
      <c r="A114" s="5" t="s">
        <v>535</v>
      </c>
      <c r="B114" s="5" t="s">
        <v>162</v>
      </c>
      <c r="C114" s="5" t="s">
        <v>176</v>
      </c>
      <c r="D114" s="5">
        <v>37</v>
      </c>
      <c r="E114" s="5" t="s">
        <v>164</v>
      </c>
      <c r="F114" s="5" t="s">
        <v>198</v>
      </c>
      <c r="G114" s="5" t="s">
        <v>235</v>
      </c>
      <c r="H114" s="5" t="s">
        <v>178</v>
      </c>
      <c r="I114" s="6">
        <v>4651000</v>
      </c>
      <c r="J114" s="5" t="s">
        <v>153</v>
      </c>
      <c r="K114" s="5" t="s">
        <v>258</v>
      </c>
      <c r="L114" s="5" t="s">
        <v>536</v>
      </c>
      <c r="M114" s="5" t="s">
        <v>470</v>
      </c>
      <c r="N114" s="5">
        <v>2</v>
      </c>
      <c r="O114" s="5" t="s">
        <v>239</v>
      </c>
      <c r="P114" s="5">
        <v>9</v>
      </c>
      <c r="Q114" s="5" t="s">
        <v>192</v>
      </c>
      <c r="R114" s="5" t="s">
        <v>193</v>
      </c>
      <c r="S114" s="7">
        <v>0.12</v>
      </c>
      <c r="T114" s="6">
        <v>2331000</v>
      </c>
      <c r="U114" s="5" t="s">
        <v>310</v>
      </c>
    </row>
    <row r="115" spans="1:21" ht="26" x14ac:dyDescent="0.2">
      <c r="A115" s="8" t="s">
        <v>537</v>
      </c>
      <c r="B115" s="8" t="s">
        <v>338</v>
      </c>
      <c r="C115" s="8" t="s">
        <v>440</v>
      </c>
      <c r="D115" s="8">
        <v>43</v>
      </c>
      <c r="E115" s="8" t="s">
        <v>149</v>
      </c>
      <c r="F115" s="8" t="s">
        <v>209</v>
      </c>
      <c r="G115" s="8" t="s">
        <v>177</v>
      </c>
      <c r="H115" s="8" t="s">
        <v>200</v>
      </c>
      <c r="I115" s="9">
        <v>4195000</v>
      </c>
      <c r="J115" s="8" t="s">
        <v>153</v>
      </c>
      <c r="K115" s="8" t="s">
        <v>295</v>
      </c>
      <c r="L115" s="8" t="s">
        <v>538</v>
      </c>
      <c r="M115" s="8" t="s">
        <v>539</v>
      </c>
      <c r="N115" s="8">
        <v>5</v>
      </c>
      <c r="O115" s="8" t="s">
        <v>224</v>
      </c>
      <c r="P115" s="8">
        <v>10</v>
      </c>
      <c r="Q115" s="8" t="s">
        <v>158</v>
      </c>
      <c r="R115" s="8" t="s">
        <v>205</v>
      </c>
      <c r="S115" s="10">
        <v>0.28999999999999998</v>
      </c>
      <c r="T115" s="9">
        <v>1386000</v>
      </c>
      <c r="U115" s="8" t="s">
        <v>231</v>
      </c>
    </row>
    <row r="116" spans="1:21" ht="26" x14ac:dyDescent="0.2">
      <c r="A116" s="5" t="s">
        <v>540</v>
      </c>
      <c r="B116" s="5" t="s">
        <v>275</v>
      </c>
      <c r="C116" s="5" t="s">
        <v>250</v>
      </c>
      <c r="D116" s="5">
        <v>70</v>
      </c>
      <c r="E116" s="5" t="s">
        <v>149</v>
      </c>
      <c r="F116" s="5" t="s">
        <v>209</v>
      </c>
      <c r="G116" s="5" t="s">
        <v>199</v>
      </c>
      <c r="H116" s="5" t="s">
        <v>211</v>
      </c>
      <c r="I116" s="6">
        <v>2956000</v>
      </c>
      <c r="J116" s="5" t="s">
        <v>153</v>
      </c>
      <c r="K116" s="5" t="s">
        <v>269</v>
      </c>
      <c r="L116" s="5" t="s">
        <v>541</v>
      </c>
      <c r="M116" s="5" t="s">
        <v>542</v>
      </c>
      <c r="N116" s="5">
        <v>7</v>
      </c>
      <c r="O116" s="5" t="s">
        <v>224</v>
      </c>
      <c r="P116" s="5">
        <v>10</v>
      </c>
      <c r="Q116" s="5" t="s">
        <v>204</v>
      </c>
      <c r="R116" s="5" t="s">
        <v>193</v>
      </c>
      <c r="S116" s="7">
        <v>0.13</v>
      </c>
      <c r="T116" s="6">
        <v>1331000</v>
      </c>
      <c r="U116" s="5" t="s">
        <v>160</v>
      </c>
    </row>
    <row r="117" spans="1:21" ht="26" x14ac:dyDescent="0.2">
      <c r="A117" s="8" t="s">
        <v>543</v>
      </c>
      <c r="B117" s="8" t="s">
        <v>338</v>
      </c>
      <c r="C117" s="8" t="s">
        <v>163</v>
      </c>
      <c r="D117" s="8">
        <v>38</v>
      </c>
      <c r="E117" s="8" t="s">
        <v>149</v>
      </c>
      <c r="F117" s="8" t="s">
        <v>209</v>
      </c>
      <c r="G117" s="8" t="s">
        <v>235</v>
      </c>
      <c r="H117" s="8" t="s">
        <v>219</v>
      </c>
      <c r="I117" s="9">
        <v>6942000</v>
      </c>
      <c r="J117" s="8" t="s">
        <v>188</v>
      </c>
      <c r="K117" s="8" t="s">
        <v>221</v>
      </c>
      <c r="L117" s="8" t="s">
        <v>544</v>
      </c>
      <c r="M117" s="8" t="s">
        <v>308</v>
      </c>
      <c r="N117" s="8">
        <v>2</v>
      </c>
      <c r="O117" s="8" t="s">
        <v>247</v>
      </c>
      <c r="P117" s="8">
        <v>7</v>
      </c>
      <c r="Q117" s="8" t="s">
        <v>192</v>
      </c>
      <c r="R117" s="8" t="s">
        <v>159</v>
      </c>
      <c r="S117" s="10">
        <v>0.53</v>
      </c>
      <c r="T117" s="9">
        <v>2744000</v>
      </c>
      <c r="U117" s="8" t="s">
        <v>273</v>
      </c>
    </row>
    <row r="118" spans="1:21" ht="26" x14ac:dyDescent="0.2">
      <c r="A118" s="5" t="s">
        <v>545</v>
      </c>
      <c r="B118" s="5" t="s">
        <v>307</v>
      </c>
      <c r="C118" s="5" t="s">
        <v>440</v>
      </c>
      <c r="D118" s="5">
        <v>39</v>
      </c>
      <c r="E118" s="5" t="s">
        <v>164</v>
      </c>
      <c r="F118" s="5" t="s">
        <v>150</v>
      </c>
      <c r="G118" s="5" t="s">
        <v>347</v>
      </c>
      <c r="H118" s="5" t="s">
        <v>219</v>
      </c>
      <c r="I118" s="6">
        <v>18356000</v>
      </c>
      <c r="J118" s="5" t="s">
        <v>244</v>
      </c>
      <c r="K118" s="5" t="s">
        <v>295</v>
      </c>
      <c r="L118" s="5" t="s">
        <v>546</v>
      </c>
      <c r="M118" s="5" t="s">
        <v>547</v>
      </c>
      <c r="N118" s="5">
        <v>4</v>
      </c>
      <c r="O118" s="5" t="s">
        <v>157</v>
      </c>
      <c r="P118" s="5">
        <v>9</v>
      </c>
      <c r="Q118" s="5" t="s">
        <v>158</v>
      </c>
      <c r="R118" s="5" t="s">
        <v>272</v>
      </c>
      <c r="S118" s="7">
        <v>0.72</v>
      </c>
      <c r="T118" s="6">
        <v>7384000</v>
      </c>
      <c r="U118" s="5" t="s">
        <v>310</v>
      </c>
    </row>
    <row r="119" spans="1:21" ht="26" x14ac:dyDescent="0.2">
      <c r="A119" s="8" t="s">
        <v>548</v>
      </c>
      <c r="B119" s="8" t="s">
        <v>312</v>
      </c>
      <c r="C119" s="8" t="s">
        <v>282</v>
      </c>
      <c r="D119" s="8">
        <v>59</v>
      </c>
      <c r="E119" s="8" t="s">
        <v>164</v>
      </c>
      <c r="F119" s="8" t="s">
        <v>209</v>
      </c>
      <c r="G119" s="8" t="s">
        <v>210</v>
      </c>
      <c r="H119" s="8" t="s">
        <v>236</v>
      </c>
      <c r="I119" s="9">
        <v>24386000</v>
      </c>
      <c r="J119" s="8" t="s">
        <v>244</v>
      </c>
      <c r="K119" s="8" t="s">
        <v>201</v>
      </c>
      <c r="L119" s="8" t="s">
        <v>549</v>
      </c>
      <c r="M119" s="8" t="s">
        <v>511</v>
      </c>
      <c r="N119" s="8">
        <v>12</v>
      </c>
      <c r="O119" s="8" t="s">
        <v>247</v>
      </c>
      <c r="P119" s="8">
        <v>7</v>
      </c>
      <c r="Q119" s="8" t="s">
        <v>158</v>
      </c>
      <c r="R119" s="8" t="s">
        <v>205</v>
      </c>
      <c r="S119" s="10">
        <v>0.3</v>
      </c>
      <c r="T119" s="9">
        <v>7873000</v>
      </c>
      <c r="U119" s="8" t="s">
        <v>310</v>
      </c>
    </row>
    <row r="120" spans="1:21" ht="26" x14ac:dyDescent="0.2">
      <c r="A120" s="5" t="s">
        <v>550</v>
      </c>
      <c r="B120" s="5" t="s">
        <v>147</v>
      </c>
      <c r="C120" s="5" t="s">
        <v>148</v>
      </c>
      <c r="D120" s="5">
        <v>70</v>
      </c>
      <c r="E120" s="5" t="s">
        <v>149</v>
      </c>
      <c r="F120" s="5" t="s">
        <v>227</v>
      </c>
      <c r="G120" s="5" t="s">
        <v>347</v>
      </c>
      <c r="H120" s="5" t="s">
        <v>211</v>
      </c>
      <c r="I120" s="6">
        <v>17848000</v>
      </c>
      <c r="J120" s="5" t="s">
        <v>244</v>
      </c>
      <c r="K120" s="5" t="s">
        <v>179</v>
      </c>
      <c r="L120" s="5" t="s">
        <v>270</v>
      </c>
      <c r="M120" s="5" t="s">
        <v>551</v>
      </c>
      <c r="N120" s="5">
        <v>4</v>
      </c>
      <c r="O120" s="5" t="s">
        <v>247</v>
      </c>
      <c r="P120" s="5">
        <v>10</v>
      </c>
      <c r="Q120" s="5" t="s">
        <v>171</v>
      </c>
      <c r="R120" s="5" t="s">
        <v>205</v>
      </c>
      <c r="S120" s="7">
        <v>0.33</v>
      </c>
      <c r="T120" s="6">
        <v>9715000</v>
      </c>
      <c r="U120" s="5" t="s">
        <v>160</v>
      </c>
    </row>
    <row r="121" spans="1:21" ht="26" x14ac:dyDescent="0.2">
      <c r="A121" s="8" t="s">
        <v>552</v>
      </c>
      <c r="B121" s="8" t="s">
        <v>226</v>
      </c>
      <c r="C121" s="8" t="s">
        <v>437</v>
      </c>
      <c r="D121" s="8">
        <v>57</v>
      </c>
      <c r="E121" s="8" t="s">
        <v>164</v>
      </c>
      <c r="F121" s="8" t="s">
        <v>150</v>
      </c>
      <c r="G121" s="8" t="s">
        <v>151</v>
      </c>
      <c r="H121" s="8" t="s">
        <v>219</v>
      </c>
      <c r="I121" s="9">
        <v>9584000</v>
      </c>
      <c r="J121" s="8" t="s">
        <v>188</v>
      </c>
      <c r="K121" s="8" t="s">
        <v>258</v>
      </c>
      <c r="L121" s="8" t="s">
        <v>553</v>
      </c>
      <c r="M121" s="8" t="s">
        <v>554</v>
      </c>
      <c r="N121" s="8">
        <v>2</v>
      </c>
      <c r="O121" s="8" t="s">
        <v>239</v>
      </c>
      <c r="P121" s="8">
        <v>2</v>
      </c>
      <c r="Q121" s="8" t="s">
        <v>204</v>
      </c>
      <c r="R121" s="8" t="s">
        <v>193</v>
      </c>
      <c r="S121" s="10">
        <v>0.17</v>
      </c>
      <c r="T121" s="9">
        <v>3984000</v>
      </c>
      <c r="U121" s="8" t="s">
        <v>160</v>
      </c>
    </row>
    <row r="122" spans="1:21" ht="26" x14ac:dyDescent="0.2">
      <c r="A122" s="5" t="s">
        <v>555</v>
      </c>
      <c r="B122" s="5" t="s">
        <v>147</v>
      </c>
      <c r="C122" s="5" t="s">
        <v>197</v>
      </c>
      <c r="D122" s="5">
        <v>67</v>
      </c>
      <c r="E122" s="5" t="s">
        <v>149</v>
      </c>
      <c r="F122" s="5" t="s">
        <v>209</v>
      </c>
      <c r="G122" s="5" t="s">
        <v>165</v>
      </c>
      <c r="H122" s="5" t="s">
        <v>178</v>
      </c>
      <c r="I122" s="6">
        <v>9670000</v>
      </c>
      <c r="J122" s="5" t="s">
        <v>188</v>
      </c>
      <c r="K122" s="5" t="s">
        <v>201</v>
      </c>
      <c r="L122" s="5" t="s">
        <v>556</v>
      </c>
      <c r="M122" s="5" t="s">
        <v>557</v>
      </c>
      <c r="N122" s="5">
        <v>9</v>
      </c>
      <c r="O122" s="5" t="s">
        <v>170</v>
      </c>
      <c r="P122" s="5">
        <v>2</v>
      </c>
      <c r="Q122" s="5" t="s">
        <v>192</v>
      </c>
      <c r="R122" s="5" t="s">
        <v>159</v>
      </c>
      <c r="S122" s="7">
        <v>0.49</v>
      </c>
      <c r="T122" s="6">
        <v>5491000</v>
      </c>
      <c r="U122" s="5" t="s">
        <v>273</v>
      </c>
    </row>
    <row r="123" spans="1:21" ht="26" x14ac:dyDescent="0.2">
      <c r="A123" s="8" t="s">
        <v>558</v>
      </c>
      <c r="B123" s="8" t="s">
        <v>350</v>
      </c>
      <c r="C123" s="8" t="s">
        <v>250</v>
      </c>
      <c r="D123" s="8">
        <v>46</v>
      </c>
      <c r="E123" s="8" t="s">
        <v>149</v>
      </c>
      <c r="F123" s="8" t="s">
        <v>150</v>
      </c>
      <c r="G123" s="8" t="s">
        <v>243</v>
      </c>
      <c r="H123" s="8" t="s">
        <v>219</v>
      </c>
      <c r="I123" s="9">
        <v>17677000</v>
      </c>
      <c r="J123" s="8" t="s">
        <v>244</v>
      </c>
      <c r="K123" s="8" t="s">
        <v>221</v>
      </c>
      <c r="L123" s="8" t="s">
        <v>260</v>
      </c>
      <c r="M123" s="8" t="s">
        <v>415</v>
      </c>
      <c r="N123" s="8">
        <v>7</v>
      </c>
      <c r="O123" s="8" t="s">
        <v>157</v>
      </c>
      <c r="P123" s="8">
        <v>7</v>
      </c>
      <c r="Q123" s="8" t="s">
        <v>204</v>
      </c>
      <c r="R123" s="8" t="s">
        <v>159</v>
      </c>
      <c r="S123" s="10">
        <v>0.48</v>
      </c>
      <c r="T123" s="9">
        <v>14055000</v>
      </c>
      <c r="U123" s="8" t="s">
        <v>310</v>
      </c>
    </row>
    <row r="124" spans="1:21" ht="26" x14ac:dyDescent="0.2">
      <c r="A124" s="5" t="s">
        <v>559</v>
      </c>
      <c r="B124" s="5" t="s">
        <v>307</v>
      </c>
      <c r="C124" s="5" t="s">
        <v>242</v>
      </c>
      <c r="D124" s="5">
        <v>37</v>
      </c>
      <c r="E124" s="5" t="s">
        <v>164</v>
      </c>
      <c r="F124" s="5" t="s">
        <v>150</v>
      </c>
      <c r="G124" s="5" t="s">
        <v>235</v>
      </c>
      <c r="H124" s="5" t="s">
        <v>211</v>
      </c>
      <c r="I124" s="6">
        <v>5281000</v>
      </c>
      <c r="J124" s="5" t="s">
        <v>188</v>
      </c>
      <c r="K124" s="5" t="s">
        <v>258</v>
      </c>
      <c r="L124" s="5" t="s">
        <v>560</v>
      </c>
      <c r="M124" s="5" t="s">
        <v>448</v>
      </c>
      <c r="N124" s="5">
        <v>7</v>
      </c>
      <c r="O124" s="5" t="s">
        <v>291</v>
      </c>
      <c r="P124" s="5">
        <v>3</v>
      </c>
      <c r="Q124" s="5" t="s">
        <v>192</v>
      </c>
      <c r="R124" s="5" t="s">
        <v>193</v>
      </c>
      <c r="S124" s="7">
        <v>0.18</v>
      </c>
      <c r="T124" s="6">
        <v>3412000</v>
      </c>
      <c r="U124" s="5" t="s">
        <v>231</v>
      </c>
    </row>
    <row r="125" spans="1:21" ht="26" x14ac:dyDescent="0.2">
      <c r="A125" s="8" t="s">
        <v>561</v>
      </c>
      <c r="B125" s="8" t="s">
        <v>262</v>
      </c>
      <c r="C125" s="8" t="s">
        <v>440</v>
      </c>
      <c r="D125" s="8">
        <v>39</v>
      </c>
      <c r="E125" s="8" t="s">
        <v>164</v>
      </c>
      <c r="F125" s="8" t="s">
        <v>234</v>
      </c>
      <c r="G125" s="8" t="s">
        <v>177</v>
      </c>
      <c r="H125" s="8" t="s">
        <v>219</v>
      </c>
      <c r="I125" s="9">
        <v>5165000</v>
      </c>
      <c r="J125" s="8" t="s">
        <v>188</v>
      </c>
      <c r="K125" s="8" t="s">
        <v>295</v>
      </c>
      <c r="L125" s="8" t="s">
        <v>511</v>
      </c>
      <c r="M125" s="8" t="s">
        <v>203</v>
      </c>
      <c r="N125" s="8">
        <v>3</v>
      </c>
      <c r="O125" s="8" t="s">
        <v>170</v>
      </c>
      <c r="P125" s="8">
        <v>3</v>
      </c>
      <c r="Q125" s="8" t="s">
        <v>171</v>
      </c>
      <c r="R125" s="8" t="s">
        <v>193</v>
      </c>
      <c r="S125" s="10">
        <v>0.13</v>
      </c>
      <c r="T125" s="9">
        <v>3013000</v>
      </c>
      <c r="U125" s="8" t="s">
        <v>194</v>
      </c>
    </row>
    <row r="126" spans="1:21" ht="26" x14ac:dyDescent="0.2">
      <c r="A126" s="5" t="s">
        <v>562</v>
      </c>
      <c r="B126" s="5" t="s">
        <v>326</v>
      </c>
      <c r="C126" s="5" t="s">
        <v>294</v>
      </c>
      <c r="D126" s="5">
        <v>40</v>
      </c>
      <c r="E126" s="5" t="s">
        <v>164</v>
      </c>
      <c r="F126" s="5" t="s">
        <v>209</v>
      </c>
      <c r="G126" s="5" t="s">
        <v>199</v>
      </c>
      <c r="H126" s="5" t="s">
        <v>251</v>
      </c>
      <c r="I126" s="6">
        <v>154465000</v>
      </c>
      <c r="J126" s="5" t="s">
        <v>228</v>
      </c>
      <c r="K126" s="5" t="s">
        <v>154</v>
      </c>
      <c r="L126" s="5" t="s">
        <v>486</v>
      </c>
      <c r="M126" s="5" t="s">
        <v>253</v>
      </c>
      <c r="N126" s="5">
        <v>6</v>
      </c>
      <c r="O126" s="5" t="s">
        <v>239</v>
      </c>
      <c r="P126" s="5">
        <v>6</v>
      </c>
      <c r="Q126" s="5" t="s">
        <v>204</v>
      </c>
      <c r="R126" s="5" t="s">
        <v>159</v>
      </c>
      <c r="S126" s="7">
        <v>0.49</v>
      </c>
      <c r="T126" s="6">
        <v>89052000</v>
      </c>
      <c r="U126" s="5" t="s">
        <v>194</v>
      </c>
    </row>
    <row r="127" spans="1:21" ht="26" x14ac:dyDescent="0.2">
      <c r="A127" s="8" t="s">
        <v>563</v>
      </c>
      <c r="B127" s="8" t="s">
        <v>186</v>
      </c>
      <c r="C127" s="8" t="s">
        <v>418</v>
      </c>
      <c r="D127" s="8">
        <v>40</v>
      </c>
      <c r="E127" s="8" t="s">
        <v>164</v>
      </c>
      <c r="F127" s="8" t="s">
        <v>234</v>
      </c>
      <c r="G127" s="8" t="s">
        <v>177</v>
      </c>
      <c r="H127" s="8" t="s">
        <v>200</v>
      </c>
      <c r="I127" s="9">
        <v>2246000</v>
      </c>
      <c r="J127" s="8" t="s">
        <v>153</v>
      </c>
      <c r="K127" s="8" t="s">
        <v>167</v>
      </c>
      <c r="L127" s="8" t="s">
        <v>448</v>
      </c>
      <c r="M127" s="8" t="s">
        <v>430</v>
      </c>
      <c r="N127" s="8">
        <v>7</v>
      </c>
      <c r="O127" s="8" t="s">
        <v>291</v>
      </c>
      <c r="P127" s="8">
        <v>7</v>
      </c>
      <c r="Q127" s="8" t="s">
        <v>192</v>
      </c>
      <c r="R127" s="8" t="s">
        <v>265</v>
      </c>
      <c r="S127" s="10">
        <v>0.04</v>
      </c>
      <c r="T127" s="9">
        <v>1173000</v>
      </c>
      <c r="U127" s="8" t="s">
        <v>273</v>
      </c>
    </row>
    <row r="128" spans="1:21" ht="26" x14ac:dyDescent="0.2">
      <c r="A128" s="5" t="s">
        <v>564</v>
      </c>
      <c r="B128" s="5" t="s">
        <v>363</v>
      </c>
      <c r="C128" s="5" t="s">
        <v>242</v>
      </c>
      <c r="D128" s="5">
        <v>46</v>
      </c>
      <c r="E128" s="5" t="s">
        <v>149</v>
      </c>
      <c r="F128" s="5" t="s">
        <v>150</v>
      </c>
      <c r="G128" s="5" t="s">
        <v>257</v>
      </c>
      <c r="H128" s="5" t="s">
        <v>219</v>
      </c>
      <c r="I128" s="6">
        <v>5516000</v>
      </c>
      <c r="J128" s="5" t="s">
        <v>188</v>
      </c>
      <c r="K128" s="5" t="s">
        <v>154</v>
      </c>
      <c r="L128" s="5" t="s">
        <v>318</v>
      </c>
      <c r="M128" s="5" t="s">
        <v>506</v>
      </c>
      <c r="N128" s="5">
        <v>10</v>
      </c>
      <c r="O128" s="5" t="s">
        <v>291</v>
      </c>
      <c r="P128" s="5">
        <v>8</v>
      </c>
      <c r="Q128" s="5" t="s">
        <v>192</v>
      </c>
      <c r="R128" s="5" t="s">
        <v>205</v>
      </c>
      <c r="S128" s="7">
        <v>0.3</v>
      </c>
      <c r="T128" s="6">
        <v>3804000</v>
      </c>
      <c r="U128" s="5" t="s">
        <v>160</v>
      </c>
    </row>
    <row r="129" spans="1:21" ht="26" x14ac:dyDescent="0.2">
      <c r="A129" s="8" t="s">
        <v>565</v>
      </c>
      <c r="B129" s="8" t="s">
        <v>453</v>
      </c>
      <c r="C129" s="8" t="s">
        <v>268</v>
      </c>
      <c r="D129" s="8">
        <v>45</v>
      </c>
      <c r="E129" s="8" t="s">
        <v>149</v>
      </c>
      <c r="F129" s="8" t="s">
        <v>234</v>
      </c>
      <c r="G129" s="8" t="s">
        <v>218</v>
      </c>
      <c r="H129" s="8" t="s">
        <v>166</v>
      </c>
      <c r="I129" s="9">
        <v>20736000</v>
      </c>
      <c r="J129" s="8" t="s">
        <v>244</v>
      </c>
      <c r="K129" s="8" t="s">
        <v>167</v>
      </c>
      <c r="L129" s="8" t="s">
        <v>566</v>
      </c>
      <c r="M129" s="8" t="s">
        <v>567</v>
      </c>
      <c r="N129" s="8">
        <v>5</v>
      </c>
      <c r="O129" s="8" t="s">
        <v>170</v>
      </c>
      <c r="P129" s="8">
        <v>6</v>
      </c>
      <c r="Q129" s="8" t="s">
        <v>204</v>
      </c>
      <c r="R129" s="8" t="s">
        <v>172</v>
      </c>
      <c r="S129" s="10">
        <v>0.99</v>
      </c>
      <c r="T129" s="9">
        <v>8830000</v>
      </c>
      <c r="U129" s="8" t="s">
        <v>310</v>
      </c>
    </row>
    <row r="130" spans="1:21" ht="26" x14ac:dyDescent="0.2">
      <c r="A130" s="5" t="s">
        <v>568</v>
      </c>
      <c r="B130" s="5" t="s">
        <v>286</v>
      </c>
      <c r="C130" s="5" t="s">
        <v>197</v>
      </c>
      <c r="D130" s="5">
        <v>64</v>
      </c>
      <c r="E130" s="5" t="s">
        <v>164</v>
      </c>
      <c r="F130" s="5" t="s">
        <v>150</v>
      </c>
      <c r="G130" s="5" t="s">
        <v>177</v>
      </c>
      <c r="H130" s="5" t="s">
        <v>251</v>
      </c>
      <c r="I130" s="6">
        <v>998000</v>
      </c>
      <c r="J130" s="5" t="s">
        <v>220</v>
      </c>
      <c r="K130" s="5" t="s">
        <v>269</v>
      </c>
      <c r="L130" s="5" t="s">
        <v>407</v>
      </c>
      <c r="M130" s="5" t="s">
        <v>351</v>
      </c>
      <c r="N130" s="5">
        <v>7</v>
      </c>
      <c r="O130" s="5" t="s">
        <v>224</v>
      </c>
      <c r="P130" s="5">
        <v>6</v>
      </c>
      <c r="Q130" s="5" t="s">
        <v>171</v>
      </c>
      <c r="R130" s="5" t="s">
        <v>159</v>
      </c>
      <c r="S130" s="7">
        <v>0.52</v>
      </c>
      <c r="T130" s="6">
        <v>400000</v>
      </c>
      <c r="U130" s="5" t="s">
        <v>292</v>
      </c>
    </row>
    <row r="131" spans="1:21" ht="26" x14ac:dyDescent="0.2">
      <c r="A131" s="8" t="s">
        <v>569</v>
      </c>
      <c r="B131" s="8" t="s">
        <v>429</v>
      </c>
      <c r="C131" s="8" t="s">
        <v>276</v>
      </c>
      <c r="D131" s="8">
        <v>53</v>
      </c>
      <c r="E131" s="8" t="s">
        <v>149</v>
      </c>
      <c r="F131" s="8" t="s">
        <v>234</v>
      </c>
      <c r="G131" s="8" t="s">
        <v>210</v>
      </c>
      <c r="H131" s="8" t="s">
        <v>316</v>
      </c>
      <c r="I131" s="9">
        <v>1673000</v>
      </c>
      <c r="J131" s="8" t="s">
        <v>220</v>
      </c>
      <c r="K131" s="8" t="s">
        <v>295</v>
      </c>
      <c r="L131" s="8" t="s">
        <v>501</v>
      </c>
      <c r="M131" s="8" t="s">
        <v>284</v>
      </c>
      <c r="N131" s="8">
        <v>7</v>
      </c>
      <c r="O131" s="8" t="s">
        <v>291</v>
      </c>
      <c r="P131" s="8">
        <v>3</v>
      </c>
      <c r="Q131" s="8" t="s">
        <v>158</v>
      </c>
      <c r="R131" s="8" t="s">
        <v>159</v>
      </c>
      <c r="S131" s="10">
        <v>0.51</v>
      </c>
      <c r="T131" s="9">
        <v>652000</v>
      </c>
      <c r="U131" s="8" t="s">
        <v>266</v>
      </c>
    </row>
    <row r="132" spans="1:21" ht="26" x14ac:dyDescent="0.2">
      <c r="A132" s="5" t="s">
        <v>570</v>
      </c>
      <c r="B132" s="5" t="s">
        <v>356</v>
      </c>
      <c r="C132" s="5" t="s">
        <v>163</v>
      </c>
      <c r="D132" s="5">
        <v>48</v>
      </c>
      <c r="E132" s="5" t="s">
        <v>149</v>
      </c>
      <c r="F132" s="5" t="s">
        <v>150</v>
      </c>
      <c r="G132" s="5" t="s">
        <v>177</v>
      </c>
      <c r="H132" s="5" t="s">
        <v>152</v>
      </c>
      <c r="I132" s="6">
        <v>4387000</v>
      </c>
      <c r="J132" s="5" t="s">
        <v>153</v>
      </c>
      <c r="K132" s="5" t="s">
        <v>269</v>
      </c>
      <c r="L132" s="5" t="s">
        <v>467</v>
      </c>
      <c r="M132" s="5" t="s">
        <v>358</v>
      </c>
      <c r="N132" s="5">
        <v>5</v>
      </c>
      <c r="O132" s="5" t="s">
        <v>191</v>
      </c>
      <c r="P132" s="5">
        <v>6</v>
      </c>
      <c r="Q132" s="5" t="s">
        <v>158</v>
      </c>
      <c r="R132" s="5" t="s">
        <v>272</v>
      </c>
      <c r="S132" s="7">
        <v>0.73</v>
      </c>
      <c r="T132" s="6">
        <v>2143000</v>
      </c>
      <c r="U132" s="5" t="s">
        <v>298</v>
      </c>
    </row>
    <row r="133" spans="1:21" ht="26" x14ac:dyDescent="0.2">
      <c r="A133" s="8" t="s">
        <v>571</v>
      </c>
      <c r="B133" s="8" t="s">
        <v>286</v>
      </c>
      <c r="C133" s="8" t="s">
        <v>418</v>
      </c>
      <c r="D133" s="8">
        <v>69</v>
      </c>
      <c r="E133" s="8" t="s">
        <v>164</v>
      </c>
      <c r="F133" s="8" t="s">
        <v>209</v>
      </c>
      <c r="G133" s="8" t="s">
        <v>151</v>
      </c>
      <c r="H133" s="8" t="s">
        <v>211</v>
      </c>
      <c r="I133" s="9">
        <v>8954000</v>
      </c>
      <c r="J133" s="8" t="s">
        <v>188</v>
      </c>
      <c r="K133" s="8" t="s">
        <v>295</v>
      </c>
      <c r="L133" s="8" t="s">
        <v>458</v>
      </c>
      <c r="M133" s="8" t="s">
        <v>572</v>
      </c>
      <c r="N133" s="8">
        <v>4</v>
      </c>
      <c r="O133" s="8" t="s">
        <v>291</v>
      </c>
      <c r="P133" s="8">
        <v>4</v>
      </c>
      <c r="Q133" s="8" t="s">
        <v>192</v>
      </c>
      <c r="R133" s="8" t="s">
        <v>159</v>
      </c>
      <c r="S133" s="10">
        <v>0.52</v>
      </c>
      <c r="T133" s="9">
        <v>5719000</v>
      </c>
      <c r="U133" s="8" t="s">
        <v>194</v>
      </c>
    </row>
    <row r="134" spans="1:21" ht="26" x14ac:dyDescent="0.2">
      <c r="A134" s="5" t="s">
        <v>573</v>
      </c>
      <c r="B134" s="5" t="s">
        <v>312</v>
      </c>
      <c r="C134" s="5" t="s">
        <v>250</v>
      </c>
      <c r="D134" s="5">
        <v>41</v>
      </c>
      <c r="E134" s="5" t="s">
        <v>164</v>
      </c>
      <c r="F134" s="5" t="s">
        <v>150</v>
      </c>
      <c r="G134" s="5" t="s">
        <v>177</v>
      </c>
      <c r="H134" s="5" t="s">
        <v>200</v>
      </c>
      <c r="I134" s="6">
        <v>7594000</v>
      </c>
      <c r="J134" s="5" t="s">
        <v>188</v>
      </c>
      <c r="K134" s="5" t="s">
        <v>179</v>
      </c>
      <c r="L134" s="5" t="s">
        <v>415</v>
      </c>
      <c r="M134" s="5" t="s">
        <v>488</v>
      </c>
      <c r="N134" s="5">
        <v>8</v>
      </c>
      <c r="O134" s="5" t="s">
        <v>224</v>
      </c>
      <c r="P134" s="5">
        <v>7</v>
      </c>
      <c r="Q134" s="5" t="s">
        <v>192</v>
      </c>
      <c r="R134" s="5" t="s">
        <v>159</v>
      </c>
      <c r="S134" s="7">
        <v>0.49</v>
      </c>
      <c r="T134" s="6">
        <v>3858000</v>
      </c>
      <c r="U134" s="5" t="s">
        <v>206</v>
      </c>
    </row>
    <row r="135" spans="1:21" ht="26" x14ac:dyDescent="0.2">
      <c r="A135" s="8" t="s">
        <v>574</v>
      </c>
      <c r="B135" s="8" t="s">
        <v>208</v>
      </c>
      <c r="C135" s="8" t="s">
        <v>294</v>
      </c>
      <c r="D135" s="8">
        <v>57</v>
      </c>
      <c r="E135" s="8" t="s">
        <v>149</v>
      </c>
      <c r="F135" s="8" t="s">
        <v>150</v>
      </c>
      <c r="G135" s="8" t="s">
        <v>333</v>
      </c>
      <c r="H135" s="8" t="s">
        <v>200</v>
      </c>
      <c r="I135" s="9">
        <v>6742000</v>
      </c>
      <c r="J135" s="8" t="s">
        <v>188</v>
      </c>
      <c r="K135" s="8" t="s">
        <v>154</v>
      </c>
      <c r="L135" s="8" t="s">
        <v>575</v>
      </c>
      <c r="M135" s="8" t="s">
        <v>576</v>
      </c>
      <c r="N135" s="8">
        <v>2</v>
      </c>
      <c r="O135" s="8" t="s">
        <v>182</v>
      </c>
      <c r="P135" s="8">
        <v>2</v>
      </c>
      <c r="Q135" s="8" t="s">
        <v>192</v>
      </c>
      <c r="R135" s="8" t="s">
        <v>265</v>
      </c>
      <c r="S135" s="10">
        <v>0.04</v>
      </c>
      <c r="T135" s="9">
        <v>4207000</v>
      </c>
      <c r="U135" s="8" t="s">
        <v>184</v>
      </c>
    </row>
    <row r="136" spans="1:21" ht="26" x14ac:dyDescent="0.2">
      <c r="A136" s="5" t="s">
        <v>577</v>
      </c>
      <c r="B136" s="5" t="s">
        <v>400</v>
      </c>
      <c r="C136" s="5" t="s">
        <v>256</v>
      </c>
      <c r="D136" s="5">
        <v>68</v>
      </c>
      <c r="E136" s="5" t="s">
        <v>149</v>
      </c>
      <c r="F136" s="5" t="s">
        <v>150</v>
      </c>
      <c r="G136" s="5" t="s">
        <v>218</v>
      </c>
      <c r="H136" s="5" t="s">
        <v>236</v>
      </c>
      <c r="I136" s="6">
        <v>9792000</v>
      </c>
      <c r="J136" s="5" t="s">
        <v>188</v>
      </c>
      <c r="K136" s="5" t="s">
        <v>179</v>
      </c>
      <c r="L136" s="5" t="s">
        <v>578</v>
      </c>
      <c r="M136" s="5" t="s">
        <v>579</v>
      </c>
      <c r="N136" s="5">
        <v>11</v>
      </c>
      <c r="O136" s="5" t="s">
        <v>170</v>
      </c>
      <c r="P136" s="5">
        <v>8</v>
      </c>
      <c r="Q136" s="5" t="s">
        <v>192</v>
      </c>
      <c r="R136" s="5" t="s">
        <v>272</v>
      </c>
      <c r="S136" s="7">
        <v>0.68</v>
      </c>
      <c r="T136" s="6">
        <v>5139000</v>
      </c>
      <c r="U136" s="5" t="s">
        <v>194</v>
      </c>
    </row>
    <row r="137" spans="1:21" ht="26" x14ac:dyDescent="0.2">
      <c r="A137" s="8" t="s">
        <v>580</v>
      </c>
      <c r="B137" s="8" t="s">
        <v>320</v>
      </c>
      <c r="C137" s="8" t="s">
        <v>197</v>
      </c>
      <c r="D137" s="8">
        <v>48</v>
      </c>
      <c r="E137" s="8" t="s">
        <v>164</v>
      </c>
      <c r="F137" s="8" t="s">
        <v>150</v>
      </c>
      <c r="G137" s="8" t="s">
        <v>151</v>
      </c>
      <c r="H137" s="8" t="s">
        <v>152</v>
      </c>
      <c r="I137" s="9">
        <v>8998000</v>
      </c>
      <c r="J137" s="8" t="s">
        <v>188</v>
      </c>
      <c r="K137" s="8" t="s">
        <v>167</v>
      </c>
      <c r="L137" s="8" t="s">
        <v>581</v>
      </c>
      <c r="M137" s="8" t="s">
        <v>169</v>
      </c>
      <c r="N137" s="8">
        <v>8</v>
      </c>
      <c r="O137" s="8" t="s">
        <v>157</v>
      </c>
      <c r="P137" s="8">
        <v>6</v>
      </c>
      <c r="Q137" s="8" t="s">
        <v>204</v>
      </c>
      <c r="R137" s="8" t="s">
        <v>159</v>
      </c>
      <c r="S137" s="10">
        <v>0.52</v>
      </c>
      <c r="T137" s="9">
        <v>4109000</v>
      </c>
      <c r="U137" s="8" t="s">
        <v>194</v>
      </c>
    </row>
    <row r="138" spans="1:21" ht="26" x14ac:dyDescent="0.2">
      <c r="A138" s="5" t="s">
        <v>582</v>
      </c>
      <c r="B138" s="5" t="s">
        <v>286</v>
      </c>
      <c r="C138" s="5" t="s">
        <v>176</v>
      </c>
      <c r="D138" s="5">
        <v>57</v>
      </c>
      <c r="E138" s="5" t="s">
        <v>164</v>
      </c>
      <c r="F138" s="5" t="s">
        <v>150</v>
      </c>
      <c r="G138" s="5" t="s">
        <v>333</v>
      </c>
      <c r="H138" s="5" t="s">
        <v>178</v>
      </c>
      <c r="I138" s="6">
        <v>36944000</v>
      </c>
      <c r="J138" s="5" t="s">
        <v>244</v>
      </c>
      <c r="K138" s="5" t="s">
        <v>221</v>
      </c>
      <c r="L138" s="5" t="s">
        <v>458</v>
      </c>
      <c r="M138" s="5" t="s">
        <v>583</v>
      </c>
      <c r="N138" s="5">
        <v>3</v>
      </c>
      <c r="O138" s="5" t="s">
        <v>291</v>
      </c>
      <c r="P138" s="5">
        <v>3</v>
      </c>
      <c r="Q138" s="5" t="s">
        <v>158</v>
      </c>
      <c r="R138" s="5" t="s">
        <v>205</v>
      </c>
      <c r="S138" s="7">
        <v>0.28000000000000003</v>
      </c>
      <c r="T138" s="6">
        <v>17979000</v>
      </c>
      <c r="U138" s="5" t="s">
        <v>254</v>
      </c>
    </row>
    <row r="139" spans="1:21" ht="26" x14ac:dyDescent="0.2">
      <c r="A139" s="8" t="s">
        <v>584</v>
      </c>
      <c r="B139" s="8" t="s">
        <v>326</v>
      </c>
      <c r="C139" s="8" t="s">
        <v>294</v>
      </c>
      <c r="D139" s="8">
        <v>71</v>
      </c>
      <c r="E139" s="8" t="s">
        <v>164</v>
      </c>
      <c r="F139" s="8" t="s">
        <v>150</v>
      </c>
      <c r="G139" s="8" t="s">
        <v>218</v>
      </c>
      <c r="H139" s="8" t="s">
        <v>316</v>
      </c>
      <c r="I139" s="9">
        <v>8467000</v>
      </c>
      <c r="J139" s="8" t="s">
        <v>188</v>
      </c>
      <c r="K139" s="8" t="s">
        <v>167</v>
      </c>
      <c r="L139" s="8" t="s">
        <v>566</v>
      </c>
      <c r="M139" s="8" t="s">
        <v>259</v>
      </c>
      <c r="N139" s="8">
        <v>5</v>
      </c>
      <c r="O139" s="8" t="s">
        <v>224</v>
      </c>
      <c r="P139" s="8">
        <v>4</v>
      </c>
      <c r="Q139" s="8" t="s">
        <v>171</v>
      </c>
      <c r="R139" s="8" t="s">
        <v>172</v>
      </c>
      <c r="S139" s="10">
        <v>1</v>
      </c>
      <c r="T139" s="9">
        <v>2767000</v>
      </c>
      <c r="U139" s="8" t="s">
        <v>292</v>
      </c>
    </row>
    <row r="140" spans="1:21" ht="26" x14ac:dyDescent="0.2">
      <c r="A140" s="5" t="s">
        <v>585</v>
      </c>
      <c r="B140" s="5" t="s">
        <v>215</v>
      </c>
      <c r="C140" s="5" t="s">
        <v>294</v>
      </c>
      <c r="D140" s="5">
        <v>47</v>
      </c>
      <c r="E140" s="5" t="s">
        <v>149</v>
      </c>
      <c r="F140" s="5" t="s">
        <v>198</v>
      </c>
      <c r="G140" s="5" t="s">
        <v>257</v>
      </c>
      <c r="H140" s="5" t="s">
        <v>219</v>
      </c>
      <c r="I140" s="6">
        <v>3227000</v>
      </c>
      <c r="J140" s="5" t="s">
        <v>153</v>
      </c>
      <c r="K140" s="5" t="s">
        <v>201</v>
      </c>
      <c r="L140" s="5" t="s">
        <v>364</v>
      </c>
      <c r="M140" s="5" t="s">
        <v>499</v>
      </c>
      <c r="N140" s="5">
        <v>3</v>
      </c>
      <c r="O140" s="5" t="s">
        <v>157</v>
      </c>
      <c r="P140" s="5">
        <v>2</v>
      </c>
      <c r="Q140" s="5" t="s">
        <v>158</v>
      </c>
      <c r="R140" s="5" t="s">
        <v>205</v>
      </c>
      <c r="S140" s="7">
        <v>0.28999999999999998</v>
      </c>
      <c r="T140" s="6">
        <v>1331000</v>
      </c>
      <c r="U140" s="5" t="s">
        <v>273</v>
      </c>
    </row>
    <row r="141" spans="1:21" ht="26" x14ac:dyDescent="0.2">
      <c r="A141" s="8" t="s">
        <v>586</v>
      </c>
      <c r="B141" s="8" t="s">
        <v>338</v>
      </c>
      <c r="C141" s="8" t="s">
        <v>163</v>
      </c>
      <c r="D141" s="8">
        <v>71</v>
      </c>
      <c r="E141" s="8" t="s">
        <v>149</v>
      </c>
      <c r="F141" s="8" t="s">
        <v>234</v>
      </c>
      <c r="G141" s="8" t="s">
        <v>333</v>
      </c>
      <c r="H141" s="8" t="s">
        <v>219</v>
      </c>
      <c r="I141" s="9">
        <v>7864000</v>
      </c>
      <c r="J141" s="8" t="s">
        <v>188</v>
      </c>
      <c r="K141" s="8" t="s">
        <v>221</v>
      </c>
      <c r="L141" s="8" t="s">
        <v>335</v>
      </c>
      <c r="M141" s="8" t="s">
        <v>441</v>
      </c>
      <c r="N141" s="8">
        <v>1</v>
      </c>
      <c r="O141" s="8" t="s">
        <v>247</v>
      </c>
      <c r="P141" s="8">
        <v>10</v>
      </c>
      <c r="Q141" s="8" t="s">
        <v>158</v>
      </c>
      <c r="R141" s="8" t="s">
        <v>336</v>
      </c>
      <c r="S141" s="10">
        <v>0</v>
      </c>
      <c r="T141" s="9">
        <v>5253000</v>
      </c>
      <c r="U141" s="8" t="s">
        <v>184</v>
      </c>
    </row>
    <row r="142" spans="1:21" ht="26" x14ac:dyDescent="0.2">
      <c r="A142" s="5" t="s">
        <v>587</v>
      </c>
      <c r="B142" s="5" t="s">
        <v>384</v>
      </c>
      <c r="C142" s="5" t="s">
        <v>440</v>
      </c>
      <c r="D142" s="5">
        <v>63</v>
      </c>
      <c r="E142" s="5" t="s">
        <v>149</v>
      </c>
      <c r="F142" s="5" t="s">
        <v>150</v>
      </c>
      <c r="G142" s="5" t="s">
        <v>243</v>
      </c>
      <c r="H142" s="5" t="s">
        <v>316</v>
      </c>
      <c r="I142" s="6">
        <v>2352000</v>
      </c>
      <c r="J142" s="5" t="s">
        <v>153</v>
      </c>
      <c r="K142" s="5" t="s">
        <v>179</v>
      </c>
      <c r="L142" s="5" t="s">
        <v>518</v>
      </c>
      <c r="M142" s="5" t="s">
        <v>330</v>
      </c>
      <c r="N142" s="5">
        <v>12</v>
      </c>
      <c r="O142" s="5" t="s">
        <v>170</v>
      </c>
      <c r="P142" s="5">
        <v>4</v>
      </c>
      <c r="Q142" s="5" t="s">
        <v>158</v>
      </c>
      <c r="R142" s="5" t="s">
        <v>172</v>
      </c>
      <c r="S142" s="7">
        <v>1</v>
      </c>
      <c r="T142" s="6">
        <v>949000</v>
      </c>
      <c r="U142" s="5" t="s">
        <v>173</v>
      </c>
    </row>
    <row r="143" spans="1:21" ht="26" x14ac:dyDescent="0.2">
      <c r="A143" s="8" t="s">
        <v>588</v>
      </c>
      <c r="B143" s="8" t="s">
        <v>175</v>
      </c>
      <c r="C143" s="8" t="s">
        <v>148</v>
      </c>
      <c r="D143" s="8">
        <v>69</v>
      </c>
      <c r="E143" s="8" t="s">
        <v>164</v>
      </c>
      <c r="F143" s="8" t="s">
        <v>150</v>
      </c>
      <c r="G143" s="8" t="s">
        <v>151</v>
      </c>
      <c r="H143" s="8" t="s">
        <v>277</v>
      </c>
      <c r="I143" s="9">
        <v>20694000</v>
      </c>
      <c r="J143" s="8" t="s">
        <v>244</v>
      </c>
      <c r="K143" s="8" t="s">
        <v>154</v>
      </c>
      <c r="L143" s="8" t="s">
        <v>446</v>
      </c>
      <c r="M143" s="8" t="s">
        <v>589</v>
      </c>
      <c r="N143" s="8">
        <v>5</v>
      </c>
      <c r="O143" s="8" t="s">
        <v>224</v>
      </c>
      <c r="P143" s="8">
        <v>4</v>
      </c>
      <c r="Q143" s="8" t="s">
        <v>158</v>
      </c>
      <c r="R143" s="8" t="s">
        <v>193</v>
      </c>
      <c r="S143" s="10">
        <v>0.14000000000000001</v>
      </c>
      <c r="T143" s="9">
        <v>14781000</v>
      </c>
      <c r="U143" s="8" t="s">
        <v>184</v>
      </c>
    </row>
    <row r="144" spans="1:21" ht="26" x14ac:dyDescent="0.2">
      <c r="A144" s="5" t="s">
        <v>590</v>
      </c>
      <c r="B144" s="5" t="s">
        <v>226</v>
      </c>
      <c r="C144" s="5" t="s">
        <v>294</v>
      </c>
      <c r="D144" s="5">
        <v>71</v>
      </c>
      <c r="E144" s="5" t="s">
        <v>164</v>
      </c>
      <c r="F144" s="5" t="s">
        <v>209</v>
      </c>
      <c r="G144" s="5" t="s">
        <v>210</v>
      </c>
      <c r="H144" s="5" t="s">
        <v>211</v>
      </c>
      <c r="I144" s="6">
        <v>13021000</v>
      </c>
      <c r="J144" s="5" t="s">
        <v>244</v>
      </c>
      <c r="K144" s="5" t="s">
        <v>154</v>
      </c>
      <c r="L144" s="5" t="s">
        <v>499</v>
      </c>
      <c r="M144" s="5" t="s">
        <v>591</v>
      </c>
      <c r="N144" s="5">
        <v>5</v>
      </c>
      <c r="O144" s="5" t="s">
        <v>291</v>
      </c>
      <c r="P144" s="5">
        <v>9</v>
      </c>
      <c r="Q144" s="5" t="s">
        <v>204</v>
      </c>
      <c r="R144" s="5" t="s">
        <v>205</v>
      </c>
      <c r="S144" s="7">
        <v>0.27</v>
      </c>
      <c r="T144" s="6">
        <v>9563000</v>
      </c>
      <c r="U144" s="5" t="s">
        <v>160</v>
      </c>
    </row>
    <row r="145" spans="1:21" ht="26" x14ac:dyDescent="0.2">
      <c r="A145" s="8" t="s">
        <v>592</v>
      </c>
      <c r="B145" s="8" t="s">
        <v>356</v>
      </c>
      <c r="C145" s="8" t="s">
        <v>163</v>
      </c>
      <c r="D145" s="8">
        <v>57</v>
      </c>
      <c r="E145" s="8" t="s">
        <v>149</v>
      </c>
      <c r="F145" s="8" t="s">
        <v>198</v>
      </c>
      <c r="G145" s="8" t="s">
        <v>257</v>
      </c>
      <c r="H145" s="8" t="s">
        <v>211</v>
      </c>
      <c r="I145" s="9">
        <v>27186000</v>
      </c>
      <c r="J145" s="8" t="s">
        <v>244</v>
      </c>
      <c r="K145" s="8" t="s">
        <v>179</v>
      </c>
      <c r="L145" s="8" t="s">
        <v>593</v>
      </c>
      <c r="M145" s="8" t="s">
        <v>388</v>
      </c>
      <c r="N145" s="8">
        <v>5</v>
      </c>
      <c r="O145" s="8" t="s">
        <v>291</v>
      </c>
      <c r="P145" s="8">
        <v>10</v>
      </c>
      <c r="Q145" s="8" t="s">
        <v>158</v>
      </c>
      <c r="R145" s="8" t="s">
        <v>159</v>
      </c>
      <c r="S145" s="10">
        <v>0.5</v>
      </c>
      <c r="T145" s="9">
        <v>18871000</v>
      </c>
      <c r="U145" s="8" t="s">
        <v>184</v>
      </c>
    </row>
    <row r="146" spans="1:21" ht="26" x14ac:dyDescent="0.2">
      <c r="A146" s="5" t="s">
        <v>594</v>
      </c>
      <c r="B146" s="5" t="s">
        <v>147</v>
      </c>
      <c r="C146" s="5" t="s">
        <v>176</v>
      </c>
      <c r="D146" s="5">
        <v>64</v>
      </c>
      <c r="E146" s="5" t="s">
        <v>149</v>
      </c>
      <c r="F146" s="5" t="s">
        <v>150</v>
      </c>
      <c r="G146" s="5" t="s">
        <v>218</v>
      </c>
      <c r="H146" s="5" t="s">
        <v>316</v>
      </c>
      <c r="I146" s="6">
        <v>9959000</v>
      </c>
      <c r="J146" s="5" t="s">
        <v>188</v>
      </c>
      <c r="K146" s="5" t="s">
        <v>269</v>
      </c>
      <c r="L146" s="5" t="s">
        <v>245</v>
      </c>
      <c r="M146" s="5" t="s">
        <v>378</v>
      </c>
      <c r="N146" s="5">
        <v>5</v>
      </c>
      <c r="O146" s="5" t="s">
        <v>224</v>
      </c>
      <c r="P146" s="5">
        <v>6</v>
      </c>
      <c r="Q146" s="5" t="s">
        <v>192</v>
      </c>
      <c r="R146" s="5" t="s">
        <v>272</v>
      </c>
      <c r="S146" s="7">
        <v>0.69</v>
      </c>
      <c r="T146" s="6">
        <v>3398000</v>
      </c>
      <c r="U146" s="5" t="s">
        <v>184</v>
      </c>
    </row>
    <row r="147" spans="1:21" ht="26" x14ac:dyDescent="0.2">
      <c r="A147" s="8" t="s">
        <v>595</v>
      </c>
      <c r="B147" s="8" t="s">
        <v>147</v>
      </c>
      <c r="C147" s="8" t="s">
        <v>418</v>
      </c>
      <c r="D147" s="8">
        <v>54</v>
      </c>
      <c r="E147" s="8" t="s">
        <v>149</v>
      </c>
      <c r="F147" s="8" t="s">
        <v>234</v>
      </c>
      <c r="G147" s="8" t="s">
        <v>300</v>
      </c>
      <c r="H147" s="8" t="s">
        <v>211</v>
      </c>
      <c r="I147" s="9">
        <v>4111000</v>
      </c>
      <c r="J147" s="8" t="s">
        <v>153</v>
      </c>
      <c r="K147" s="8" t="s">
        <v>258</v>
      </c>
      <c r="L147" s="8" t="s">
        <v>478</v>
      </c>
      <c r="M147" s="8" t="s">
        <v>317</v>
      </c>
      <c r="N147" s="8">
        <v>3</v>
      </c>
      <c r="O147" s="8" t="s">
        <v>191</v>
      </c>
      <c r="P147" s="8">
        <v>10</v>
      </c>
      <c r="Q147" s="8" t="s">
        <v>204</v>
      </c>
      <c r="R147" s="8" t="s">
        <v>265</v>
      </c>
      <c r="S147" s="10">
        <v>7.0000000000000007E-2</v>
      </c>
      <c r="T147" s="9">
        <v>1940000</v>
      </c>
      <c r="U147" s="8" t="s">
        <v>206</v>
      </c>
    </row>
    <row r="148" spans="1:21" ht="26" x14ac:dyDescent="0.2">
      <c r="A148" s="5" t="s">
        <v>596</v>
      </c>
      <c r="B148" s="5" t="s">
        <v>525</v>
      </c>
      <c r="C148" s="5" t="s">
        <v>294</v>
      </c>
      <c r="D148" s="5">
        <v>65</v>
      </c>
      <c r="E148" s="5" t="s">
        <v>164</v>
      </c>
      <c r="F148" s="5" t="s">
        <v>150</v>
      </c>
      <c r="G148" s="5" t="s">
        <v>235</v>
      </c>
      <c r="H148" s="5" t="s">
        <v>152</v>
      </c>
      <c r="I148" s="6">
        <v>2307000</v>
      </c>
      <c r="J148" s="5" t="s">
        <v>153</v>
      </c>
      <c r="K148" s="5" t="s">
        <v>295</v>
      </c>
      <c r="L148" s="5" t="s">
        <v>283</v>
      </c>
      <c r="M148" s="5" t="s">
        <v>581</v>
      </c>
      <c r="N148" s="5">
        <v>7</v>
      </c>
      <c r="O148" s="5" t="s">
        <v>224</v>
      </c>
      <c r="P148" s="5">
        <v>4</v>
      </c>
      <c r="Q148" s="5" t="s">
        <v>192</v>
      </c>
      <c r="R148" s="5" t="s">
        <v>159</v>
      </c>
      <c r="S148" s="7">
        <v>0.47</v>
      </c>
      <c r="T148" s="6">
        <v>1396000</v>
      </c>
      <c r="U148" s="5" t="s">
        <v>254</v>
      </c>
    </row>
    <row r="149" spans="1:21" ht="26" x14ac:dyDescent="0.2">
      <c r="A149" s="8" t="s">
        <v>597</v>
      </c>
      <c r="B149" s="8" t="s">
        <v>249</v>
      </c>
      <c r="C149" s="8" t="s">
        <v>197</v>
      </c>
      <c r="D149" s="8">
        <v>44</v>
      </c>
      <c r="E149" s="8" t="s">
        <v>164</v>
      </c>
      <c r="F149" s="8" t="s">
        <v>227</v>
      </c>
      <c r="G149" s="8" t="s">
        <v>347</v>
      </c>
      <c r="H149" s="8" t="s">
        <v>316</v>
      </c>
      <c r="I149" s="9">
        <v>2260000</v>
      </c>
      <c r="J149" s="8" t="s">
        <v>153</v>
      </c>
      <c r="K149" s="8" t="s">
        <v>154</v>
      </c>
      <c r="L149" s="8" t="s">
        <v>598</v>
      </c>
      <c r="M149" s="8" t="s">
        <v>536</v>
      </c>
      <c r="N149" s="8">
        <v>12</v>
      </c>
      <c r="O149" s="8" t="s">
        <v>170</v>
      </c>
      <c r="P149" s="8">
        <v>7</v>
      </c>
      <c r="Q149" s="8" t="s">
        <v>204</v>
      </c>
      <c r="R149" s="8" t="s">
        <v>205</v>
      </c>
      <c r="S149" s="10">
        <v>0.28000000000000003</v>
      </c>
      <c r="T149" s="9">
        <v>958000</v>
      </c>
      <c r="U149" s="8" t="s">
        <v>184</v>
      </c>
    </row>
    <row r="150" spans="1:21" ht="26" x14ac:dyDescent="0.2">
      <c r="A150" s="5" t="s">
        <v>599</v>
      </c>
      <c r="B150" s="5" t="s">
        <v>241</v>
      </c>
      <c r="C150" s="5" t="s">
        <v>233</v>
      </c>
      <c r="D150" s="5">
        <v>53</v>
      </c>
      <c r="E150" s="5" t="s">
        <v>149</v>
      </c>
      <c r="F150" s="5" t="s">
        <v>234</v>
      </c>
      <c r="G150" s="5" t="s">
        <v>151</v>
      </c>
      <c r="H150" s="5" t="s">
        <v>251</v>
      </c>
      <c r="I150" s="6">
        <v>3975000</v>
      </c>
      <c r="J150" s="5" t="s">
        <v>153</v>
      </c>
      <c r="K150" s="5" t="s">
        <v>221</v>
      </c>
      <c r="L150" s="5" t="s">
        <v>190</v>
      </c>
      <c r="M150" s="5" t="s">
        <v>600</v>
      </c>
      <c r="N150" s="5">
        <v>9</v>
      </c>
      <c r="O150" s="5" t="s">
        <v>191</v>
      </c>
      <c r="P150" s="5">
        <v>8</v>
      </c>
      <c r="Q150" s="5" t="s">
        <v>171</v>
      </c>
      <c r="R150" s="5" t="s">
        <v>159</v>
      </c>
      <c r="S150" s="7">
        <v>0.53</v>
      </c>
      <c r="T150" s="6">
        <v>2977000</v>
      </c>
      <c r="U150" s="5" t="s">
        <v>310</v>
      </c>
    </row>
    <row r="151" spans="1:21" ht="26" x14ac:dyDescent="0.2">
      <c r="A151" s="8" t="s">
        <v>601</v>
      </c>
      <c r="B151" s="8" t="s">
        <v>326</v>
      </c>
      <c r="C151" s="8" t="s">
        <v>176</v>
      </c>
      <c r="D151" s="8">
        <v>50</v>
      </c>
      <c r="E151" s="8" t="s">
        <v>164</v>
      </c>
      <c r="F151" s="8" t="s">
        <v>209</v>
      </c>
      <c r="G151" s="8" t="s">
        <v>347</v>
      </c>
      <c r="H151" s="8" t="s">
        <v>152</v>
      </c>
      <c r="I151" s="9">
        <v>9888000</v>
      </c>
      <c r="J151" s="8" t="s">
        <v>188</v>
      </c>
      <c r="K151" s="8" t="s">
        <v>295</v>
      </c>
      <c r="L151" s="8" t="s">
        <v>245</v>
      </c>
      <c r="M151" s="8" t="s">
        <v>602</v>
      </c>
      <c r="N151" s="8">
        <v>10</v>
      </c>
      <c r="O151" s="8" t="s">
        <v>170</v>
      </c>
      <c r="P151" s="8">
        <v>7</v>
      </c>
      <c r="Q151" s="8" t="s">
        <v>158</v>
      </c>
      <c r="R151" s="8" t="s">
        <v>172</v>
      </c>
      <c r="S151" s="10">
        <v>1</v>
      </c>
      <c r="T151" s="9">
        <v>3327000</v>
      </c>
      <c r="U151" s="8" t="s">
        <v>231</v>
      </c>
    </row>
    <row r="152" spans="1:21" ht="26" x14ac:dyDescent="0.2">
      <c r="A152" s="5" t="s">
        <v>603</v>
      </c>
      <c r="B152" s="5" t="s">
        <v>147</v>
      </c>
      <c r="C152" s="5" t="s">
        <v>148</v>
      </c>
      <c r="D152" s="5">
        <v>48</v>
      </c>
      <c r="E152" s="5" t="s">
        <v>149</v>
      </c>
      <c r="F152" s="5" t="s">
        <v>150</v>
      </c>
      <c r="G152" s="5" t="s">
        <v>165</v>
      </c>
      <c r="H152" s="5" t="s">
        <v>211</v>
      </c>
      <c r="I152" s="6">
        <v>8143000</v>
      </c>
      <c r="J152" s="5" t="s">
        <v>188</v>
      </c>
      <c r="K152" s="5" t="s">
        <v>269</v>
      </c>
      <c r="L152" s="5" t="s">
        <v>604</v>
      </c>
      <c r="M152" s="5" t="s">
        <v>308</v>
      </c>
      <c r="N152" s="5">
        <v>11</v>
      </c>
      <c r="O152" s="5" t="s">
        <v>224</v>
      </c>
      <c r="P152" s="5">
        <v>6</v>
      </c>
      <c r="Q152" s="5" t="s">
        <v>192</v>
      </c>
      <c r="R152" s="5" t="s">
        <v>205</v>
      </c>
      <c r="S152" s="7">
        <v>0.31</v>
      </c>
      <c r="T152" s="6">
        <v>6192000</v>
      </c>
      <c r="U152" s="5" t="s">
        <v>254</v>
      </c>
    </row>
    <row r="153" spans="1:21" ht="26" x14ac:dyDescent="0.2">
      <c r="A153" s="8" t="s">
        <v>605</v>
      </c>
      <c r="B153" s="8" t="s">
        <v>326</v>
      </c>
      <c r="C153" s="8" t="s">
        <v>242</v>
      </c>
      <c r="D153" s="8">
        <v>54</v>
      </c>
      <c r="E153" s="8" t="s">
        <v>164</v>
      </c>
      <c r="F153" s="8" t="s">
        <v>234</v>
      </c>
      <c r="G153" s="8" t="s">
        <v>151</v>
      </c>
      <c r="H153" s="8" t="s">
        <v>200</v>
      </c>
      <c r="I153" s="9">
        <v>88796000</v>
      </c>
      <c r="J153" s="8" t="s">
        <v>228</v>
      </c>
      <c r="K153" s="8" t="s">
        <v>269</v>
      </c>
      <c r="L153" s="8" t="s">
        <v>408</v>
      </c>
      <c r="M153" s="8" t="s">
        <v>606</v>
      </c>
      <c r="N153" s="8">
        <v>10</v>
      </c>
      <c r="O153" s="8" t="s">
        <v>239</v>
      </c>
      <c r="P153" s="8">
        <v>6</v>
      </c>
      <c r="Q153" s="8" t="s">
        <v>158</v>
      </c>
      <c r="R153" s="8" t="s">
        <v>193</v>
      </c>
      <c r="S153" s="10">
        <v>0.17</v>
      </c>
      <c r="T153" s="9">
        <v>32731000</v>
      </c>
      <c r="U153" s="8" t="s">
        <v>173</v>
      </c>
    </row>
    <row r="154" spans="1:21" ht="26" x14ac:dyDescent="0.2">
      <c r="A154" s="5" t="s">
        <v>607</v>
      </c>
      <c r="B154" s="5" t="s">
        <v>215</v>
      </c>
      <c r="C154" s="5" t="s">
        <v>187</v>
      </c>
      <c r="D154" s="5">
        <v>68</v>
      </c>
      <c r="E154" s="5" t="s">
        <v>149</v>
      </c>
      <c r="F154" s="5" t="s">
        <v>209</v>
      </c>
      <c r="G154" s="5" t="s">
        <v>151</v>
      </c>
      <c r="H154" s="5" t="s">
        <v>277</v>
      </c>
      <c r="I154" s="6">
        <v>15077000</v>
      </c>
      <c r="J154" s="5" t="s">
        <v>244</v>
      </c>
      <c r="K154" s="5" t="s">
        <v>221</v>
      </c>
      <c r="L154" s="5" t="s">
        <v>492</v>
      </c>
      <c r="M154" s="5" t="s">
        <v>371</v>
      </c>
      <c r="N154" s="5">
        <v>7</v>
      </c>
      <c r="O154" s="5" t="s">
        <v>182</v>
      </c>
      <c r="P154" s="5">
        <v>10</v>
      </c>
      <c r="Q154" s="5" t="s">
        <v>192</v>
      </c>
      <c r="R154" s="5" t="s">
        <v>205</v>
      </c>
      <c r="S154" s="7">
        <v>0.31</v>
      </c>
      <c r="T154" s="6">
        <v>9254000</v>
      </c>
      <c r="U154" s="5" t="s">
        <v>298</v>
      </c>
    </row>
    <row r="155" spans="1:21" ht="26" x14ac:dyDescent="0.2">
      <c r="A155" s="8" t="s">
        <v>608</v>
      </c>
      <c r="B155" s="8" t="s">
        <v>175</v>
      </c>
      <c r="C155" s="8" t="s">
        <v>187</v>
      </c>
      <c r="D155" s="8">
        <v>38</v>
      </c>
      <c r="E155" s="8" t="s">
        <v>164</v>
      </c>
      <c r="F155" s="8" t="s">
        <v>209</v>
      </c>
      <c r="G155" s="8" t="s">
        <v>347</v>
      </c>
      <c r="H155" s="8" t="s">
        <v>166</v>
      </c>
      <c r="I155" s="9">
        <v>20205000</v>
      </c>
      <c r="J155" s="8" t="s">
        <v>244</v>
      </c>
      <c r="K155" s="8" t="s">
        <v>154</v>
      </c>
      <c r="L155" s="8" t="s">
        <v>377</v>
      </c>
      <c r="M155" s="8" t="s">
        <v>448</v>
      </c>
      <c r="N155" s="8">
        <v>12</v>
      </c>
      <c r="O155" s="8" t="s">
        <v>239</v>
      </c>
      <c r="P155" s="8">
        <v>2</v>
      </c>
      <c r="Q155" s="8" t="s">
        <v>192</v>
      </c>
      <c r="R155" s="8" t="s">
        <v>193</v>
      </c>
      <c r="S155" s="10">
        <v>0.15</v>
      </c>
      <c r="T155" s="9">
        <v>9739000</v>
      </c>
      <c r="U155" s="8" t="s">
        <v>254</v>
      </c>
    </row>
    <row r="156" spans="1:21" ht="26" x14ac:dyDescent="0.2">
      <c r="A156" s="5" t="s">
        <v>609</v>
      </c>
      <c r="B156" s="5" t="s">
        <v>400</v>
      </c>
      <c r="C156" s="5" t="s">
        <v>440</v>
      </c>
      <c r="D156" s="5">
        <v>70</v>
      </c>
      <c r="E156" s="5" t="s">
        <v>149</v>
      </c>
      <c r="F156" s="5" t="s">
        <v>198</v>
      </c>
      <c r="G156" s="5" t="s">
        <v>151</v>
      </c>
      <c r="H156" s="5" t="s">
        <v>211</v>
      </c>
      <c r="I156" s="6">
        <v>19931000</v>
      </c>
      <c r="J156" s="5" t="s">
        <v>244</v>
      </c>
      <c r="K156" s="5" t="s">
        <v>295</v>
      </c>
      <c r="L156" s="5" t="s">
        <v>610</v>
      </c>
      <c r="M156" s="5" t="s">
        <v>484</v>
      </c>
      <c r="N156" s="5">
        <v>6</v>
      </c>
      <c r="O156" s="5" t="s">
        <v>157</v>
      </c>
      <c r="P156" s="5">
        <v>10</v>
      </c>
      <c r="Q156" s="5" t="s">
        <v>192</v>
      </c>
      <c r="R156" s="5" t="s">
        <v>193</v>
      </c>
      <c r="S156" s="7">
        <v>0.18</v>
      </c>
      <c r="T156" s="6">
        <v>11119000</v>
      </c>
      <c r="U156" s="5" t="s">
        <v>173</v>
      </c>
    </row>
    <row r="157" spans="1:21" ht="26" x14ac:dyDescent="0.2">
      <c r="A157" s="8" t="s">
        <v>611</v>
      </c>
      <c r="B157" s="8" t="s">
        <v>196</v>
      </c>
      <c r="C157" s="8" t="s">
        <v>163</v>
      </c>
      <c r="D157" s="8">
        <v>53</v>
      </c>
      <c r="E157" s="8" t="s">
        <v>164</v>
      </c>
      <c r="F157" s="8" t="s">
        <v>234</v>
      </c>
      <c r="G157" s="8" t="s">
        <v>177</v>
      </c>
      <c r="H157" s="8" t="s">
        <v>236</v>
      </c>
      <c r="I157" s="9">
        <v>255536000</v>
      </c>
      <c r="J157" s="8" t="s">
        <v>228</v>
      </c>
      <c r="K157" s="8" t="s">
        <v>295</v>
      </c>
      <c r="L157" s="8" t="s">
        <v>297</v>
      </c>
      <c r="M157" s="8" t="s">
        <v>420</v>
      </c>
      <c r="N157" s="8">
        <v>5</v>
      </c>
      <c r="O157" s="8" t="s">
        <v>191</v>
      </c>
      <c r="P157" s="8">
        <v>9</v>
      </c>
      <c r="Q157" s="8" t="s">
        <v>171</v>
      </c>
      <c r="R157" s="8" t="s">
        <v>159</v>
      </c>
      <c r="S157" s="10">
        <v>0.5</v>
      </c>
      <c r="T157" s="9">
        <v>204146000</v>
      </c>
      <c r="U157" s="8" t="s">
        <v>310</v>
      </c>
    </row>
    <row r="158" spans="1:21" ht="26" x14ac:dyDescent="0.2">
      <c r="A158" s="5" t="s">
        <v>612</v>
      </c>
      <c r="B158" s="5" t="s">
        <v>363</v>
      </c>
      <c r="C158" s="5" t="s">
        <v>216</v>
      </c>
      <c r="D158" s="5">
        <v>61</v>
      </c>
      <c r="E158" s="5" t="s">
        <v>149</v>
      </c>
      <c r="F158" s="5" t="s">
        <v>150</v>
      </c>
      <c r="G158" s="5" t="s">
        <v>257</v>
      </c>
      <c r="H158" s="5" t="s">
        <v>236</v>
      </c>
      <c r="I158" s="6">
        <v>8467000</v>
      </c>
      <c r="J158" s="5" t="s">
        <v>188</v>
      </c>
      <c r="K158" s="5" t="s">
        <v>258</v>
      </c>
      <c r="L158" s="5" t="s">
        <v>613</v>
      </c>
      <c r="M158" s="5" t="s">
        <v>461</v>
      </c>
      <c r="N158" s="5">
        <v>11</v>
      </c>
      <c r="O158" s="5" t="s">
        <v>170</v>
      </c>
      <c r="P158" s="5">
        <v>6</v>
      </c>
      <c r="Q158" s="5" t="s">
        <v>192</v>
      </c>
      <c r="R158" s="5" t="s">
        <v>193</v>
      </c>
      <c r="S158" s="7">
        <v>0.13</v>
      </c>
      <c r="T158" s="6">
        <v>4317000</v>
      </c>
      <c r="U158" s="5" t="s">
        <v>173</v>
      </c>
    </row>
    <row r="159" spans="1:21" ht="26" x14ac:dyDescent="0.2">
      <c r="A159" s="8" t="s">
        <v>614</v>
      </c>
      <c r="B159" s="8" t="s">
        <v>356</v>
      </c>
      <c r="C159" s="8" t="s">
        <v>148</v>
      </c>
      <c r="D159" s="8">
        <v>40</v>
      </c>
      <c r="E159" s="8" t="s">
        <v>149</v>
      </c>
      <c r="F159" s="8" t="s">
        <v>150</v>
      </c>
      <c r="G159" s="8" t="s">
        <v>300</v>
      </c>
      <c r="H159" s="8" t="s">
        <v>219</v>
      </c>
      <c r="I159" s="9">
        <v>9478000</v>
      </c>
      <c r="J159" s="8" t="s">
        <v>188</v>
      </c>
      <c r="K159" s="8" t="s">
        <v>201</v>
      </c>
      <c r="L159" s="8" t="s">
        <v>369</v>
      </c>
      <c r="M159" s="8" t="s">
        <v>600</v>
      </c>
      <c r="N159" s="8">
        <v>9</v>
      </c>
      <c r="O159" s="8" t="s">
        <v>224</v>
      </c>
      <c r="P159" s="8">
        <v>8</v>
      </c>
      <c r="Q159" s="8" t="s">
        <v>192</v>
      </c>
      <c r="R159" s="8" t="s">
        <v>159</v>
      </c>
      <c r="S159" s="10">
        <v>0.47</v>
      </c>
      <c r="T159" s="9">
        <v>4905000</v>
      </c>
      <c r="U159" s="8" t="s">
        <v>254</v>
      </c>
    </row>
    <row r="160" spans="1:21" ht="26" x14ac:dyDescent="0.2">
      <c r="A160" s="5" t="s">
        <v>615</v>
      </c>
      <c r="B160" s="5" t="s">
        <v>384</v>
      </c>
      <c r="C160" s="5" t="s">
        <v>148</v>
      </c>
      <c r="D160" s="5">
        <v>55</v>
      </c>
      <c r="E160" s="5" t="s">
        <v>149</v>
      </c>
      <c r="F160" s="5" t="s">
        <v>227</v>
      </c>
      <c r="G160" s="5" t="s">
        <v>235</v>
      </c>
      <c r="H160" s="5" t="s">
        <v>236</v>
      </c>
      <c r="I160" s="6">
        <v>20878000</v>
      </c>
      <c r="J160" s="5" t="s">
        <v>244</v>
      </c>
      <c r="K160" s="5" t="s">
        <v>154</v>
      </c>
      <c r="L160" s="5" t="s">
        <v>616</v>
      </c>
      <c r="M160" s="5" t="s">
        <v>617</v>
      </c>
      <c r="N160" s="5">
        <v>10</v>
      </c>
      <c r="O160" s="5" t="s">
        <v>157</v>
      </c>
      <c r="P160" s="5">
        <v>4</v>
      </c>
      <c r="Q160" s="5" t="s">
        <v>192</v>
      </c>
      <c r="R160" s="5" t="s">
        <v>193</v>
      </c>
      <c r="S160" s="7">
        <v>0.15</v>
      </c>
      <c r="T160" s="6">
        <v>9542000</v>
      </c>
      <c r="U160" s="5" t="s">
        <v>206</v>
      </c>
    </row>
    <row r="161" spans="1:21" ht="26" x14ac:dyDescent="0.2">
      <c r="A161" s="8" t="s">
        <v>618</v>
      </c>
      <c r="B161" s="8" t="s">
        <v>312</v>
      </c>
      <c r="C161" s="8" t="s">
        <v>197</v>
      </c>
      <c r="D161" s="8">
        <v>63</v>
      </c>
      <c r="E161" s="8" t="s">
        <v>164</v>
      </c>
      <c r="F161" s="8" t="s">
        <v>150</v>
      </c>
      <c r="G161" s="8" t="s">
        <v>177</v>
      </c>
      <c r="H161" s="8" t="s">
        <v>152</v>
      </c>
      <c r="I161" s="9">
        <v>413419000</v>
      </c>
      <c r="J161" s="8" t="s">
        <v>228</v>
      </c>
      <c r="K161" s="8" t="s">
        <v>221</v>
      </c>
      <c r="L161" s="8" t="s">
        <v>619</v>
      </c>
      <c r="M161" s="8" t="s">
        <v>620</v>
      </c>
      <c r="N161" s="8">
        <v>6</v>
      </c>
      <c r="O161" s="8" t="s">
        <v>224</v>
      </c>
      <c r="P161" s="8">
        <v>3</v>
      </c>
      <c r="Q161" s="8" t="s">
        <v>158</v>
      </c>
      <c r="R161" s="8" t="s">
        <v>336</v>
      </c>
      <c r="S161" s="10">
        <v>0</v>
      </c>
      <c r="T161" s="9">
        <v>230163000</v>
      </c>
      <c r="U161" s="8" t="s">
        <v>184</v>
      </c>
    </row>
    <row r="162" spans="1:21" ht="26" x14ac:dyDescent="0.2">
      <c r="A162" s="5" t="s">
        <v>621</v>
      </c>
      <c r="B162" s="5" t="s">
        <v>262</v>
      </c>
      <c r="C162" s="5" t="s">
        <v>437</v>
      </c>
      <c r="D162" s="5">
        <v>36</v>
      </c>
      <c r="E162" s="5" t="s">
        <v>164</v>
      </c>
      <c r="F162" s="5" t="s">
        <v>217</v>
      </c>
      <c r="G162" s="5" t="s">
        <v>333</v>
      </c>
      <c r="H162" s="5" t="s">
        <v>219</v>
      </c>
      <c r="I162" s="6">
        <v>2750000</v>
      </c>
      <c r="J162" s="5" t="s">
        <v>153</v>
      </c>
      <c r="K162" s="5" t="s">
        <v>201</v>
      </c>
      <c r="L162" s="5" t="s">
        <v>467</v>
      </c>
      <c r="M162" s="5" t="s">
        <v>622</v>
      </c>
      <c r="N162" s="5">
        <v>1</v>
      </c>
      <c r="O162" s="5" t="s">
        <v>239</v>
      </c>
      <c r="P162" s="5">
        <v>5</v>
      </c>
      <c r="Q162" s="5" t="s">
        <v>158</v>
      </c>
      <c r="R162" s="5" t="s">
        <v>193</v>
      </c>
      <c r="S162" s="7">
        <v>0.15</v>
      </c>
      <c r="T162" s="6">
        <v>1337000</v>
      </c>
      <c r="U162" s="5" t="s">
        <v>184</v>
      </c>
    </row>
    <row r="163" spans="1:21" ht="26" x14ac:dyDescent="0.2">
      <c r="A163" s="8" t="s">
        <v>623</v>
      </c>
      <c r="B163" s="8" t="s">
        <v>453</v>
      </c>
      <c r="C163" s="8" t="s">
        <v>148</v>
      </c>
      <c r="D163" s="8">
        <v>39</v>
      </c>
      <c r="E163" s="8" t="s">
        <v>149</v>
      </c>
      <c r="F163" s="8" t="s">
        <v>150</v>
      </c>
      <c r="G163" s="8" t="s">
        <v>243</v>
      </c>
      <c r="H163" s="8" t="s">
        <v>200</v>
      </c>
      <c r="I163" s="9">
        <v>1165000</v>
      </c>
      <c r="J163" s="8" t="s">
        <v>220</v>
      </c>
      <c r="K163" s="8" t="s">
        <v>167</v>
      </c>
      <c r="L163" s="8" t="s">
        <v>544</v>
      </c>
      <c r="M163" s="8" t="s">
        <v>624</v>
      </c>
      <c r="N163" s="8">
        <v>1</v>
      </c>
      <c r="O163" s="8" t="s">
        <v>247</v>
      </c>
      <c r="P163" s="8">
        <v>2</v>
      </c>
      <c r="Q163" s="8" t="s">
        <v>158</v>
      </c>
      <c r="R163" s="8" t="s">
        <v>183</v>
      </c>
      <c r="S163" s="10">
        <v>0.1</v>
      </c>
      <c r="T163" s="9">
        <v>828000</v>
      </c>
      <c r="U163" s="8" t="s">
        <v>194</v>
      </c>
    </row>
    <row r="164" spans="1:21" ht="26" x14ac:dyDescent="0.2">
      <c r="A164" s="5" t="s">
        <v>625</v>
      </c>
      <c r="B164" s="5" t="s">
        <v>320</v>
      </c>
      <c r="C164" s="5" t="s">
        <v>418</v>
      </c>
      <c r="D164" s="5">
        <v>62</v>
      </c>
      <c r="E164" s="5" t="s">
        <v>164</v>
      </c>
      <c r="F164" s="5" t="s">
        <v>150</v>
      </c>
      <c r="G164" s="5" t="s">
        <v>300</v>
      </c>
      <c r="H164" s="5" t="s">
        <v>166</v>
      </c>
      <c r="I164" s="6">
        <v>27840000</v>
      </c>
      <c r="J164" s="5" t="s">
        <v>244</v>
      </c>
      <c r="K164" s="5" t="s">
        <v>167</v>
      </c>
      <c r="L164" s="5" t="s">
        <v>626</v>
      </c>
      <c r="M164" s="5" t="s">
        <v>627</v>
      </c>
      <c r="N164" s="5">
        <v>5</v>
      </c>
      <c r="O164" s="5" t="s">
        <v>247</v>
      </c>
      <c r="P164" s="5">
        <v>8</v>
      </c>
      <c r="Q164" s="5" t="s">
        <v>204</v>
      </c>
      <c r="R164" s="5" t="s">
        <v>265</v>
      </c>
      <c r="S164" s="7">
        <v>0.04</v>
      </c>
      <c r="T164" s="6">
        <v>13684000</v>
      </c>
      <c r="U164" s="5" t="s">
        <v>194</v>
      </c>
    </row>
    <row r="165" spans="1:21" ht="26" x14ac:dyDescent="0.2">
      <c r="A165" s="8" t="s">
        <v>628</v>
      </c>
      <c r="B165" s="8" t="s">
        <v>275</v>
      </c>
      <c r="C165" s="8" t="s">
        <v>268</v>
      </c>
      <c r="D165" s="8">
        <v>50</v>
      </c>
      <c r="E165" s="8" t="s">
        <v>149</v>
      </c>
      <c r="F165" s="8" t="s">
        <v>209</v>
      </c>
      <c r="G165" s="8" t="s">
        <v>257</v>
      </c>
      <c r="H165" s="8" t="s">
        <v>251</v>
      </c>
      <c r="I165" s="9">
        <v>1673000</v>
      </c>
      <c r="J165" s="8" t="s">
        <v>220</v>
      </c>
      <c r="K165" s="8" t="s">
        <v>295</v>
      </c>
      <c r="L165" s="8" t="s">
        <v>279</v>
      </c>
      <c r="M165" s="8" t="s">
        <v>629</v>
      </c>
      <c r="N165" s="8">
        <v>8</v>
      </c>
      <c r="O165" s="8" t="s">
        <v>291</v>
      </c>
      <c r="P165" s="8">
        <v>10</v>
      </c>
      <c r="Q165" s="8" t="s">
        <v>171</v>
      </c>
      <c r="R165" s="8" t="s">
        <v>205</v>
      </c>
      <c r="S165" s="10">
        <v>0.28000000000000003</v>
      </c>
      <c r="T165" s="9">
        <v>524000</v>
      </c>
      <c r="U165" s="8" t="s">
        <v>231</v>
      </c>
    </row>
    <row r="166" spans="1:21" ht="26" x14ac:dyDescent="0.2">
      <c r="A166" s="5" t="s">
        <v>630</v>
      </c>
      <c r="B166" s="5" t="s">
        <v>147</v>
      </c>
      <c r="C166" s="5" t="s">
        <v>148</v>
      </c>
      <c r="D166" s="5">
        <v>38</v>
      </c>
      <c r="E166" s="5" t="s">
        <v>149</v>
      </c>
      <c r="F166" s="5" t="s">
        <v>198</v>
      </c>
      <c r="G166" s="5" t="s">
        <v>333</v>
      </c>
      <c r="H166" s="5" t="s">
        <v>219</v>
      </c>
      <c r="I166" s="6">
        <v>33360000</v>
      </c>
      <c r="J166" s="5" t="s">
        <v>244</v>
      </c>
      <c r="K166" s="5" t="s">
        <v>179</v>
      </c>
      <c r="L166" s="5" t="s">
        <v>493</v>
      </c>
      <c r="M166" s="5" t="s">
        <v>467</v>
      </c>
      <c r="N166" s="5">
        <v>11</v>
      </c>
      <c r="O166" s="5" t="s">
        <v>191</v>
      </c>
      <c r="P166" s="5">
        <v>6</v>
      </c>
      <c r="Q166" s="5" t="s">
        <v>192</v>
      </c>
      <c r="R166" s="5" t="s">
        <v>172</v>
      </c>
      <c r="S166" s="7">
        <v>0.98</v>
      </c>
      <c r="T166" s="6">
        <v>19611000</v>
      </c>
      <c r="U166" s="5" t="s">
        <v>194</v>
      </c>
    </row>
    <row r="167" spans="1:21" ht="26" x14ac:dyDescent="0.2">
      <c r="A167" s="8" t="s">
        <v>631</v>
      </c>
      <c r="B167" s="8" t="s">
        <v>346</v>
      </c>
      <c r="C167" s="8" t="s">
        <v>437</v>
      </c>
      <c r="D167" s="8">
        <v>46</v>
      </c>
      <c r="E167" s="8" t="s">
        <v>164</v>
      </c>
      <c r="F167" s="8" t="s">
        <v>150</v>
      </c>
      <c r="G167" s="8" t="s">
        <v>199</v>
      </c>
      <c r="H167" s="8" t="s">
        <v>236</v>
      </c>
      <c r="I167" s="9">
        <v>542000</v>
      </c>
      <c r="J167" s="8" t="s">
        <v>220</v>
      </c>
      <c r="K167" s="8" t="s">
        <v>295</v>
      </c>
      <c r="L167" s="8" t="s">
        <v>527</v>
      </c>
      <c r="M167" s="8" t="s">
        <v>223</v>
      </c>
      <c r="N167" s="8">
        <v>10</v>
      </c>
      <c r="O167" s="8" t="s">
        <v>191</v>
      </c>
      <c r="P167" s="8">
        <v>9</v>
      </c>
      <c r="Q167" s="8" t="s">
        <v>171</v>
      </c>
      <c r="R167" s="8" t="s">
        <v>193</v>
      </c>
      <c r="S167" s="10">
        <v>0.12</v>
      </c>
      <c r="T167" s="9">
        <v>187000</v>
      </c>
      <c r="U167" s="8" t="s">
        <v>310</v>
      </c>
    </row>
    <row r="168" spans="1:21" ht="26" x14ac:dyDescent="0.2">
      <c r="A168" s="5" t="s">
        <v>632</v>
      </c>
      <c r="B168" s="5" t="s">
        <v>147</v>
      </c>
      <c r="C168" s="5" t="s">
        <v>268</v>
      </c>
      <c r="D168" s="5">
        <v>65</v>
      </c>
      <c r="E168" s="5" t="s">
        <v>149</v>
      </c>
      <c r="F168" s="5" t="s">
        <v>150</v>
      </c>
      <c r="G168" s="5" t="s">
        <v>347</v>
      </c>
      <c r="H168" s="5" t="s">
        <v>200</v>
      </c>
      <c r="I168" s="6">
        <v>3022000</v>
      </c>
      <c r="J168" s="5" t="s">
        <v>153</v>
      </c>
      <c r="K168" s="5" t="s">
        <v>167</v>
      </c>
      <c r="L168" s="5" t="s">
        <v>633</v>
      </c>
      <c r="M168" s="5" t="s">
        <v>634</v>
      </c>
      <c r="N168" s="5">
        <v>3</v>
      </c>
      <c r="O168" s="5" t="s">
        <v>224</v>
      </c>
      <c r="P168" s="5">
        <v>3</v>
      </c>
      <c r="Q168" s="5" t="s">
        <v>171</v>
      </c>
      <c r="R168" s="5" t="s">
        <v>336</v>
      </c>
      <c r="S168" s="7">
        <v>0</v>
      </c>
      <c r="T168" s="6">
        <v>1971000</v>
      </c>
      <c r="U168" s="5" t="s">
        <v>184</v>
      </c>
    </row>
    <row r="169" spans="1:21" ht="26" x14ac:dyDescent="0.2">
      <c r="A169" s="8" t="s">
        <v>635</v>
      </c>
      <c r="B169" s="8" t="s">
        <v>286</v>
      </c>
      <c r="C169" s="8" t="s">
        <v>176</v>
      </c>
      <c r="D169" s="8">
        <v>56</v>
      </c>
      <c r="E169" s="8" t="s">
        <v>164</v>
      </c>
      <c r="F169" s="8" t="s">
        <v>150</v>
      </c>
      <c r="G169" s="8" t="s">
        <v>218</v>
      </c>
      <c r="H169" s="8" t="s">
        <v>166</v>
      </c>
      <c r="I169" s="9">
        <v>3311000</v>
      </c>
      <c r="J169" s="8" t="s">
        <v>153</v>
      </c>
      <c r="K169" s="8" t="s">
        <v>201</v>
      </c>
      <c r="L169" s="8" t="s">
        <v>388</v>
      </c>
      <c r="M169" s="8" t="s">
        <v>636</v>
      </c>
      <c r="N169" s="8">
        <v>12</v>
      </c>
      <c r="O169" s="8" t="s">
        <v>291</v>
      </c>
      <c r="P169" s="8">
        <v>5</v>
      </c>
      <c r="Q169" s="8" t="s">
        <v>158</v>
      </c>
      <c r="R169" s="8" t="s">
        <v>205</v>
      </c>
      <c r="S169" s="10">
        <v>0.32</v>
      </c>
      <c r="T169" s="9">
        <v>2133000</v>
      </c>
      <c r="U169" s="8" t="s">
        <v>254</v>
      </c>
    </row>
    <row r="170" spans="1:21" ht="26" x14ac:dyDescent="0.2">
      <c r="A170" s="5" t="s">
        <v>637</v>
      </c>
      <c r="B170" s="5" t="s">
        <v>356</v>
      </c>
      <c r="C170" s="5" t="s">
        <v>216</v>
      </c>
      <c r="D170" s="5">
        <v>71</v>
      </c>
      <c r="E170" s="5" t="s">
        <v>149</v>
      </c>
      <c r="F170" s="5" t="s">
        <v>150</v>
      </c>
      <c r="G170" s="5" t="s">
        <v>347</v>
      </c>
      <c r="H170" s="5" t="s">
        <v>251</v>
      </c>
      <c r="I170" s="6">
        <v>22729000</v>
      </c>
      <c r="J170" s="5" t="s">
        <v>244</v>
      </c>
      <c r="K170" s="5" t="s">
        <v>179</v>
      </c>
      <c r="L170" s="5" t="s">
        <v>438</v>
      </c>
      <c r="M170" s="5" t="s">
        <v>638</v>
      </c>
      <c r="N170" s="5">
        <v>8</v>
      </c>
      <c r="O170" s="5" t="s">
        <v>224</v>
      </c>
      <c r="P170" s="5">
        <v>7</v>
      </c>
      <c r="Q170" s="5" t="s">
        <v>192</v>
      </c>
      <c r="R170" s="5" t="s">
        <v>193</v>
      </c>
      <c r="S170" s="7">
        <v>0.14000000000000001</v>
      </c>
      <c r="T170" s="6">
        <v>8727000</v>
      </c>
      <c r="U170" s="5" t="s">
        <v>206</v>
      </c>
    </row>
    <row r="171" spans="1:21" ht="26" x14ac:dyDescent="0.2">
      <c r="A171" s="8" t="s">
        <v>639</v>
      </c>
      <c r="B171" s="8" t="s">
        <v>226</v>
      </c>
      <c r="C171" s="8" t="s">
        <v>216</v>
      </c>
      <c r="D171" s="8">
        <v>51</v>
      </c>
      <c r="E171" s="8" t="s">
        <v>164</v>
      </c>
      <c r="F171" s="8" t="s">
        <v>150</v>
      </c>
      <c r="G171" s="8" t="s">
        <v>151</v>
      </c>
      <c r="H171" s="8" t="s">
        <v>152</v>
      </c>
      <c r="I171" s="9">
        <v>41481000</v>
      </c>
      <c r="J171" s="8" t="s">
        <v>244</v>
      </c>
      <c r="K171" s="8" t="s">
        <v>258</v>
      </c>
      <c r="L171" s="8" t="s">
        <v>513</v>
      </c>
      <c r="M171" s="8" t="s">
        <v>640</v>
      </c>
      <c r="N171" s="8">
        <v>12</v>
      </c>
      <c r="O171" s="8" t="s">
        <v>170</v>
      </c>
      <c r="P171" s="8">
        <v>4</v>
      </c>
      <c r="Q171" s="8" t="s">
        <v>204</v>
      </c>
      <c r="R171" s="8" t="s">
        <v>159</v>
      </c>
      <c r="S171" s="10">
        <v>0.5</v>
      </c>
      <c r="T171" s="9">
        <v>19729000</v>
      </c>
      <c r="U171" s="8" t="s">
        <v>194</v>
      </c>
    </row>
    <row r="172" spans="1:21" ht="26" x14ac:dyDescent="0.2">
      <c r="A172" s="5" t="s">
        <v>641</v>
      </c>
      <c r="B172" s="5" t="s">
        <v>208</v>
      </c>
      <c r="C172" s="5" t="s">
        <v>357</v>
      </c>
      <c r="D172" s="5">
        <v>71</v>
      </c>
      <c r="E172" s="5" t="s">
        <v>149</v>
      </c>
      <c r="F172" s="5" t="s">
        <v>234</v>
      </c>
      <c r="G172" s="5" t="s">
        <v>210</v>
      </c>
      <c r="H172" s="5" t="s">
        <v>200</v>
      </c>
      <c r="I172" s="6">
        <v>12948000</v>
      </c>
      <c r="J172" s="5" t="s">
        <v>244</v>
      </c>
      <c r="K172" s="5" t="s">
        <v>258</v>
      </c>
      <c r="L172" s="5" t="s">
        <v>642</v>
      </c>
      <c r="M172" s="5" t="s">
        <v>534</v>
      </c>
      <c r="N172" s="5">
        <v>5</v>
      </c>
      <c r="O172" s="5" t="s">
        <v>157</v>
      </c>
      <c r="P172" s="5">
        <v>3</v>
      </c>
      <c r="Q172" s="5" t="s">
        <v>171</v>
      </c>
      <c r="R172" s="5" t="s">
        <v>193</v>
      </c>
      <c r="S172" s="7">
        <v>0.15</v>
      </c>
      <c r="T172" s="6">
        <v>4926000</v>
      </c>
      <c r="U172" s="5" t="s">
        <v>206</v>
      </c>
    </row>
    <row r="173" spans="1:21" ht="26" x14ac:dyDescent="0.2">
      <c r="A173" s="8" t="s">
        <v>643</v>
      </c>
      <c r="B173" s="8" t="s">
        <v>281</v>
      </c>
      <c r="C173" s="8" t="s">
        <v>357</v>
      </c>
      <c r="D173" s="8">
        <v>36</v>
      </c>
      <c r="E173" s="8" t="s">
        <v>149</v>
      </c>
      <c r="F173" s="8" t="s">
        <v>150</v>
      </c>
      <c r="G173" s="8" t="s">
        <v>210</v>
      </c>
      <c r="H173" s="8" t="s">
        <v>166</v>
      </c>
      <c r="I173" s="9">
        <v>7171000</v>
      </c>
      <c r="J173" s="8" t="s">
        <v>188</v>
      </c>
      <c r="K173" s="8" t="s">
        <v>258</v>
      </c>
      <c r="L173" s="8" t="s">
        <v>544</v>
      </c>
      <c r="M173" s="8" t="s">
        <v>335</v>
      </c>
      <c r="N173" s="8">
        <v>4</v>
      </c>
      <c r="O173" s="8" t="s">
        <v>170</v>
      </c>
      <c r="P173" s="8">
        <v>10</v>
      </c>
      <c r="Q173" s="8" t="s">
        <v>171</v>
      </c>
      <c r="R173" s="8" t="s">
        <v>272</v>
      </c>
      <c r="S173" s="10">
        <v>0.69</v>
      </c>
      <c r="T173" s="9">
        <v>3003000</v>
      </c>
      <c r="U173" s="8" t="s">
        <v>173</v>
      </c>
    </row>
    <row r="174" spans="1:21" ht="26" x14ac:dyDescent="0.2">
      <c r="A174" s="5" t="s">
        <v>644</v>
      </c>
      <c r="B174" s="5" t="s">
        <v>286</v>
      </c>
      <c r="C174" s="5" t="s">
        <v>233</v>
      </c>
      <c r="D174" s="5">
        <v>66</v>
      </c>
      <c r="E174" s="5" t="s">
        <v>164</v>
      </c>
      <c r="F174" s="5" t="s">
        <v>150</v>
      </c>
      <c r="G174" s="5" t="s">
        <v>199</v>
      </c>
      <c r="H174" s="5" t="s">
        <v>251</v>
      </c>
      <c r="I174" s="6">
        <v>6473000</v>
      </c>
      <c r="J174" s="5" t="s">
        <v>188</v>
      </c>
      <c r="K174" s="5" t="s">
        <v>201</v>
      </c>
      <c r="L174" s="5" t="s">
        <v>433</v>
      </c>
      <c r="M174" s="5" t="s">
        <v>645</v>
      </c>
      <c r="N174" s="5">
        <v>4</v>
      </c>
      <c r="O174" s="5" t="s">
        <v>224</v>
      </c>
      <c r="P174" s="5">
        <v>6</v>
      </c>
      <c r="Q174" s="5" t="s">
        <v>192</v>
      </c>
      <c r="R174" s="5" t="s">
        <v>159</v>
      </c>
      <c r="S174" s="7">
        <v>0.47</v>
      </c>
      <c r="T174" s="6">
        <v>2940000</v>
      </c>
      <c r="U174" s="5" t="s">
        <v>194</v>
      </c>
    </row>
    <row r="175" spans="1:21" ht="26" x14ac:dyDescent="0.2">
      <c r="A175" s="8" t="s">
        <v>646</v>
      </c>
      <c r="B175" s="8" t="s">
        <v>226</v>
      </c>
      <c r="C175" s="8" t="s">
        <v>148</v>
      </c>
      <c r="D175" s="8">
        <v>40</v>
      </c>
      <c r="E175" s="8" t="s">
        <v>164</v>
      </c>
      <c r="F175" s="8" t="s">
        <v>209</v>
      </c>
      <c r="G175" s="8" t="s">
        <v>235</v>
      </c>
      <c r="H175" s="8" t="s">
        <v>166</v>
      </c>
      <c r="I175" s="9">
        <v>25258000</v>
      </c>
      <c r="J175" s="8" t="s">
        <v>244</v>
      </c>
      <c r="K175" s="8" t="s">
        <v>167</v>
      </c>
      <c r="L175" s="8" t="s">
        <v>423</v>
      </c>
      <c r="M175" s="8" t="s">
        <v>458</v>
      </c>
      <c r="N175" s="8">
        <v>8</v>
      </c>
      <c r="O175" s="8" t="s">
        <v>247</v>
      </c>
      <c r="P175" s="8">
        <v>6</v>
      </c>
      <c r="Q175" s="8" t="s">
        <v>158</v>
      </c>
      <c r="R175" s="8" t="s">
        <v>172</v>
      </c>
      <c r="S175" s="10">
        <v>1</v>
      </c>
      <c r="T175" s="9">
        <v>8356000</v>
      </c>
      <c r="U175" s="8" t="s">
        <v>160</v>
      </c>
    </row>
    <row r="176" spans="1:21" ht="26" x14ac:dyDescent="0.2">
      <c r="A176" s="5" t="s">
        <v>647</v>
      </c>
      <c r="B176" s="5" t="s">
        <v>304</v>
      </c>
      <c r="C176" s="5" t="s">
        <v>187</v>
      </c>
      <c r="D176" s="5">
        <v>69</v>
      </c>
      <c r="E176" s="5" t="s">
        <v>149</v>
      </c>
      <c r="F176" s="5" t="s">
        <v>150</v>
      </c>
      <c r="G176" s="5" t="s">
        <v>347</v>
      </c>
      <c r="H176" s="5" t="s">
        <v>200</v>
      </c>
      <c r="I176" s="6">
        <v>9204000</v>
      </c>
      <c r="J176" s="5" t="s">
        <v>188</v>
      </c>
      <c r="K176" s="5" t="s">
        <v>269</v>
      </c>
      <c r="L176" s="5" t="s">
        <v>454</v>
      </c>
      <c r="M176" s="5" t="s">
        <v>352</v>
      </c>
      <c r="N176" s="5">
        <v>4</v>
      </c>
      <c r="O176" s="5" t="s">
        <v>247</v>
      </c>
      <c r="P176" s="5">
        <v>6</v>
      </c>
      <c r="Q176" s="5" t="s">
        <v>192</v>
      </c>
      <c r="R176" s="5" t="s">
        <v>205</v>
      </c>
      <c r="S176" s="7">
        <v>0.33</v>
      </c>
      <c r="T176" s="6">
        <v>6048000</v>
      </c>
      <c r="U176" s="5" t="s">
        <v>266</v>
      </c>
    </row>
    <row r="177" spans="1:21" ht="26" x14ac:dyDescent="0.2">
      <c r="A177" s="8" t="s">
        <v>648</v>
      </c>
      <c r="B177" s="8" t="s">
        <v>304</v>
      </c>
      <c r="C177" s="8" t="s">
        <v>163</v>
      </c>
      <c r="D177" s="8">
        <v>46</v>
      </c>
      <c r="E177" s="8" t="s">
        <v>149</v>
      </c>
      <c r="F177" s="8" t="s">
        <v>217</v>
      </c>
      <c r="G177" s="8" t="s">
        <v>218</v>
      </c>
      <c r="H177" s="8" t="s">
        <v>200</v>
      </c>
      <c r="I177" s="9">
        <v>2379000</v>
      </c>
      <c r="J177" s="8" t="s">
        <v>153</v>
      </c>
      <c r="K177" s="8" t="s">
        <v>269</v>
      </c>
      <c r="L177" s="8" t="s">
        <v>395</v>
      </c>
      <c r="M177" s="8" t="s">
        <v>330</v>
      </c>
      <c r="N177" s="8">
        <v>11</v>
      </c>
      <c r="O177" s="8" t="s">
        <v>224</v>
      </c>
      <c r="P177" s="8">
        <v>6</v>
      </c>
      <c r="Q177" s="8" t="s">
        <v>171</v>
      </c>
      <c r="R177" s="8" t="s">
        <v>183</v>
      </c>
      <c r="S177" s="10">
        <v>0.13</v>
      </c>
      <c r="T177" s="9">
        <v>793000</v>
      </c>
      <c r="U177" s="8" t="s">
        <v>194</v>
      </c>
    </row>
    <row r="178" spans="1:21" ht="26" x14ac:dyDescent="0.2">
      <c r="A178" s="5" t="s">
        <v>649</v>
      </c>
      <c r="B178" s="5" t="s">
        <v>175</v>
      </c>
      <c r="C178" s="5" t="s">
        <v>276</v>
      </c>
      <c r="D178" s="5">
        <v>52</v>
      </c>
      <c r="E178" s="5" t="s">
        <v>164</v>
      </c>
      <c r="F178" s="5" t="s">
        <v>209</v>
      </c>
      <c r="G178" s="5" t="s">
        <v>165</v>
      </c>
      <c r="H178" s="5" t="s">
        <v>178</v>
      </c>
      <c r="I178" s="6">
        <v>8908000</v>
      </c>
      <c r="J178" s="5" t="s">
        <v>188</v>
      </c>
      <c r="K178" s="5" t="s">
        <v>154</v>
      </c>
      <c r="L178" s="5" t="s">
        <v>541</v>
      </c>
      <c r="M178" s="5" t="s">
        <v>650</v>
      </c>
      <c r="N178" s="5">
        <v>10</v>
      </c>
      <c r="O178" s="5" t="s">
        <v>157</v>
      </c>
      <c r="P178" s="5">
        <v>3</v>
      </c>
      <c r="Q178" s="5" t="s">
        <v>192</v>
      </c>
      <c r="R178" s="5" t="s">
        <v>172</v>
      </c>
      <c r="S178" s="7">
        <v>1</v>
      </c>
      <c r="T178" s="6">
        <v>5058000</v>
      </c>
      <c r="U178" s="5" t="s">
        <v>292</v>
      </c>
    </row>
    <row r="179" spans="1:21" ht="26" x14ac:dyDescent="0.2">
      <c r="A179" s="8" t="s">
        <v>651</v>
      </c>
      <c r="B179" s="8" t="s">
        <v>262</v>
      </c>
      <c r="C179" s="8" t="s">
        <v>418</v>
      </c>
      <c r="D179" s="8">
        <v>66</v>
      </c>
      <c r="E179" s="8" t="s">
        <v>164</v>
      </c>
      <c r="F179" s="8" t="s">
        <v>209</v>
      </c>
      <c r="G179" s="8" t="s">
        <v>333</v>
      </c>
      <c r="H179" s="8" t="s">
        <v>251</v>
      </c>
      <c r="I179" s="9">
        <v>26119000</v>
      </c>
      <c r="J179" s="8" t="s">
        <v>244</v>
      </c>
      <c r="K179" s="8" t="s">
        <v>269</v>
      </c>
      <c r="L179" s="8" t="s">
        <v>324</v>
      </c>
      <c r="M179" s="8" t="s">
        <v>652</v>
      </c>
      <c r="N179" s="8">
        <v>12</v>
      </c>
      <c r="O179" s="8" t="s">
        <v>191</v>
      </c>
      <c r="P179" s="8">
        <v>2</v>
      </c>
      <c r="Q179" s="8" t="s">
        <v>204</v>
      </c>
      <c r="R179" s="8" t="s">
        <v>183</v>
      </c>
      <c r="S179" s="10">
        <v>0.09</v>
      </c>
      <c r="T179" s="9">
        <v>8100000</v>
      </c>
      <c r="U179" s="8" t="s">
        <v>273</v>
      </c>
    </row>
    <row r="180" spans="1:21" ht="26" x14ac:dyDescent="0.2">
      <c r="A180" s="5" t="s">
        <v>653</v>
      </c>
      <c r="B180" s="5" t="s">
        <v>262</v>
      </c>
      <c r="C180" s="5" t="s">
        <v>357</v>
      </c>
      <c r="D180" s="5">
        <v>41</v>
      </c>
      <c r="E180" s="5" t="s">
        <v>164</v>
      </c>
      <c r="F180" s="5" t="s">
        <v>217</v>
      </c>
      <c r="G180" s="5" t="s">
        <v>300</v>
      </c>
      <c r="H180" s="5" t="s">
        <v>166</v>
      </c>
      <c r="I180" s="6">
        <v>39749000</v>
      </c>
      <c r="J180" s="5" t="s">
        <v>244</v>
      </c>
      <c r="K180" s="5" t="s">
        <v>295</v>
      </c>
      <c r="L180" s="5" t="s">
        <v>341</v>
      </c>
      <c r="M180" s="5" t="s">
        <v>576</v>
      </c>
      <c r="N180" s="5">
        <v>11</v>
      </c>
      <c r="O180" s="5" t="s">
        <v>157</v>
      </c>
      <c r="P180" s="5">
        <v>5</v>
      </c>
      <c r="Q180" s="5" t="s">
        <v>204</v>
      </c>
      <c r="R180" s="5" t="s">
        <v>193</v>
      </c>
      <c r="S180" s="7">
        <v>0.18</v>
      </c>
      <c r="T180" s="6">
        <v>20017000</v>
      </c>
      <c r="U180" s="5" t="s">
        <v>298</v>
      </c>
    </row>
    <row r="181" spans="1:21" ht="26" x14ac:dyDescent="0.2">
      <c r="A181" s="8" t="s">
        <v>654</v>
      </c>
      <c r="B181" s="8" t="s">
        <v>391</v>
      </c>
      <c r="C181" s="8" t="s">
        <v>440</v>
      </c>
      <c r="D181" s="8">
        <v>67</v>
      </c>
      <c r="E181" s="8" t="s">
        <v>164</v>
      </c>
      <c r="F181" s="8" t="s">
        <v>234</v>
      </c>
      <c r="G181" s="8" t="s">
        <v>243</v>
      </c>
      <c r="H181" s="8" t="s">
        <v>277</v>
      </c>
      <c r="I181" s="9">
        <v>3210000</v>
      </c>
      <c r="J181" s="8" t="s">
        <v>153</v>
      </c>
      <c r="K181" s="8" t="s">
        <v>258</v>
      </c>
      <c r="L181" s="8" t="s">
        <v>655</v>
      </c>
      <c r="M181" s="8" t="s">
        <v>656</v>
      </c>
      <c r="N181" s="8">
        <v>4</v>
      </c>
      <c r="O181" s="8" t="s">
        <v>239</v>
      </c>
      <c r="P181" s="8">
        <v>5</v>
      </c>
      <c r="Q181" s="8" t="s">
        <v>192</v>
      </c>
      <c r="R181" s="8" t="s">
        <v>159</v>
      </c>
      <c r="S181" s="10">
        <v>0.49</v>
      </c>
      <c r="T181" s="9">
        <v>2094000</v>
      </c>
      <c r="U181" s="8" t="s">
        <v>273</v>
      </c>
    </row>
    <row r="182" spans="1:21" ht="26" x14ac:dyDescent="0.2">
      <c r="A182" s="5" t="s">
        <v>657</v>
      </c>
      <c r="B182" s="5" t="s">
        <v>391</v>
      </c>
      <c r="C182" s="5" t="s">
        <v>163</v>
      </c>
      <c r="D182" s="5">
        <v>67</v>
      </c>
      <c r="E182" s="5" t="s">
        <v>164</v>
      </c>
      <c r="F182" s="5" t="s">
        <v>150</v>
      </c>
      <c r="G182" s="5" t="s">
        <v>243</v>
      </c>
      <c r="H182" s="5" t="s">
        <v>251</v>
      </c>
      <c r="I182" s="6">
        <v>29551000</v>
      </c>
      <c r="J182" s="5" t="s">
        <v>244</v>
      </c>
      <c r="K182" s="5" t="s">
        <v>201</v>
      </c>
      <c r="L182" s="5" t="s">
        <v>367</v>
      </c>
      <c r="M182" s="5" t="s">
        <v>352</v>
      </c>
      <c r="N182" s="5">
        <v>9</v>
      </c>
      <c r="O182" s="5" t="s">
        <v>291</v>
      </c>
      <c r="P182" s="5">
        <v>7</v>
      </c>
      <c r="Q182" s="5" t="s">
        <v>158</v>
      </c>
      <c r="R182" s="5" t="s">
        <v>172</v>
      </c>
      <c r="S182" s="7">
        <v>0.99</v>
      </c>
      <c r="T182" s="6">
        <v>19932000</v>
      </c>
      <c r="U182" s="5" t="s">
        <v>160</v>
      </c>
    </row>
    <row r="183" spans="1:21" ht="26" x14ac:dyDescent="0.2">
      <c r="A183" s="8" t="s">
        <v>658</v>
      </c>
      <c r="B183" s="8" t="s">
        <v>384</v>
      </c>
      <c r="C183" s="8" t="s">
        <v>216</v>
      </c>
      <c r="D183" s="8">
        <v>59</v>
      </c>
      <c r="E183" s="8" t="s">
        <v>149</v>
      </c>
      <c r="F183" s="8" t="s">
        <v>150</v>
      </c>
      <c r="G183" s="8" t="s">
        <v>347</v>
      </c>
      <c r="H183" s="8" t="s">
        <v>200</v>
      </c>
      <c r="I183" s="9">
        <v>3942000</v>
      </c>
      <c r="J183" s="8" t="s">
        <v>153</v>
      </c>
      <c r="K183" s="8" t="s">
        <v>179</v>
      </c>
      <c r="L183" s="8" t="s">
        <v>366</v>
      </c>
      <c r="M183" s="8" t="s">
        <v>659</v>
      </c>
      <c r="N183" s="8">
        <v>1</v>
      </c>
      <c r="O183" s="8" t="s">
        <v>239</v>
      </c>
      <c r="P183" s="8">
        <v>9</v>
      </c>
      <c r="Q183" s="8" t="s">
        <v>158</v>
      </c>
      <c r="R183" s="8" t="s">
        <v>159</v>
      </c>
      <c r="S183" s="10">
        <v>0.51</v>
      </c>
      <c r="T183" s="9">
        <v>2761000</v>
      </c>
      <c r="U183" s="8" t="s">
        <v>310</v>
      </c>
    </row>
    <row r="184" spans="1:21" ht="26" x14ac:dyDescent="0.2">
      <c r="A184" s="5" t="s">
        <v>660</v>
      </c>
      <c r="B184" s="5" t="s">
        <v>286</v>
      </c>
      <c r="C184" s="5" t="s">
        <v>282</v>
      </c>
      <c r="D184" s="5">
        <v>52</v>
      </c>
      <c r="E184" s="5" t="s">
        <v>164</v>
      </c>
      <c r="F184" s="5" t="s">
        <v>150</v>
      </c>
      <c r="G184" s="5" t="s">
        <v>235</v>
      </c>
      <c r="H184" s="5" t="s">
        <v>236</v>
      </c>
      <c r="I184" s="6">
        <v>6091000</v>
      </c>
      <c r="J184" s="5" t="s">
        <v>188</v>
      </c>
      <c r="K184" s="5" t="s">
        <v>221</v>
      </c>
      <c r="L184" s="5" t="s">
        <v>486</v>
      </c>
      <c r="M184" s="5" t="s">
        <v>474</v>
      </c>
      <c r="N184" s="5">
        <v>2</v>
      </c>
      <c r="O184" s="5" t="s">
        <v>239</v>
      </c>
      <c r="P184" s="5">
        <v>10</v>
      </c>
      <c r="Q184" s="5" t="s">
        <v>171</v>
      </c>
      <c r="R184" s="5" t="s">
        <v>159</v>
      </c>
      <c r="S184" s="7">
        <v>0.51</v>
      </c>
      <c r="T184" s="6">
        <v>3682000</v>
      </c>
      <c r="U184" s="5" t="s">
        <v>273</v>
      </c>
    </row>
    <row r="185" spans="1:21" ht="26" x14ac:dyDescent="0.2">
      <c r="A185" s="8" t="s">
        <v>661</v>
      </c>
      <c r="B185" s="8" t="s">
        <v>215</v>
      </c>
      <c r="C185" s="8" t="s">
        <v>242</v>
      </c>
      <c r="D185" s="8">
        <v>56</v>
      </c>
      <c r="E185" s="8" t="s">
        <v>149</v>
      </c>
      <c r="F185" s="8" t="s">
        <v>217</v>
      </c>
      <c r="G185" s="8" t="s">
        <v>210</v>
      </c>
      <c r="H185" s="8" t="s">
        <v>236</v>
      </c>
      <c r="I185" s="9">
        <v>2783000</v>
      </c>
      <c r="J185" s="8" t="s">
        <v>153</v>
      </c>
      <c r="K185" s="8" t="s">
        <v>221</v>
      </c>
      <c r="L185" s="8" t="s">
        <v>541</v>
      </c>
      <c r="M185" s="8" t="s">
        <v>470</v>
      </c>
      <c r="N185" s="8">
        <v>4</v>
      </c>
      <c r="O185" s="8" t="s">
        <v>239</v>
      </c>
      <c r="P185" s="8">
        <v>8</v>
      </c>
      <c r="Q185" s="8" t="s">
        <v>171</v>
      </c>
      <c r="R185" s="8" t="s">
        <v>272</v>
      </c>
      <c r="S185" s="10">
        <v>0.72</v>
      </c>
      <c r="T185" s="9">
        <v>870000</v>
      </c>
      <c r="U185" s="8" t="s">
        <v>298</v>
      </c>
    </row>
    <row r="186" spans="1:21" ht="26" x14ac:dyDescent="0.2">
      <c r="A186" s="5" t="s">
        <v>662</v>
      </c>
      <c r="B186" s="5" t="s">
        <v>262</v>
      </c>
      <c r="C186" s="5" t="s">
        <v>250</v>
      </c>
      <c r="D186" s="5">
        <v>60</v>
      </c>
      <c r="E186" s="5" t="s">
        <v>164</v>
      </c>
      <c r="F186" s="5" t="s">
        <v>150</v>
      </c>
      <c r="G186" s="5" t="s">
        <v>165</v>
      </c>
      <c r="H186" s="5" t="s">
        <v>178</v>
      </c>
      <c r="I186" s="6">
        <v>3716000</v>
      </c>
      <c r="J186" s="5" t="s">
        <v>153</v>
      </c>
      <c r="K186" s="5" t="s">
        <v>179</v>
      </c>
      <c r="L186" s="5" t="s">
        <v>378</v>
      </c>
      <c r="M186" s="5" t="s">
        <v>663</v>
      </c>
      <c r="N186" s="5">
        <v>9</v>
      </c>
      <c r="O186" s="5" t="s">
        <v>247</v>
      </c>
      <c r="P186" s="5">
        <v>7</v>
      </c>
      <c r="Q186" s="5" t="s">
        <v>171</v>
      </c>
      <c r="R186" s="5" t="s">
        <v>172</v>
      </c>
      <c r="S186" s="7">
        <v>1</v>
      </c>
      <c r="T186" s="6">
        <v>2337000</v>
      </c>
      <c r="U186" s="5" t="s">
        <v>266</v>
      </c>
    </row>
    <row r="187" spans="1:21" ht="26" x14ac:dyDescent="0.2">
      <c r="A187" s="8" t="s">
        <v>664</v>
      </c>
      <c r="B187" s="8" t="s">
        <v>384</v>
      </c>
      <c r="C187" s="8" t="s">
        <v>176</v>
      </c>
      <c r="D187" s="8">
        <v>65</v>
      </c>
      <c r="E187" s="8" t="s">
        <v>149</v>
      </c>
      <c r="F187" s="8" t="s">
        <v>150</v>
      </c>
      <c r="G187" s="8" t="s">
        <v>177</v>
      </c>
      <c r="H187" s="8" t="s">
        <v>219</v>
      </c>
      <c r="I187" s="9">
        <v>2549000</v>
      </c>
      <c r="J187" s="8" t="s">
        <v>153</v>
      </c>
      <c r="K187" s="8" t="s">
        <v>295</v>
      </c>
      <c r="L187" s="8" t="s">
        <v>405</v>
      </c>
      <c r="M187" s="8" t="s">
        <v>665</v>
      </c>
      <c r="N187" s="8">
        <v>6</v>
      </c>
      <c r="O187" s="8" t="s">
        <v>191</v>
      </c>
      <c r="P187" s="8">
        <v>6</v>
      </c>
      <c r="Q187" s="8" t="s">
        <v>204</v>
      </c>
      <c r="R187" s="8" t="s">
        <v>172</v>
      </c>
      <c r="S187" s="10">
        <v>0.99</v>
      </c>
      <c r="T187" s="9">
        <v>1238000</v>
      </c>
      <c r="U187" s="8" t="s">
        <v>231</v>
      </c>
    </row>
    <row r="188" spans="1:21" ht="26" x14ac:dyDescent="0.2">
      <c r="A188" s="5" t="s">
        <v>666</v>
      </c>
      <c r="B188" s="5" t="s">
        <v>226</v>
      </c>
      <c r="C188" s="5" t="s">
        <v>176</v>
      </c>
      <c r="D188" s="5">
        <v>65</v>
      </c>
      <c r="E188" s="5" t="s">
        <v>164</v>
      </c>
      <c r="F188" s="5" t="s">
        <v>150</v>
      </c>
      <c r="G188" s="5" t="s">
        <v>210</v>
      </c>
      <c r="H188" s="5" t="s">
        <v>178</v>
      </c>
      <c r="I188" s="6">
        <v>8103000</v>
      </c>
      <c r="J188" s="5" t="s">
        <v>188</v>
      </c>
      <c r="K188" s="5" t="s">
        <v>201</v>
      </c>
      <c r="L188" s="5" t="s">
        <v>576</v>
      </c>
      <c r="M188" s="5" t="s">
        <v>451</v>
      </c>
      <c r="N188" s="5">
        <v>11</v>
      </c>
      <c r="O188" s="5" t="s">
        <v>170</v>
      </c>
      <c r="P188" s="5">
        <v>10</v>
      </c>
      <c r="Q188" s="5" t="s">
        <v>171</v>
      </c>
      <c r="R188" s="5" t="s">
        <v>205</v>
      </c>
      <c r="S188" s="7">
        <v>0.33</v>
      </c>
      <c r="T188" s="6">
        <v>5892000</v>
      </c>
      <c r="U188" s="5" t="s">
        <v>254</v>
      </c>
    </row>
    <row r="189" spans="1:21" ht="26" x14ac:dyDescent="0.2">
      <c r="A189" s="8" t="s">
        <v>667</v>
      </c>
      <c r="B189" s="8" t="s">
        <v>281</v>
      </c>
      <c r="C189" s="8" t="s">
        <v>250</v>
      </c>
      <c r="D189" s="8">
        <v>71</v>
      </c>
      <c r="E189" s="8" t="s">
        <v>149</v>
      </c>
      <c r="F189" s="8" t="s">
        <v>227</v>
      </c>
      <c r="G189" s="8" t="s">
        <v>333</v>
      </c>
      <c r="H189" s="8" t="s">
        <v>166</v>
      </c>
      <c r="I189" s="9">
        <v>38627000</v>
      </c>
      <c r="J189" s="8" t="s">
        <v>244</v>
      </c>
      <c r="K189" s="8" t="s">
        <v>154</v>
      </c>
      <c r="L189" s="8" t="s">
        <v>419</v>
      </c>
      <c r="M189" s="8" t="s">
        <v>308</v>
      </c>
      <c r="N189" s="8">
        <v>3</v>
      </c>
      <c r="O189" s="8" t="s">
        <v>291</v>
      </c>
      <c r="P189" s="8">
        <v>2</v>
      </c>
      <c r="Q189" s="8" t="s">
        <v>192</v>
      </c>
      <c r="R189" s="8" t="s">
        <v>159</v>
      </c>
      <c r="S189" s="10">
        <v>0.48</v>
      </c>
      <c r="T189" s="9">
        <v>26289000</v>
      </c>
      <c r="U189" s="8" t="s">
        <v>254</v>
      </c>
    </row>
    <row r="190" spans="1:21" ht="26" x14ac:dyDescent="0.2">
      <c r="A190" s="5" t="s">
        <v>668</v>
      </c>
      <c r="B190" s="5" t="s">
        <v>215</v>
      </c>
      <c r="C190" s="5" t="s">
        <v>242</v>
      </c>
      <c r="D190" s="5">
        <v>43</v>
      </c>
      <c r="E190" s="5" t="s">
        <v>149</v>
      </c>
      <c r="F190" s="5" t="s">
        <v>209</v>
      </c>
      <c r="G190" s="5" t="s">
        <v>210</v>
      </c>
      <c r="H190" s="5" t="s">
        <v>211</v>
      </c>
      <c r="I190" s="6">
        <v>9827000</v>
      </c>
      <c r="J190" s="5" t="s">
        <v>188</v>
      </c>
      <c r="K190" s="5" t="s">
        <v>269</v>
      </c>
      <c r="L190" s="5" t="s">
        <v>669</v>
      </c>
      <c r="M190" s="5" t="s">
        <v>670</v>
      </c>
      <c r="N190" s="5">
        <v>4</v>
      </c>
      <c r="O190" s="5" t="s">
        <v>291</v>
      </c>
      <c r="P190" s="5">
        <v>2</v>
      </c>
      <c r="Q190" s="5" t="s">
        <v>171</v>
      </c>
      <c r="R190" s="5" t="s">
        <v>172</v>
      </c>
      <c r="S190" s="7">
        <v>1</v>
      </c>
      <c r="T190" s="6">
        <v>3884000</v>
      </c>
      <c r="U190" s="5" t="s">
        <v>184</v>
      </c>
    </row>
    <row r="191" spans="1:21" ht="26" x14ac:dyDescent="0.2">
      <c r="A191" s="8" t="s">
        <v>671</v>
      </c>
      <c r="B191" s="8" t="s">
        <v>275</v>
      </c>
      <c r="C191" s="8" t="s">
        <v>256</v>
      </c>
      <c r="D191" s="8">
        <v>49</v>
      </c>
      <c r="E191" s="8" t="s">
        <v>149</v>
      </c>
      <c r="F191" s="8" t="s">
        <v>234</v>
      </c>
      <c r="G191" s="8" t="s">
        <v>199</v>
      </c>
      <c r="H191" s="8" t="s">
        <v>277</v>
      </c>
      <c r="I191" s="9">
        <v>25342000</v>
      </c>
      <c r="J191" s="8" t="s">
        <v>244</v>
      </c>
      <c r="K191" s="8" t="s">
        <v>221</v>
      </c>
      <c r="L191" s="8" t="s">
        <v>672</v>
      </c>
      <c r="M191" s="8" t="s">
        <v>650</v>
      </c>
      <c r="N191" s="8">
        <v>1</v>
      </c>
      <c r="O191" s="8" t="s">
        <v>182</v>
      </c>
      <c r="P191" s="8">
        <v>6</v>
      </c>
      <c r="Q191" s="8" t="s">
        <v>204</v>
      </c>
      <c r="R191" s="8" t="s">
        <v>272</v>
      </c>
      <c r="S191" s="10">
        <v>0.71</v>
      </c>
      <c r="T191" s="9">
        <v>14244000</v>
      </c>
      <c r="U191" s="8" t="s">
        <v>194</v>
      </c>
    </row>
    <row r="192" spans="1:21" ht="26" x14ac:dyDescent="0.2">
      <c r="A192" s="5" t="s">
        <v>673</v>
      </c>
      <c r="B192" s="5" t="s">
        <v>281</v>
      </c>
      <c r="C192" s="5" t="s">
        <v>357</v>
      </c>
      <c r="D192" s="5">
        <v>57</v>
      </c>
      <c r="E192" s="5" t="s">
        <v>149</v>
      </c>
      <c r="F192" s="5" t="s">
        <v>234</v>
      </c>
      <c r="G192" s="5" t="s">
        <v>218</v>
      </c>
      <c r="H192" s="5" t="s">
        <v>211</v>
      </c>
      <c r="I192" s="6">
        <v>150945000</v>
      </c>
      <c r="J192" s="5" t="s">
        <v>228</v>
      </c>
      <c r="K192" s="5" t="s">
        <v>167</v>
      </c>
      <c r="L192" s="5" t="s">
        <v>533</v>
      </c>
      <c r="M192" s="5" t="s">
        <v>461</v>
      </c>
      <c r="N192" s="5">
        <v>9</v>
      </c>
      <c r="O192" s="5" t="s">
        <v>224</v>
      </c>
      <c r="P192" s="5">
        <v>3</v>
      </c>
      <c r="Q192" s="5" t="s">
        <v>171</v>
      </c>
      <c r="R192" s="5" t="s">
        <v>272</v>
      </c>
      <c r="S192" s="7">
        <v>0.73</v>
      </c>
      <c r="T192" s="6">
        <v>48103000</v>
      </c>
      <c r="U192" s="5" t="s">
        <v>184</v>
      </c>
    </row>
    <row r="193" spans="1:21" ht="26" x14ac:dyDescent="0.2">
      <c r="A193" s="8" t="s">
        <v>674</v>
      </c>
      <c r="B193" s="8" t="s">
        <v>312</v>
      </c>
      <c r="C193" s="8" t="s">
        <v>233</v>
      </c>
      <c r="D193" s="8">
        <v>38</v>
      </c>
      <c r="E193" s="8" t="s">
        <v>164</v>
      </c>
      <c r="F193" s="8" t="s">
        <v>209</v>
      </c>
      <c r="G193" s="8" t="s">
        <v>165</v>
      </c>
      <c r="H193" s="8" t="s">
        <v>152</v>
      </c>
      <c r="I193" s="9">
        <v>2059000</v>
      </c>
      <c r="J193" s="8" t="s">
        <v>153</v>
      </c>
      <c r="K193" s="8" t="s">
        <v>154</v>
      </c>
      <c r="L193" s="8" t="s">
        <v>364</v>
      </c>
      <c r="M193" s="8" t="s">
        <v>576</v>
      </c>
      <c r="N193" s="8">
        <v>2</v>
      </c>
      <c r="O193" s="8" t="s">
        <v>182</v>
      </c>
      <c r="P193" s="8">
        <v>9</v>
      </c>
      <c r="Q193" s="8" t="s">
        <v>158</v>
      </c>
      <c r="R193" s="8" t="s">
        <v>193</v>
      </c>
      <c r="S193" s="10">
        <v>0.17</v>
      </c>
      <c r="T193" s="9">
        <v>1267000</v>
      </c>
      <c r="U193" s="8" t="s">
        <v>273</v>
      </c>
    </row>
    <row r="194" spans="1:21" ht="26" x14ac:dyDescent="0.2">
      <c r="A194" s="5" t="s">
        <v>675</v>
      </c>
      <c r="B194" s="5" t="s">
        <v>307</v>
      </c>
      <c r="C194" s="5" t="s">
        <v>176</v>
      </c>
      <c r="D194" s="5">
        <v>68</v>
      </c>
      <c r="E194" s="5" t="s">
        <v>164</v>
      </c>
      <c r="F194" s="5" t="s">
        <v>150</v>
      </c>
      <c r="G194" s="5" t="s">
        <v>347</v>
      </c>
      <c r="H194" s="5" t="s">
        <v>166</v>
      </c>
      <c r="I194" s="6">
        <v>9493000</v>
      </c>
      <c r="J194" s="5" t="s">
        <v>188</v>
      </c>
      <c r="K194" s="5" t="s">
        <v>154</v>
      </c>
      <c r="L194" s="5" t="s">
        <v>670</v>
      </c>
      <c r="M194" s="5" t="s">
        <v>378</v>
      </c>
      <c r="N194" s="5">
        <v>2</v>
      </c>
      <c r="O194" s="5" t="s">
        <v>247</v>
      </c>
      <c r="P194" s="5">
        <v>5</v>
      </c>
      <c r="Q194" s="5" t="s">
        <v>158</v>
      </c>
      <c r="R194" s="5" t="s">
        <v>172</v>
      </c>
      <c r="S194" s="7">
        <v>1</v>
      </c>
      <c r="T194" s="6">
        <v>5331000</v>
      </c>
      <c r="U194" s="5" t="s">
        <v>310</v>
      </c>
    </row>
    <row r="195" spans="1:21" ht="26" x14ac:dyDescent="0.2">
      <c r="A195" s="8" t="s">
        <v>676</v>
      </c>
      <c r="B195" s="8" t="s">
        <v>525</v>
      </c>
      <c r="C195" s="8" t="s">
        <v>250</v>
      </c>
      <c r="D195" s="8">
        <v>53</v>
      </c>
      <c r="E195" s="8" t="s">
        <v>164</v>
      </c>
      <c r="F195" s="8" t="s">
        <v>150</v>
      </c>
      <c r="G195" s="8" t="s">
        <v>257</v>
      </c>
      <c r="H195" s="8" t="s">
        <v>316</v>
      </c>
      <c r="I195" s="9">
        <v>1532000</v>
      </c>
      <c r="J195" s="8" t="s">
        <v>220</v>
      </c>
      <c r="K195" s="8" t="s">
        <v>201</v>
      </c>
      <c r="L195" s="8" t="s">
        <v>677</v>
      </c>
      <c r="M195" s="8" t="s">
        <v>626</v>
      </c>
      <c r="N195" s="8">
        <v>1</v>
      </c>
      <c r="O195" s="8" t="s">
        <v>157</v>
      </c>
      <c r="P195" s="8">
        <v>3</v>
      </c>
      <c r="Q195" s="8" t="s">
        <v>204</v>
      </c>
      <c r="R195" s="8" t="s">
        <v>193</v>
      </c>
      <c r="S195" s="10">
        <v>0.12</v>
      </c>
      <c r="T195" s="9">
        <v>1057000</v>
      </c>
      <c r="U195" s="8" t="s">
        <v>206</v>
      </c>
    </row>
    <row r="196" spans="1:21" ht="26" x14ac:dyDescent="0.2">
      <c r="A196" s="5" t="s">
        <v>678</v>
      </c>
      <c r="B196" s="5" t="s">
        <v>400</v>
      </c>
      <c r="C196" s="5" t="s">
        <v>148</v>
      </c>
      <c r="D196" s="5">
        <v>49</v>
      </c>
      <c r="E196" s="5" t="s">
        <v>149</v>
      </c>
      <c r="F196" s="5" t="s">
        <v>209</v>
      </c>
      <c r="G196" s="5" t="s">
        <v>177</v>
      </c>
      <c r="H196" s="5" t="s">
        <v>277</v>
      </c>
      <c r="I196" s="6">
        <v>5499000</v>
      </c>
      <c r="J196" s="5" t="s">
        <v>188</v>
      </c>
      <c r="K196" s="5" t="s">
        <v>167</v>
      </c>
      <c r="L196" s="5" t="s">
        <v>203</v>
      </c>
      <c r="M196" s="5" t="s">
        <v>495</v>
      </c>
      <c r="N196" s="5">
        <v>11</v>
      </c>
      <c r="O196" s="5" t="s">
        <v>291</v>
      </c>
      <c r="P196" s="5">
        <v>8</v>
      </c>
      <c r="Q196" s="5" t="s">
        <v>192</v>
      </c>
      <c r="R196" s="5" t="s">
        <v>265</v>
      </c>
      <c r="S196" s="7">
        <v>0.08</v>
      </c>
      <c r="T196" s="6">
        <v>4098000</v>
      </c>
      <c r="U196" s="5" t="s">
        <v>173</v>
      </c>
    </row>
    <row r="197" spans="1:21" ht="26" x14ac:dyDescent="0.2">
      <c r="A197" s="8" t="s">
        <v>679</v>
      </c>
      <c r="B197" s="8" t="s">
        <v>275</v>
      </c>
      <c r="C197" s="8" t="s">
        <v>437</v>
      </c>
      <c r="D197" s="8">
        <v>56</v>
      </c>
      <c r="E197" s="8" t="s">
        <v>149</v>
      </c>
      <c r="F197" s="8" t="s">
        <v>150</v>
      </c>
      <c r="G197" s="8" t="s">
        <v>333</v>
      </c>
      <c r="H197" s="8" t="s">
        <v>178</v>
      </c>
      <c r="I197" s="9">
        <v>39323000</v>
      </c>
      <c r="J197" s="8" t="s">
        <v>244</v>
      </c>
      <c r="K197" s="8" t="s">
        <v>295</v>
      </c>
      <c r="L197" s="8" t="s">
        <v>348</v>
      </c>
      <c r="M197" s="8" t="s">
        <v>536</v>
      </c>
      <c r="N197" s="8">
        <v>7</v>
      </c>
      <c r="O197" s="8" t="s">
        <v>170</v>
      </c>
      <c r="P197" s="8">
        <v>9</v>
      </c>
      <c r="Q197" s="8" t="s">
        <v>171</v>
      </c>
      <c r="R197" s="8" t="s">
        <v>172</v>
      </c>
      <c r="S197" s="10">
        <v>1</v>
      </c>
      <c r="T197" s="9">
        <v>28522000</v>
      </c>
      <c r="U197" s="8" t="s">
        <v>194</v>
      </c>
    </row>
    <row r="198" spans="1:21" ht="26" x14ac:dyDescent="0.2">
      <c r="A198" s="5" t="s">
        <v>680</v>
      </c>
      <c r="B198" s="5" t="s">
        <v>304</v>
      </c>
      <c r="C198" s="5" t="s">
        <v>294</v>
      </c>
      <c r="D198" s="5">
        <v>38</v>
      </c>
      <c r="E198" s="5" t="s">
        <v>149</v>
      </c>
      <c r="F198" s="5" t="s">
        <v>217</v>
      </c>
      <c r="G198" s="5" t="s">
        <v>218</v>
      </c>
      <c r="H198" s="5" t="s">
        <v>152</v>
      </c>
      <c r="I198" s="6">
        <v>7954000</v>
      </c>
      <c r="J198" s="5" t="s">
        <v>188</v>
      </c>
      <c r="K198" s="5" t="s">
        <v>201</v>
      </c>
      <c r="L198" s="5" t="s">
        <v>327</v>
      </c>
      <c r="M198" s="5" t="s">
        <v>229</v>
      </c>
      <c r="N198" s="5">
        <v>6</v>
      </c>
      <c r="O198" s="5" t="s">
        <v>239</v>
      </c>
      <c r="P198" s="5">
        <v>4</v>
      </c>
      <c r="Q198" s="5" t="s">
        <v>204</v>
      </c>
      <c r="R198" s="5" t="s">
        <v>183</v>
      </c>
      <c r="S198" s="7">
        <v>7.0000000000000007E-2</v>
      </c>
      <c r="T198" s="6">
        <v>5916000</v>
      </c>
      <c r="U198" s="5" t="s">
        <v>298</v>
      </c>
    </row>
    <row r="199" spans="1:21" ht="26" x14ac:dyDescent="0.2">
      <c r="A199" s="8" t="s">
        <v>681</v>
      </c>
      <c r="B199" s="8" t="s">
        <v>304</v>
      </c>
      <c r="C199" s="8" t="s">
        <v>148</v>
      </c>
      <c r="D199" s="8">
        <v>55</v>
      </c>
      <c r="E199" s="8" t="s">
        <v>149</v>
      </c>
      <c r="F199" s="8" t="s">
        <v>150</v>
      </c>
      <c r="G199" s="8" t="s">
        <v>210</v>
      </c>
      <c r="H199" s="8" t="s">
        <v>219</v>
      </c>
      <c r="I199" s="9">
        <v>3730000</v>
      </c>
      <c r="J199" s="8" t="s">
        <v>153</v>
      </c>
      <c r="K199" s="8" t="s">
        <v>179</v>
      </c>
      <c r="L199" s="8" t="s">
        <v>190</v>
      </c>
      <c r="M199" s="8" t="s">
        <v>682</v>
      </c>
      <c r="N199" s="8">
        <v>12</v>
      </c>
      <c r="O199" s="8" t="s">
        <v>157</v>
      </c>
      <c r="P199" s="8">
        <v>8</v>
      </c>
      <c r="Q199" s="8" t="s">
        <v>158</v>
      </c>
      <c r="R199" s="8" t="s">
        <v>159</v>
      </c>
      <c r="S199" s="10">
        <v>0.52</v>
      </c>
      <c r="T199" s="9">
        <v>2380000</v>
      </c>
      <c r="U199" s="8" t="s">
        <v>194</v>
      </c>
    </row>
    <row r="200" spans="1:21" ht="26" x14ac:dyDescent="0.2">
      <c r="A200" s="5" t="s">
        <v>683</v>
      </c>
      <c r="B200" s="5" t="s">
        <v>208</v>
      </c>
      <c r="C200" s="5" t="s">
        <v>233</v>
      </c>
      <c r="D200" s="5">
        <v>38</v>
      </c>
      <c r="E200" s="5" t="s">
        <v>149</v>
      </c>
      <c r="F200" s="5" t="s">
        <v>150</v>
      </c>
      <c r="G200" s="5" t="s">
        <v>218</v>
      </c>
      <c r="H200" s="5" t="s">
        <v>219</v>
      </c>
      <c r="I200" s="6">
        <v>4556000</v>
      </c>
      <c r="J200" s="5" t="s">
        <v>153</v>
      </c>
      <c r="K200" s="5" t="s">
        <v>167</v>
      </c>
      <c r="L200" s="5" t="s">
        <v>351</v>
      </c>
      <c r="M200" s="5" t="s">
        <v>606</v>
      </c>
      <c r="N200" s="5">
        <v>4</v>
      </c>
      <c r="O200" s="5" t="s">
        <v>291</v>
      </c>
      <c r="P200" s="5">
        <v>6</v>
      </c>
      <c r="Q200" s="5" t="s">
        <v>192</v>
      </c>
      <c r="R200" s="5" t="s">
        <v>159</v>
      </c>
      <c r="S200" s="7">
        <v>0.51</v>
      </c>
      <c r="T200" s="6">
        <v>2832000</v>
      </c>
      <c r="U200" s="5" t="s">
        <v>194</v>
      </c>
    </row>
    <row r="201" spans="1:21" ht="26" x14ac:dyDescent="0.2">
      <c r="A201" s="8" t="s">
        <v>684</v>
      </c>
      <c r="B201" s="8" t="s">
        <v>304</v>
      </c>
      <c r="C201" s="8" t="s">
        <v>163</v>
      </c>
      <c r="D201" s="8">
        <v>63</v>
      </c>
      <c r="E201" s="8" t="s">
        <v>149</v>
      </c>
      <c r="F201" s="8" t="s">
        <v>198</v>
      </c>
      <c r="G201" s="8" t="s">
        <v>333</v>
      </c>
      <c r="H201" s="8" t="s">
        <v>152</v>
      </c>
      <c r="I201" s="9">
        <v>3341000</v>
      </c>
      <c r="J201" s="8" t="s">
        <v>153</v>
      </c>
      <c r="K201" s="8" t="s">
        <v>154</v>
      </c>
      <c r="L201" s="8" t="s">
        <v>685</v>
      </c>
      <c r="M201" s="8" t="s">
        <v>619</v>
      </c>
      <c r="N201" s="8">
        <v>7</v>
      </c>
      <c r="O201" s="8" t="s">
        <v>170</v>
      </c>
      <c r="P201" s="8">
        <v>2</v>
      </c>
      <c r="Q201" s="8" t="s">
        <v>192</v>
      </c>
      <c r="R201" s="8" t="s">
        <v>172</v>
      </c>
      <c r="S201" s="10">
        <v>1</v>
      </c>
      <c r="T201" s="9">
        <v>2012000</v>
      </c>
      <c r="U201" s="8" t="s">
        <v>231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210"/>
  <sheetViews>
    <sheetView showGridLines="0" zoomScale="87" workbookViewId="0">
      <pane xSplit="1" ySplit="10" topLeftCell="B11" activePane="bottomRight" state="frozen"/>
      <selection pane="topRight"/>
      <selection pane="bottomLeft"/>
      <selection pane="bottomRight" activeCell="U17" sqref="U17"/>
    </sheetView>
  </sheetViews>
  <sheetFormatPr baseColWidth="10" defaultColWidth="8.83203125" defaultRowHeight="31" customHeight="1" x14ac:dyDescent="0.2"/>
  <cols>
    <col min="1" max="1" width="3" customWidth="1"/>
    <col min="2" max="2" width="13" customWidth="1"/>
    <col min="3" max="4" width="22" customWidth="1"/>
    <col min="5" max="5" width="18" customWidth="1"/>
    <col min="6" max="9" width="12" customWidth="1"/>
    <col min="10" max="10" width="18" customWidth="1"/>
    <col min="11" max="11" width="14" customWidth="1"/>
    <col min="12" max="12" width="22" customWidth="1"/>
  </cols>
  <sheetData>
    <row r="2" spans="2:13" ht="31" customHeight="1" x14ac:dyDescent="0.2">
      <c r="B2" s="69" t="s">
        <v>686</v>
      </c>
      <c r="C2" s="53"/>
      <c r="D2" s="53"/>
      <c r="F2" s="69" t="s">
        <v>687</v>
      </c>
      <c r="G2" s="53"/>
      <c r="H2" s="53"/>
    </row>
    <row r="3" spans="2:13" ht="31" customHeight="1" x14ac:dyDescent="0.2">
      <c r="B3" s="11" t="s">
        <v>688</v>
      </c>
      <c r="C3" s="12">
        <v>0.4</v>
      </c>
      <c r="D3" s="13" t="s">
        <v>689</v>
      </c>
      <c r="F3" s="11" t="s">
        <v>228</v>
      </c>
      <c r="G3" s="14">
        <v>100</v>
      </c>
      <c r="H3" s="13" t="s">
        <v>690</v>
      </c>
    </row>
    <row r="4" spans="2:13" ht="31" customHeight="1" x14ac:dyDescent="0.2">
      <c r="B4" s="11" t="s">
        <v>691</v>
      </c>
      <c r="C4" s="12">
        <v>0.25</v>
      </c>
      <c r="D4" s="13" t="s">
        <v>689</v>
      </c>
      <c r="F4" s="11" t="s">
        <v>244</v>
      </c>
      <c r="G4" s="14">
        <v>75</v>
      </c>
      <c r="H4" s="13" t="s">
        <v>690</v>
      </c>
    </row>
    <row r="5" spans="2:13" ht="31" customHeight="1" x14ac:dyDescent="0.2">
      <c r="B5" s="11" t="s">
        <v>692</v>
      </c>
      <c r="C5" s="12">
        <v>0.2</v>
      </c>
      <c r="D5" s="13" t="s">
        <v>689</v>
      </c>
      <c r="F5" s="11" t="s">
        <v>188</v>
      </c>
      <c r="G5" s="14">
        <v>55</v>
      </c>
      <c r="H5" s="13" t="s">
        <v>690</v>
      </c>
    </row>
    <row r="6" spans="2:13" ht="31" customHeight="1" x14ac:dyDescent="0.2">
      <c r="B6" s="11" t="s">
        <v>693</v>
      </c>
      <c r="C6" s="12">
        <v>0.15</v>
      </c>
      <c r="D6" s="13" t="s">
        <v>689</v>
      </c>
      <c r="F6" s="11" t="s">
        <v>153</v>
      </c>
      <c r="G6" s="14">
        <v>35</v>
      </c>
      <c r="H6" s="13" t="s">
        <v>690</v>
      </c>
    </row>
    <row r="7" spans="2:13" ht="31" customHeight="1" x14ac:dyDescent="0.2">
      <c r="F7" s="11" t="s">
        <v>220</v>
      </c>
      <c r="G7" s="14">
        <v>15</v>
      </c>
      <c r="H7" s="13" t="s">
        <v>690</v>
      </c>
    </row>
    <row r="8" spans="2:13" ht="31" customHeight="1" x14ac:dyDescent="0.25">
      <c r="B8" s="87" t="s">
        <v>74</v>
      </c>
    </row>
    <row r="10" spans="2:13" ht="31" customHeight="1" x14ac:dyDescent="0.2">
      <c r="B10" s="15" t="s">
        <v>125</v>
      </c>
      <c r="C10" s="15" t="s">
        <v>694</v>
      </c>
      <c r="D10" s="15" t="s">
        <v>134</v>
      </c>
      <c r="E10" s="15" t="s">
        <v>695</v>
      </c>
      <c r="F10" s="15" t="s">
        <v>696</v>
      </c>
      <c r="G10" s="15" t="s">
        <v>697</v>
      </c>
      <c r="H10" s="15" t="s">
        <v>698</v>
      </c>
      <c r="I10" s="15" t="s">
        <v>699</v>
      </c>
      <c r="J10" s="15" t="s">
        <v>700</v>
      </c>
      <c r="K10" s="15" t="s">
        <v>701</v>
      </c>
      <c r="L10" s="15" t="s">
        <v>702</v>
      </c>
    </row>
    <row r="11" spans="2:13" ht="31" customHeight="1" x14ac:dyDescent="0.2">
      <c r="B11" s="5" t="s">
        <v>403</v>
      </c>
      <c r="C11" s="5" t="s">
        <v>753</v>
      </c>
      <c r="D11" s="5" t="s">
        <v>228</v>
      </c>
      <c r="E11" s="6">
        <v>423517000</v>
      </c>
      <c r="F11" s="5">
        <v>9</v>
      </c>
      <c r="G11" s="5">
        <v>100</v>
      </c>
      <c r="H11" s="5">
        <v>100</v>
      </c>
      <c r="I11" s="5">
        <v>88</v>
      </c>
      <c r="J11" s="19">
        <v>95.7</v>
      </c>
      <c r="K11" s="5"/>
      <c r="L11" s="20">
        <f>RANK(J11,J$11:J$210,0)</f>
        <v>1</v>
      </c>
      <c r="M11" s="21" t="str">
        <f>IF(J11&gt;=75,"Priority – Immediate Action",IF(J11&gt;=50,"High Potential – Schedule Meeting",IF(J11&gt;=30,"Medium – Nurture",IF(J11&gt;=15,"Low – Monitor","Deprioritise"))))</f>
        <v>Priority – Immediate Action</v>
      </c>
    </row>
    <row r="12" spans="2:13" ht="31" customHeight="1" x14ac:dyDescent="0.2">
      <c r="B12" s="8" t="s">
        <v>485</v>
      </c>
      <c r="C12" s="8" t="s">
        <v>784</v>
      </c>
      <c r="D12" s="8" t="s">
        <v>244</v>
      </c>
      <c r="E12" s="9">
        <v>45370000</v>
      </c>
      <c r="F12" s="8">
        <v>10</v>
      </c>
      <c r="G12" s="8">
        <v>75</v>
      </c>
      <c r="H12" s="8">
        <v>100</v>
      </c>
      <c r="I12" s="8">
        <v>96</v>
      </c>
      <c r="J12" s="16">
        <v>89.4</v>
      </c>
      <c r="K12" s="8"/>
      <c r="L12" s="17">
        <f>RANK(J12,J$11:J$210,0)</f>
        <v>2</v>
      </c>
      <c r="M12" s="18" t="str">
        <f>IF(J12&gt;=75,"Priority – Immediate Action",IF(J12&gt;=50,"High Potential – Schedule Meeting",IF(J12&gt;=30,"Medium – Nurture",IF(J12&gt;=15,"Low – Monitor","Deprioritise"))))</f>
        <v>Priority – Immediate Action</v>
      </c>
    </row>
    <row r="13" spans="2:13" ht="31" customHeight="1" x14ac:dyDescent="0.2">
      <c r="B13" s="5" t="s">
        <v>679</v>
      </c>
      <c r="C13" s="5" t="s">
        <v>865</v>
      </c>
      <c r="D13" s="5" t="s">
        <v>244</v>
      </c>
      <c r="E13" s="6">
        <v>39323000</v>
      </c>
      <c r="F13" s="5">
        <v>9</v>
      </c>
      <c r="G13" s="5">
        <v>75</v>
      </c>
      <c r="H13" s="5">
        <v>100</v>
      </c>
      <c r="I13" s="5">
        <v>56</v>
      </c>
      <c r="J13" s="19">
        <v>80.900000000000006</v>
      </c>
      <c r="K13" s="5"/>
      <c r="L13" s="20">
        <f>RANK(J13,J$11:J$210,0)</f>
        <v>3</v>
      </c>
      <c r="M13" s="21" t="str">
        <f>IF(J13&gt;=75,"Priority – Immediate Action",IF(J13&gt;=50,"High Potential – Schedule Meeting",IF(J13&gt;=30,"Medium – Nurture",IF(J13&gt;=15,"Low – Monitor","Deprioritise"))))</f>
        <v>Priority – Immediate Action</v>
      </c>
    </row>
    <row r="14" spans="2:13" ht="31" customHeight="1" x14ac:dyDescent="0.2">
      <c r="B14" s="5" t="s">
        <v>460</v>
      </c>
      <c r="C14" s="5" t="s">
        <v>717</v>
      </c>
      <c r="D14" s="5" t="s">
        <v>244</v>
      </c>
      <c r="E14" s="6">
        <v>37714000</v>
      </c>
      <c r="F14" s="5">
        <v>9</v>
      </c>
      <c r="G14" s="5">
        <v>75</v>
      </c>
      <c r="H14" s="5">
        <v>100</v>
      </c>
      <c r="I14" s="5">
        <v>48</v>
      </c>
      <c r="J14" s="19">
        <v>79.7</v>
      </c>
      <c r="K14" s="5"/>
      <c r="L14" s="20">
        <f>RANK(J14,J$11:J$210,0)</f>
        <v>4</v>
      </c>
      <c r="M14" s="21" t="str">
        <f>IF(J14&gt;=75,"Priority – Immediate Action",IF(J14&gt;=50,"High Potential – Schedule Meeting",IF(J14&gt;=30,"Medium – Nurture",IF(J14&gt;=15,"Low – Monitor","Deprioritise"))))</f>
        <v>Priority – Immediate Action</v>
      </c>
    </row>
    <row r="15" spans="2:13" ht="31" customHeight="1" x14ac:dyDescent="0.2">
      <c r="B15" s="8" t="s">
        <v>376</v>
      </c>
      <c r="C15" s="8" t="s">
        <v>744</v>
      </c>
      <c r="D15" s="8" t="s">
        <v>228</v>
      </c>
      <c r="E15" s="9">
        <v>89627000</v>
      </c>
      <c r="F15" s="8">
        <v>10</v>
      </c>
      <c r="G15" s="8">
        <v>100</v>
      </c>
      <c r="H15" s="8">
        <v>30</v>
      </c>
      <c r="I15" s="8">
        <v>56</v>
      </c>
      <c r="J15" s="16">
        <v>79.400000000000006</v>
      </c>
      <c r="K15" s="8"/>
      <c r="L15" s="17">
        <f>RANK(J15,J$11:J$210,0)</f>
        <v>5</v>
      </c>
      <c r="M15" s="18" t="str">
        <f>IF(J15&gt;=75,"Priority – Immediate Action",IF(J15&gt;=50,"High Potential – Schedule Meeting",IF(J15&gt;=30,"Medium – Nurture",IF(J15&gt;=15,"Low – Monitor","Deprioritise"))))</f>
        <v>Priority – Immediate Action</v>
      </c>
    </row>
    <row r="16" spans="2:13" ht="31" customHeight="1" x14ac:dyDescent="0.2">
      <c r="B16" s="5" t="s">
        <v>611</v>
      </c>
      <c r="C16" s="5" t="s">
        <v>837</v>
      </c>
      <c r="D16" s="5" t="s">
        <v>228</v>
      </c>
      <c r="E16" s="6">
        <v>255536000</v>
      </c>
      <c r="F16" s="5">
        <v>9</v>
      </c>
      <c r="G16" s="5">
        <v>100</v>
      </c>
      <c r="H16" s="5">
        <v>50</v>
      </c>
      <c r="I16" s="5">
        <v>40</v>
      </c>
      <c r="J16" s="19">
        <v>78.5</v>
      </c>
      <c r="K16" s="5"/>
      <c r="L16" s="20">
        <f>RANK(J16,J$11:J$210,0)</f>
        <v>6</v>
      </c>
      <c r="M16" s="21" t="str">
        <f>IF(J16&gt;=75,"Priority – Immediate Action",IF(J16&gt;=50,"High Potential – Schedule Meeting",IF(J16&gt;=30,"Medium – Nurture",IF(J16&gt;=15,"Low – Monitor","Deprioritise"))))</f>
        <v>Priority – Immediate Action</v>
      </c>
    </row>
    <row r="17" spans="2:13" ht="31" customHeight="1" x14ac:dyDescent="0.2">
      <c r="B17" s="8" t="s">
        <v>657</v>
      </c>
      <c r="C17" s="8" t="s">
        <v>856</v>
      </c>
      <c r="D17" s="8" t="s">
        <v>244</v>
      </c>
      <c r="E17" s="9">
        <v>29551000</v>
      </c>
      <c r="F17" s="8">
        <v>7</v>
      </c>
      <c r="G17" s="8">
        <v>75</v>
      </c>
      <c r="H17" s="8">
        <v>100</v>
      </c>
      <c r="I17" s="8">
        <v>72</v>
      </c>
      <c r="J17" s="16">
        <v>78.3</v>
      </c>
      <c r="K17" s="8"/>
      <c r="L17" s="17">
        <f>RANK(J17,J$11:J$210,0)</f>
        <v>7</v>
      </c>
      <c r="M17" s="18" t="str">
        <f>IF(J17&gt;=75,"Priority – Immediate Action",IF(J17&gt;=50,"High Potential – Schedule Meeting",IF(J17&gt;=30,"Medium – Nurture",IF(J17&gt;=15,"Low – Monitor","Deprioritise"))))</f>
        <v>Priority – Immediate Action</v>
      </c>
    </row>
    <row r="18" spans="2:13" ht="31" customHeight="1" x14ac:dyDescent="0.2">
      <c r="B18" s="8" t="s">
        <v>630</v>
      </c>
      <c r="C18" s="8" t="s">
        <v>703</v>
      </c>
      <c r="D18" s="8" t="s">
        <v>244</v>
      </c>
      <c r="E18" s="9">
        <v>33360000</v>
      </c>
      <c r="F18" s="8">
        <v>6</v>
      </c>
      <c r="G18" s="8">
        <v>75</v>
      </c>
      <c r="H18" s="8">
        <v>100</v>
      </c>
      <c r="I18" s="8">
        <v>88</v>
      </c>
      <c r="J18" s="16">
        <v>78.2</v>
      </c>
      <c r="K18" s="8"/>
      <c r="L18" s="17">
        <f>RANK(J18,J$11:J$210,0)</f>
        <v>8</v>
      </c>
      <c r="M18" s="18" t="str">
        <f>IF(J18&gt;=75,"Priority – Immediate Action",IF(J18&gt;=50,"High Potential – Schedule Meeting",IF(J18&gt;=30,"Medium – Nurture",IF(J18&gt;=15,"Low – Monitor","Deprioritise"))))</f>
        <v>Priority – Immediate Action</v>
      </c>
    </row>
    <row r="19" spans="2:13" ht="31" customHeight="1" x14ac:dyDescent="0.2">
      <c r="B19" s="5" t="s">
        <v>479</v>
      </c>
      <c r="C19" s="5" t="s">
        <v>782</v>
      </c>
      <c r="D19" s="5" t="s">
        <v>244</v>
      </c>
      <c r="E19" s="6">
        <v>47979000</v>
      </c>
      <c r="F19" s="5">
        <v>7</v>
      </c>
      <c r="G19" s="5">
        <v>75</v>
      </c>
      <c r="H19" s="5">
        <v>100</v>
      </c>
      <c r="I19" s="5">
        <v>64</v>
      </c>
      <c r="J19" s="19">
        <v>77.099999999999994</v>
      </c>
      <c r="K19" s="5"/>
      <c r="L19" s="20">
        <f>RANK(J19,J$11:J$210,0)</f>
        <v>9</v>
      </c>
      <c r="M19" s="21" t="str">
        <f>IF(J19&gt;=75,"Priority – Immediate Action",IF(J19&gt;=50,"High Potential – Schedule Meeting",IF(J19&gt;=30,"Medium – Nurture",IF(J19&gt;=15,"Low – Monitor","Deprioritise"))))</f>
        <v>Priority – Immediate Action</v>
      </c>
    </row>
    <row r="20" spans="2:13" ht="31" customHeight="1" x14ac:dyDescent="0.2">
      <c r="B20" s="5" t="s">
        <v>532</v>
      </c>
      <c r="C20" s="5" t="s">
        <v>804</v>
      </c>
      <c r="D20" s="5" t="s">
        <v>188</v>
      </c>
      <c r="E20" s="6">
        <v>8639000</v>
      </c>
      <c r="F20" s="5">
        <v>10</v>
      </c>
      <c r="G20" s="5">
        <v>55</v>
      </c>
      <c r="H20" s="5">
        <v>100</v>
      </c>
      <c r="I20" s="5">
        <v>64</v>
      </c>
      <c r="J20" s="19">
        <v>76.599999999999994</v>
      </c>
      <c r="K20" s="5"/>
      <c r="L20" s="20">
        <f>RANK(J20,J$11:J$210,0)</f>
        <v>10</v>
      </c>
      <c r="M20" s="21" t="str">
        <f>IF(J20&gt;=75,"Priority – Immediate Action",IF(J20&gt;=50,"High Potential – Schedule Meeting",IF(J20&gt;=30,"Medium – Nurture",IF(J20&gt;=15,"Low – Monitor","Deprioritise"))))</f>
        <v>Priority – Immediate Action</v>
      </c>
    </row>
    <row r="21" spans="2:13" ht="31" customHeight="1" x14ac:dyDescent="0.2">
      <c r="B21" s="5" t="s">
        <v>646</v>
      </c>
      <c r="C21" s="5" t="s">
        <v>850</v>
      </c>
      <c r="D21" s="5" t="s">
        <v>244</v>
      </c>
      <c r="E21" s="6">
        <v>25258000</v>
      </c>
      <c r="F21" s="5">
        <v>6</v>
      </c>
      <c r="G21" s="5">
        <v>75</v>
      </c>
      <c r="H21" s="5">
        <v>100</v>
      </c>
      <c r="I21" s="5">
        <v>64</v>
      </c>
      <c r="J21" s="19">
        <v>74.599999999999994</v>
      </c>
      <c r="K21" s="5"/>
      <c r="L21" s="20">
        <f>RANK(J21,J$11:J$210,0)</f>
        <v>11</v>
      </c>
      <c r="M21" s="21" t="str">
        <f>IF(J21&gt;=75,"Priority – Immediate Action",IF(J21&gt;=50,"High Potential – Schedule Meeting",IF(J21&gt;=30,"Medium – Nurture",IF(J21&gt;=15,"Low – Monitor","Deprioritise"))))</f>
        <v>High Potential – Schedule Meeting</v>
      </c>
    </row>
    <row r="22" spans="2:13" ht="31" customHeight="1" x14ac:dyDescent="0.2">
      <c r="B22" s="5" t="s">
        <v>240</v>
      </c>
      <c r="C22" s="5" t="s">
        <v>712</v>
      </c>
      <c r="D22" s="5" t="s">
        <v>244</v>
      </c>
      <c r="E22" s="6">
        <v>36759000</v>
      </c>
      <c r="F22" s="5">
        <v>5</v>
      </c>
      <c r="G22" s="5">
        <v>75</v>
      </c>
      <c r="H22" s="5">
        <v>100</v>
      </c>
      <c r="I22" s="5">
        <v>80</v>
      </c>
      <c r="J22" s="19">
        <v>74.5</v>
      </c>
      <c r="K22" s="5"/>
      <c r="L22" s="20">
        <f>RANK(J22,J$11:J$210,0)</f>
        <v>12</v>
      </c>
      <c r="M22" s="21" t="str">
        <f>IF(J22&gt;=75,"Priority – Immediate Action",IF(J22&gt;=50,"High Potential – Schedule Meeting",IF(J22&gt;=30,"Medium – Nurture",IF(J22&gt;=15,"Low – Monitor","Deprioritise"))))</f>
        <v>High Potential – Schedule Meeting</v>
      </c>
    </row>
    <row r="23" spans="2:13" ht="31" customHeight="1" x14ac:dyDescent="0.2">
      <c r="B23" s="5" t="s">
        <v>267</v>
      </c>
      <c r="C23" s="5" t="s">
        <v>716</v>
      </c>
      <c r="D23" s="5" t="s">
        <v>228</v>
      </c>
      <c r="E23" s="6">
        <v>437819000</v>
      </c>
      <c r="F23" s="5">
        <v>3</v>
      </c>
      <c r="G23" s="5">
        <v>100</v>
      </c>
      <c r="H23" s="5">
        <v>70</v>
      </c>
      <c r="I23" s="5">
        <v>80</v>
      </c>
      <c r="J23" s="19">
        <v>73.5</v>
      </c>
      <c r="K23" s="5"/>
      <c r="L23" s="20">
        <f>RANK(J23,J$11:J$210,0)</f>
        <v>13</v>
      </c>
      <c r="M23" s="21" t="str">
        <f>IF(J23&gt;=75,"Priority – Immediate Action",IF(J23&gt;=50,"High Potential – Schedule Meeting",IF(J23&gt;=30,"Medium – Nurture",IF(J23&gt;=15,"Low – Monitor","Deprioritise"))))</f>
        <v>High Potential – Schedule Meeting</v>
      </c>
    </row>
    <row r="24" spans="2:13" ht="31" customHeight="1" x14ac:dyDescent="0.2">
      <c r="B24" s="8" t="s">
        <v>673</v>
      </c>
      <c r="C24" s="8" t="s">
        <v>848</v>
      </c>
      <c r="D24" s="8" t="s">
        <v>228</v>
      </c>
      <c r="E24" s="9">
        <v>150945000</v>
      </c>
      <c r="F24" s="8">
        <v>3</v>
      </c>
      <c r="G24" s="8">
        <v>100</v>
      </c>
      <c r="H24" s="8">
        <v>70</v>
      </c>
      <c r="I24" s="8">
        <v>72</v>
      </c>
      <c r="J24" s="16">
        <v>72.3</v>
      </c>
      <c r="K24" s="8"/>
      <c r="L24" s="17">
        <f>RANK(J24,J$11:J$210,0)</f>
        <v>14</v>
      </c>
      <c r="M24" s="18" t="str">
        <f>IF(J24&gt;=75,"Priority – Immediate Action",IF(J24&gt;=50,"High Potential – Schedule Meeting",IF(J24&gt;=30,"Medium – Nurture",IF(J24&gt;=15,"Low – Monitor","Deprioritise"))))</f>
        <v>High Potential – Schedule Meeting</v>
      </c>
    </row>
    <row r="25" spans="2:13" ht="31" customHeight="1" x14ac:dyDescent="0.2">
      <c r="B25" s="8" t="s">
        <v>562</v>
      </c>
      <c r="C25" s="8" t="s">
        <v>814</v>
      </c>
      <c r="D25" s="8" t="s">
        <v>228</v>
      </c>
      <c r="E25" s="9">
        <v>154465000</v>
      </c>
      <c r="F25" s="8">
        <v>6</v>
      </c>
      <c r="G25" s="8">
        <v>100</v>
      </c>
      <c r="H25" s="8">
        <v>50</v>
      </c>
      <c r="I25" s="8">
        <v>48</v>
      </c>
      <c r="J25" s="16">
        <v>72.2</v>
      </c>
      <c r="K25" s="8"/>
      <c r="L25" s="17">
        <f>RANK(J25,J$11:J$210,0)</f>
        <v>15</v>
      </c>
      <c r="M25" s="18" t="str">
        <f>IF(J25&gt;=75,"Priority – Immediate Action",IF(J25&gt;=50,"High Potential – Schedule Meeting",IF(J25&gt;=30,"Medium – Nurture",IF(J25&gt;=15,"Low – Monitor","Deprioritise"))))</f>
        <v>High Potential – Schedule Meeting</v>
      </c>
    </row>
    <row r="26" spans="2:13" ht="31" customHeight="1" x14ac:dyDescent="0.2">
      <c r="B26" s="5" t="s">
        <v>255</v>
      </c>
      <c r="C26" s="5" t="s">
        <v>714</v>
      </c>
      <c r="D26" s="5" t="s">
        <v>228</v>
      </c>
      <c r="E26" s="6">
        <v>499677000</v>
      </c>
      <c r="F26" s="5">
        <v>9</v>
      </c>
      <c r="G26" s="5">
        <v>100</v>
      </c>
      <c r="H26" s="5">
        <v>5</v>
      </c>
      <c r="I26" s="5">
        <v>56</v>
      </c>
      <c r="J26" s="19">
        <v>71.900000000000006</v>
      </c>
      <c r="K26" s="5"/>
      <c r="L26" s="20">
        <f>RANK(J26,J$11:J$210,0)</f>
        <v>16</v>
      </c>
      <c r="M26" s="21" t="str">
        <f>IF(J26&gt;=75,"Priority – Immediate Action",IF(J26&gt;=50,"High Potential – Schedule Meeting",IF(J26&gt;=30,"Medium – Nurture",IF(J26&gt;=15,"Low – Monitor","Deprioritise"))))</f>
        <v>High Potential – Schedule Meeting</v>
      </c>
    </row>
    <row r="27" spans="2:13" ht="31" customHeight="1" x14ac:dyDescent="0.2">
      <c r="B27" s="5" t="s">
        <v>337</v>
      </c>
      <c r="C27" s="5" t="s">
        <v>731</v>
      </c>
      <c r="D27" s="5" t="s">
        <v>244</v>
      </c>
      <c r="E27" s="6">
        <v>15049000</v>
      </c>
      <c r="F27" s="5">
        <v>7</v>
      </c>
      <c r="G27" s="5">
        <v>75</v>
      </c>
      <c r="H27" s="5">
        <v>50</v>
      </c>
      <c r="I27" s="5">
        <v>96</v>
      </c>
      <c r="J27" s="19">
        <v>71.900000000000006</v>
      </c>
      <c r="K27" s="5"/>
      <c r="L27" s="20">
        <f>RANK(J27,J$11:J$210,0)</f>
        <v>16</v>
      </c>
      <c r="M27" s="21" t="str">
        <f>IF(J27&gt;=75,"Priority – Immediate Action",IF(J27&gt;=50,"High Potential – Schedule Meeting",IF(J27&gt;=30,"Medium – Nurture",IF(J27&gt;=15,"Low – Monitor","Deprioritise"))))</f>
        <v>High Potential – Schedule Meeting</v>
      </c>
    </row>
    <row r="28" spans="2:13" ht="31" customHeight="1" x14ac:dyDescent="0.2">
      <c r="B28" s="8" t="s">
        <v>394</v>
      </c>
      <c r="C28" s="8" t="s">
        <v>750</v>
      </c>
      <c r="D28" s="8" t="s">
        <v>188</v>
      </c>
      <c r="E28" s="9">
        <v>9605000</v>
      </c>
      <c r="F28" s="8">
        <v>9</v>
      </c>
      <c r="G28" s="8">
        <v>55</v>
      </c>
      <c r="H28" s="8">
        <v>70</v>
      </c>
      <c r="I28" s="8">
        <v>88</v>
      </c>
      <c r="J28" s="16">
        <v>71.7</v>
      </c>
      <c r="K28" s="8"/>
      <c r="L28" s="17">
        <f>RANK(J28,J$11:J$210,0)</f>
        <v>18</v>
      </c>
      <c r="M28" s="18" t="str">
        <f>IF(J28&gt;=75,"Priority – Immediate Action",IF(J28&gt;=50,"High Potential – Schedule Meeting",IF(J28&gt;=30,"Medium – Nurture",IF(J28&gt;=15,"Low – Monitor","Deprioritise"))))</f>
        <v>High Potential – Schedule Meeting</v>
      </c>
    </row>
    <row r="29" spans="2:13" ht="31" customHeight="1" x14ac:dyDescent="0.2">
      <c r="B29" s="5" t="s">
        <v>601</v>
      </c>
      <c r="C29" s="5" t="s">
        <v>834</v>
      </c>
      <c r="D29" s="5" t="s">
        <v>188</v>
      </c>
      <c r="E29" s="6">
        <v>9888000</v>
      </c>
      <c r="F29" s="5">
        <v>7</v>
      </c>
      <c r="G29" s="5">
        <v>55</v>
      </c>
      <c r="H29" s="5">
        <v>100</v>
      </c>
      <c r="I29" s="5">
        <v>80</v>
      </c>
      <c r="J29" s="19">
        <v>71.5</v>
      </c>
      <c r="K29" s="5"/>
      <c r="L29" s="20">
        <f>RANK(J29,J$11:J$210,0)</f>
        <v>19</v>
      </c>
      <c r="M29" s="21" t="str">
        <f>IF(J29&gt;=75,"Priority – Immediate Action",IF(J29&gt;=50,"High Potential – Schedule Meeting",IF(J29&gt;=30,"Medium – Nurture",IF(J29&gt;=15,"Low – Monitor","Deprioritise"))))</f>
        <v>High Potential – Schedule Meeting</v>
      </c>
    </row>
    <row r="30" spans="2:13" ht="31" customHeight="1" x14ac:dyDescent="0.2">
      <c r="B30" s="8" t="s">
        <v>545</v>
      </c>
      <c r="C30" s="8" t="s">
        <v>808</v>
      </c>
      <c r="D30" s="8" t="s">
        <v>244</v>
      </c>
      <c r="E30" s="9">
        <v>18356000</v>
      </c>
      <c r="F30" s="8">
        <v>9</v>
      </c>
      <c r="G30" s="8">
        <v>75</v>
      </c>
      <c r="H30" s="8">
        <v>70</v>
      </c>
      <c r="I30" s="8">
        <v>32</v>
      </c>
      <c r="J30" s="16">
        <v>71.3</v>
      </c>
      <c r="K30" s="8"/>
      <c r="L30" s="17">
        <f>RANK(J30,J$11:J$210,0)</f>
        <v>20</v>
      </c>
      <c r="M30" s="18" t="str">
        <f>IF(J30&gt;=75,"Priority – Immediate Action",IF(J30&gt;=50,"High Potential – Schedule Meeting",IF(J30&gt;=30,"Medium – Nurture",IF(J30&gt;=15,"Low – Monitor","Deprioritise"))))</f>
        <v>High Potential – Schedule Meeting</v>
      </c>
    </row>
    <row r="31" spans="2:13" ht="31" customHeight="1" x14ac:dyDescent="0.2">
      <c r="B31" s="5" t="s">
        <v>565</v>
      </c>
      <c r="C31" s="5" t="s">
        <v>770</v>
      </c>
      <c r="D31" s="5" t="s">
        <v>244</v>
      </c>
      <c r="E31" s="6">
        <v>20736000</v>
      </c>
      <c r="F31" s="5">
        <v>6</v>
      </c>
      <c r="G31" s="5">
        <v>75</v>
      </c>
      <c r="H31" s="5">
        <v>100</v>
      </c>
      <c r="I31" s="5">
        <v>40</v>
      </c>
      <c r="J31" s="19">
        <v>71</v>
      </c>
      <c r="K31" s="5"/>
      <c r="L31" s="20">
        <f>RANK(J31,J$11:J$210,0)</f>
        <v>21</v>
      </c>
      <c r="M31" s="21" t="str">
        <f>IF(J31&gt;=75,"Priority – Immediate Action",IF(J31&gt;=50,"High Potential – Schedule Meeting",IF(J31&gt;=30,"Medium – Nurture",IF(J31&gt;=15,"Low – Monitor","Deprioritise"))))</f>
        <v>High Potential – Schedule Meeting</v>
      </c>
    </row>
    <row r="32" spans="2:13" ht="31" customHeight="1" x14ac:dyDescent="0.2">
      <c r="B32" s="5" t="s">
        <v>592</v>
      </c>
      <c r="C32" s="5" t="s">
        <v>818</v>
      </c>
      <c r="D32" s="5" t="s">
        <v>244</v>
      </c>
      <c r="E32" s="6">
        <v>27186000</v>
      </c>
      <c r="F32" s="5">
        <v>10</v>
      </c>
      <c r="G32" s="5">
        <v>75</v>
      </c>
      <c r="H32" s="5">
        <v>50</v>
      </c>
      <c r="I32" s="5">
        <v>40</v>
      </c>
      <c r="J32" s="19">
        <v>71</v>
      </c>
      <c r="K32" s="5"/>
      <c r="L32" s="20">
        <f>RANK(J32,J$11:J$210,0)</f>
        <v>21</v>
      </c>
      <c r="M32" s="21" t="str">
        <f>IF(J32&gt;=75,"Priority – Immediate Action",IF(J32&gt;=50,"High Potential – Schedule Meeting",IF(J32&gt;=30,"Medium – Nurture",IF(J32&gt;=15,"Low – Monitor","Deprioritise"))))</f>
        <v>High Potential – Schedule Meeting</v>
      </c>
    </row>
    <row r="33" spans="2:13" ht="31" customHeight="1" x14ac:dyDescent="0.2">
      <c r="B33" s="5" t="s">
        <v>468</v>
      </c>
      <c r="C33" s="5" t="s">
        <v>777</v>
      </c>
      <c r="D33" s="5" t="s">
        <v>188</v>
      </c>
      <c r="E33" s="6">
        <v>8969000</v>
      </c>
      <c r="F33" s="5">
        <v>10</v>
      </c>
      <c r="G33" s="5">
        <v>55</v>
      </c>
      <c r="H33" s="5">
        <v>70</v>
      </c>
      <c r="I33" s="5">
        <v>64</v>
      </c>
      <c r="J33" s="19">
        <v>70.599999999999994</v>
      </c>
      <c r="K33" s="5"/>
      <c r="L33" s="20">
        <f>RANK(J33,J$11:J$210,0)</f>
        <v>23</v>
      </c>
      <c r="M33" s="21" t="str">
        <f>IF(J33&gt;=75,"Priority – Immediate Action",IF(J33&gt;=50,"High Potential – Schedule Meeting",IF(J33&gt;=30,"Medium – Nurture",IF(J33&gt;=15,"Low – Monitor","Deprioritise"))))</f>
        <v>High Potential – Schedule Meeting</v>
      </c>
    </row>
    <row r="34" spans="2:13" ht="31" customHeight="1" x14ac:dyDescent="0.2">
      <c r="B34" s="5" t="s">
        <v>605</v>
      </c>
      <c r="C34" s="5" t="s">
        <v>835</v>
      </c>
      <c r="D34" s="5" t="s">
        <v>228</v>
      </c>
      <c r="E34" s="6">
        <v>88796000</v>
      </c>
      <c r="F34" s="5">
        <v>6</v>
      </c>
      <c r="G34" s="5">
        <v>100</v>
      </c>
      <c r="H34" s="5">
        <v>15</v>
      </c>
      <c r="I34" s="5">
        <v>80</v>
      </c>
      <c r="J34" s="19">
        <v>70</v>
      </c>
      <c r="K34" s="5"/>
      <c r="L34" s="20">
        <f>RANK(J34,J$11:J$210,0)</f>
        <v>24</v>
      </c>
      <c r="M34" s="21" t="str">
        <f>IF(J34&gt;=75,"Priority – Immediate Action",IF(J34&gt;=50,"High Potential – Schedule Meeting",IF(J34&gt;=30,"Medium – Nurture",IF(J34&gt;=15,"Low – Monitor","Deprioritise"))))</f>
        <v>High Potential – Schedule Meeting</v>
      </c>
    </row>
    <row r="35" spans="2:13" ht="31" customHeight="1" x14ac:dyDescent="0.2">
      <c r="B35" s="8" t="s">
        <v>387</v>
      </c>
      <c r="C35" s="8" t="s">
        <v>748</v>
      </c>
      <c r="D35" s="8" t="s">
        <v>244</v>
      </c>
      <c r="E35" s="9">
        <v>44241000</v>
      </c>
      <c r="F35" s="8">
        <v>8</v>
      </c>
      <c r="G35" s="8">
        <v>75</v>
      </c>
      <c r="H35" s="8">
        <v>50</v>
      </c>
      <c r="I35" s="8">
        <v>64</v>
      </c>
      <c r="J35" s="16">
        <v>69.599999999999994</v>
      </c>
      <c r="K35" s="8"/>
      <c r="L35" s="17">
        <f>RANK(J35,J$11:J$210,0)</f>
        <v>25</v>
      </c>
      <c r="M35" s="18" t="str">
        <f>IF(J35&gt;=75,"Priority – Immediate Action",IF(J35&gt;=50,"High Potential – Schedule Meeting",IF(J35&gt;=30,"Medium – Nurture",IF(J35&gt;=15,"Low – Monitor","Deprioritise"))))</f>
        <v>High Potential – Schedule Meeting</v>
      </c>
    </row>
    <row r="36" spans="2:13" ht="31" customHeight="1" x14ac:dyDescent="0.2">
      <c r="B36" s="8" t="s">
        <v>431</v>
      </c>
      <c r="C36" s="8" t="s">
        <v>762</v>
      </c>
      <c r="D36" s="8" t="s">
        <v>244</v>
      </c>
      <c r="E36" s="9">
        <v>14889000</v>
      </c>
      <c r="F36" s="8">
        <v>7</v>
      </c>
      <c r="G36" s="8">
        <v>75</v>
      </c>
      <c r="H36" s="8">
        <v>50</v>
      </c>
      <c r="I36" s="8">
        <v>80</v>
      </c>
      <c r="J36" s="16">
        <v>69.5</v>
      </c>
      <c r="K36" s="8"/>
      <c r="L36" s="17">
        <f>RANK(J36,J$11:J$210,0)</f>
        <v>26</v>
      </c>
      <c r="M36" s="18" t="str">
        <f>IF(J36&gt;=75,"Priority – Immediate Action",IF(J36&gt;=50,"High Potential – Schedule Meeting",IF(J36&gt;=30,"Medium – Nurture",IF(J36&gt;=15,"Low – Monitor","Deprioritise"))))</f>
        <v>High Potential – Schedule Meeting</v>
      </c>
    </row>
    <row r="37" spans="2:13" ht="31" customHeight="1" x14ac:dyDescent="0.2">
      <c r="B37" s="5" t="s">
        <v>476</v>
      </c>
      <c r="C37" s="5" t="s">
        <v>780</v>
      </c>
      <c r="D37" s="5" t="s">
        <v>244</v>
      </c>
      <c r="E37" s="6">
        <v>41892000</v>
      </c>
      <c r="F37" s="5">
        <v>10</v>
      </c>
      <c r="G37" s="5">
        <v>75</v>
      </c>
      <c r="H37" s="5">
        <v>30</v>
      </c>
      <c r="I37" s="5">
        <v>56</v>
      </c>
      <c r="J37" s="19">
        <v>69.400000000000006</v>
      </c>
      <c r="K37" s="5"/>
      <c r="L37" s="20">
        <f>RANK(J37,J$11:J$210,0)</f>
        <v>27</v>
      </c>
      <c r="M37" s="21" t="str">
        <f>IF(J37&gt;=75,"Priority – Immediate Action",IF(J37&gt;=50,"High Potential – Schedule Meeting",IF(J37&gt;=30,"Medium – Nurture",IF(J37&gt;=15,"Low – Monitor","Deprioritise"))))</f>
        <v>High Potential – Schedule Meeting</v>
      </c>
    </row>
    <row r="38" spans="2:13" ht="31" customHeight="1" x14ac:dyDescent="0.2">
      <c r="B38" s="8" t="s">
        <v>607</v>
      </c>
      <c r="C38" s="8" t="s">
        <v>836</v>
      </c>
      <c r="D38" s="8" t="s">
        <v>244</v>
      </c>
      <c r="E38" s="9">
        <v>15077000</v>
      </c>
      <c r="F38" s="8">
        <v>10</v>
      </c>
      <c r="G38" s="8">
        <v>75</v>
      </c>
      <c r="H38" s="8">
        <v>30</v>
      </c>
      <c r="I38" s="8">
        <v>56</v>
      </c>
      <c r="J38" s="16">
        <v>69.400000000000006</v>
      </c>
      <c r="K38" s="8"/>
      <c r="L38" s="17">
        <f>RANK(J38,J$11:J$210,0)</f>
        <v>27</v>
      </c>
      <c r="M38" s="18" t="str">
        <f>IF(J38&gt;=75,"Priority – Immediate Action",IF(J38&gt;=50,"High Potential – Schedule Meeting",IF(J38&gt;=30,"Medium – Nurture",IF(J38&gt;=15,"Low – Monitor","Deprioritise"))))</f>
        <v>High Potential – Schedule Meeting</v>
      </c>
    </row>
    <row r="39" spans="2:13" ht="31" customHeight="1" x14ac:dyDescent="0.2">
      <c r="B39" s="8" t="s">
        <v>517</v>
      </c>
      <c r="C39" s="8" t="s">
        <v>798</v>
      </c>
      <c r="D39" s="8" t="s">
        <v>228</v>
      </c>
      <c r="E39" s="9">
        <v>305583000</v>
      </c>
      <c r="F39" s="8">
        <v>4</v>
      </c>
      <c r="G39" s="8">
        <v>100</v>
      </c>
      <c r="H39" s="8">
        <v>30</v>
      </c>
      <c r="I39" s="8">
        <v>88</v>
      </c>
      <c r="J39" s="16">
        <v>69.2</v>
      </c>
      <c r="K39" s="8"/>
      <c r="L39" s="17">
        <f>RANK(J39,J$11:J$210,0)</f>
        <v>29</v>
      </c>
      <c r="M39" s="18" t="str">
        <f>IF(J39&gt;=75,"Priority – Immediate Action",IF(J39&gt;=50,"High Potential – Schedule Meeting",IF(J39&gt;=30,"Medium – Nurture",IF(J39&gt;=15,"Low – Monitor","Deprioritise"))))</f>
        <v>High Potential – Schedule Meeting</v>
      </c>
    </row>
    <row r="40" spans="2:13" ht="31" customHeight="1" x14ac:dyDescent="0.2">
      <c r="B40" s="8" t="s">
        <v>577</v>
      </c>
      <c r="C40" s="8" t="s">
        <v>822</v>
      </c>
      <c r="D40" s="8" t="s">
        <v>188</v>
      </c>
      <c r="E40" s="9">
        <v>9792000</v>
      </c>
      <c r="F40" s="8">
        <v>8</v>
      </c>
      <c r="G40" s="8">
        <v>55</v>
      </c>
      <c r="H40" s="8">
        <v>70</v>
      </c>
      <c r="I40" s="8">
        <v>88</v>
      </c>
      <c r="J40" s="16">
        <v>69.2</v>
      </c>
      <c r="K40" s="8"/>
      <c r="L40" s="17">
        <f>RANK(J40,J$11:J$210,0)</f>
        <v>29</v>
      </c>
      <c r="M40" s="18" t="str">
        <f>IF(J40&gt;=75,"Priority – Immediate Action",IF(J40&gt;=50,"High Potential – Schedule Meeting",IF(J40&gt;=30,"Medium – Nurture",IF(J40&gt;=15,"Low – Monitor","Deprioritise"))))</f>
        <v>High Potential – Schedule Meeting</v>
      </c>
    </row>
    <row r="41" spans="2:13" ht="31" customHeight="1" x14ac:dyDescent="0.2">
      <c r="B41" s="5" t="s">
        <v>207</v>
      </c>
      <c r="C41" s="5" t="s">
        <v>708</v>
      </c>
      <c r="D41" s="5" t="s">
        <v>188</v>
      </c>
      <c r="E41" s="6">
        <v>6924000</v>
      </c>
      <c r="F41" s="5">
        <v>10</v>
      </c>
      <c r="G41" s="5">
        <v>55</v>
      </c>
      <c r="H41" s="5">
        <v>100</v>
      </c>
      <c r="I41" s="5">
        <v>8</v>
      </c>
      <c r="J41" s="19">
        <v>68.2</v>
      </c>
      <c r="K41" s="5"/>
      <c r="L41" s="20">
        <f>RANK(J41,J$11:J$210,0)</f>
        <v>31</v>
      </c>
      <c r="M41" s="21" t="str">
        <f>IF(J41&gt;=75,"Priority – Immediate Action",IF(J41&gt;=50,"High Potential – Schedule Meeting",IF(J41&gt;=30,"Medium – Nurture",IF(J41&gt;=15,"Low – Monitor","Deprioritise"))))</f>
        <v>High Potential – Schedule Meeting</v>
      </c>
    </row>
    <row r="42" spans="2:13" ht="31" customHeight="1" x14ac:dyDescent="0.2">
      <c r="B42" s="5" t="s">
        <v>452</v>
      </c>
      <c r="C42" s="5" t="s">
        <v>770</v>
      </c>
      <c r="D42" s="5" t="s">
        <v>188</v>
      </c>
      <c r="E42" s="6">
        <v>9049000</v>
      </c>
      <c r="F42" s="5">
        <v>9</v>
      </c>
      <c r="G42" s="5">
        <v>55</v>
      </c>
      <c r="H42" s="5">
        <v>100</v>
      </c>
      <c r="I42" s="5">
        <v>24</v>
      </c>
      <c r="J42" s="19">
        <v>68.099999999999994</v>
      </c>
      <c r="K42" s="5"/>
      <c r="L42" s="20">
        <f>RANK(J42,J$11:J$210,0)</f>
        <v>32</v>
      </c>
      <c r="M42" s="21" t="str">
        <f>IF(J42&gt;=75,"Priority – Immediate Action",IF(J42&gt;=50,"High Potential – Schedule Meeting",IF(J42&gt;=30,"Medium – Nurture",IF(J42&gt;=15,"Low – Monitor","Deprioritise"))))</f>
        <v>High Potential – Schedule Meeting</v>
      </c>
    </row>
    <row r="43" spans="2:13" ht="31" customHeight="1" x14ac:dyDescent="0.2">
      <c r="B43" s="5" t="s">
        <v>528</v>
      </c>
      <c r="C43" s="5" t="s">
        <v>802</v>
      </c>
      <c r="D43" s="5" t="s">
        <v>188</v>
      </c>
      <c r="E43" s="6">
        <v>7284000</v>
      </c>
      <c r="F43" s="5">
        <v>8</v>
      </c>
      <c r="G43" s="5">
        <v>55</v>
      </c>
      <c r="H43" s="5">
        <v>100</v>
      </c>
      <c r="I43" s="5">
        <v>40</v>
      </c>
      <c r="J43" s="19">
        <v>68</v>
      </c>
      <c r="K43" s="5"/>
      <c r="L43" s="20">
        <f>RANK(J43,J$11:J$210,0)</f>
        <v>33</v>
      </c>
      <c r="M43" s="21" t="str">
        <f>IF(J43&gt;=75,"Priority – Immediate Action",IF(J43&gt;=50,"High Potential – Schedule Meeting",IF(J43&gt;=30,"Medium – Nurture",IF(J43&gt;=15,"Low – Monitor","Deprioritise"))))</f>
        <v>High Potential – Schedule Meeting</v>
      </c>
    </row>
    <row r="44" spans="2:13" ht="31" customHeight="1" x14ac:dyDescent="0.2">
      <c r="B44" s="8" t="s">
        <v>510</v>
      </c>
      <c r="C44" s="8" t="s">
        <v>794</v>
      </c>
      <c r="D44" s="8" t="s">
        <v>244</v>
      </c>
      <c r="E44" s="9">
        <v>47659000</v>
      </c>
      <c r="F44" s="8">
        <v>7</v>
      </c>
      <c r="G44" s="8">
        <v>75</v>
      </c>
      <c r="H44" s="8">
        <v>30</v>
      </c>
      <c r="I44" s="8">
        <v>96</v>
      </c>
      <c r="J44" s="16">
        <v>67.900000000000006</v>
      </c>
      <c r="K44" s="8"/>
      <c r="L44" s="17">
        <f>RANK(J44,J$11:J$210,0)</f>
        <v>34</v>
      </c>
      <c r="M44" s="18" t="str">
        <f>IF(J44&gt;=75,"Priority – Immediate Action",IF(J44&gt;=50,"High Potential – Schedule Meeting",IF(J44&gt;=30,"Medium – Nurture",IF(J44&gt;=15,"Low – Monitor","Deprioritise"))))</f>
        <v>High Potential – Schedule Meeting</v>
      </c>
    </row>
    <row r="45" spans="2:13" ht="31" customHeight="1" x14ac:dyDescent="0.2">
      <c r="B45" s="5" t="s">
        <v>548</v>
      </c>
      <c r="C45" s="5" t="s">
        <v>809</v>
      </c>
      <c r="D45" s="5" t="s">
        <v>244</v>
      </c>
      <c r="E45" s="6">
        <v>24386000</v>
      </c>
      <c r="F45" s="5">
        <v>7</v>
      </c>
      <c r="G45" s="5">
        <v>75</v>
      </c>
      <c r="H45" s="5">
        <v>30</v>
      </c>
      <c r="I45" s="5">
        <v>96</v>
      </c>
      <c r="J45" s="19">
        <v>67.900000000000006</v>
      </c>
      <c r="K45" s="5"/>
      <c r="L45" s="20">
        <f>RANK(J45,J$11:J$210,0)</f>
        <v>34</v>
      </c>
      <c r="M45" s="21" t="str">
        <f>IF(J45&gt;=75,"Priority – Immediate Action",IF(J45&gt;=50,"High Potential – Schedule Meeting",IF(J45&gt;=30,"Medium – Nurture",IF(J45&gt;=15,"Low – Monitor","Deprioritise"))))</f>
        <v>High Potential – Schedule Meeting</v>
      </c>
    </row>
    <row r="46" spans="2:13" ht="31" customHeight="1" x14ac:dyDescent="0.2">
      <c r="B46" s="8" t="s">
        <v>489</v>
      </c>
      <c r="C46" s="8" t="s">
        <v>786</v>
      </c>
      <c r="D46" s="8" t="s">
        <v>188</v>
      </c>
      <c r="E46" s="9">
        <v>7754000</v>
      </c>
      <c r="F46" s="8">
        <v>10</v>
      </c>
      <c r="G46" s="8">
        <v>55</v>
      </c>
      <c r="H46" s="8">
        <v>50</v>
      </c>
      <c r="I46" s="8">
        <v>72</v>
      </c>
      <c r="J46" s="16">
        <v>67.8</v>
      </c>
      <c r="K46" s="8"/>
      <c r="L46" s="17">
        <f>RANK(J46,J$11:J$210,0)</f>
        <v>36</v>
      </c>
      <c r="M46" s="18" t="str">
        <f>IF(J46&gt;=75,"Priority – Immediate Action",IF(J46&gt;=50,"High Potential – Schedule Meeting",IF(J46&gt;=30,"Medium – Nurture",IF(J46&gt;=15,"Low – Monitor","Deprioritise"))))</f>
        <v>High Potential – Schedule Meeting</v>
      </c>
    </row>
    <row r="47" spans="2:13" ht="31" customHeight="1" x14ac:dyDescent="0.2">
      <c r="B47" s="8" t="s">
        <v>477</v>
      </c>
      <c r="C47" s="8" t="s">
        <v>781</v>
      </c>
      <c r="D47" s="8" t="s">
        <v>228</v>
      </c>
      <c r="E47" s="9">
        <v>441517000</v>
      </c>
      <c r="F47" s="8">
        <v>3</v>
      </c>
      <c r="G47" s="8">
        <v>100</v>
      </c>
      <c r="H47" s="8">
        <v>30</v>
      </c>
      <c r="I47" s="8">
        <v>88</v>
      </c>
      <c r="J47" s="16">
        <v>66.7</v>
      </c>
      <c r="K47" s="8"/>
      <c r="L47" s="17">
        <f>RANK(J47,J$11:J$210,0)</f>
        <v>37</v>
      </c>
      <c r="M47" s="18" t="str">
        <f>IF(J47&gt;=75,"Priority – Immediate Action",IF(J47&gt;=50,"High Potential – Schedule Meeting",IF(J47&gt;=30,"Medium – Nurture",IF(J47&gt;=15,"Low – Monitor","Deprioritise"))))</f>
        <v>High Potential – Schedule Meeting</v>
      </c>
    </row>
    <row r="48" spans="2:13" ht="31" customHeight="1" x14ac:dyDescent="0.2">
      <c r="B48" s="8" t="s">
        <v>442</v>
      </c>
      <c r="C48" s="8" t="s">
        <v>765</v>
      </c>
      <c r="D48" s="8" t="s">
        <v>228</v>
      </c>
      <c r="E48" s="9">
        <v>185639000</v>
      </c>
      <c r="F48" s="8">
        <v>2</v>
      </c>
      <c r="G48" s="8">
        <v>100</v>
      </c>
      <c r="H48" s="8">
        <v>70</v>
      </c>
      <c r="I48" s="8">
        <v>48</v>
      </c>
      <c r="J48" s="16">
        <v>66.2</v>
      </c>
      <c r="K48" s="8"/>
      <c r="L48" s="17">
        <f>RANK(J48,J$11:J$210,0)</f>
        <v>38</v>
      </c>
      <c r="M48" s="18" t="str">
        <f>IF(J48&gt;=75,"Priority – Immediate Action",IF(J48&gt;=50,"High Potential – Schedule Meeting",IF(J48&gt;=30,"Medium – Nurture",IF(J48&gt;=15,"Low – Monitor","Deprioritise"))))</f>
        <v>High Potential – Schedule Meeting</v>
      </c>
    </row>
    <row r="49" spans="2:13" ht="31" customHeight="1" x14ac:dyDescent="0.2">
      <c r="B49" s="8" t="s">
        <v>475</v>
      </c>
      <c r="C49" s="8" t="s">
        <v>718</v>
      </c>
      <c r="D49" s="8" t="s">
        <v>244</v>
      </c>
      <c r="E49" s="9">
        <v>40132000</v>
      </c>
      <c r="F49" s="8">
        <v>6</v>
      </c>
      <c r="G49" s="8">
        <v>75</v>
      </c>
      <c r="H49" s="8">
        <v>100</v>
      </c>
      <c r="I49" s="8">
        <v>8</v>
      </c>
      <c r="J49" s="16">
        <v>66.2</v>
      </c>
      <c r="K49" s="8"/>
      <c r="L49" s="17">
        <f>RANK(J49,J$11:J$210,0)</f>
        <v>38</v>
      </c>
      <c r="M49" s="18" t="str">
        <f>IF(J49&gt;=75,"Priority – Immediate Action",IF(J49&gt;=50,"High Potential – Schedule Meeting",IF(J49&gt;=30,"Medium – Nurture",IF(J49&gt;=15,"Low – Monitor","Deprioritise"))))</f>
        <v>High Potential – Schedule Meeting</v>
      </c>
    </row>
    <row r="50" spans="2:13" ht="31" customHeight="1" x14ac:dyDescent="0.2">
      <c r="B50" s="8" t="s">
        <v>666</v>
      </c>
      <c r="C50" s="8" t="s">
        <v>742</v>
      </c>
      <c r="D50" s="8" t="s">
        <v>188</v>
      </c>
      <c r="E50" s="9">
        <v>8103000</v>
      </c>
      <c r="F50" s="8">
        <v>10</v>
      </c>
      <c r="G50" s="8">
        <v>55</v>
      </c>
      <c r="H50" s="8">
        <v>30</v>
      </c>
      <c r="I50" s="8">
        <v>88</v>
      </c>
      <c r="J50" s="16">
        <v>66.2</v>
      </c>
      <c r="K50" s="8"/>
      <c r="L50" s="17">
        <f>RANK(J50,J$11:J$210,0)</f>
        <v>38</v>
      </c>
      <c r="M50" s="18" t="str">
        <f>IF(J50&gt;=75,"Priority – Immediate Action",IF(J50&gt;=50,"High Potential – Schedule Meeting",IF(J50&gt;=30,"Medium – Nurture",IF(J50&gt;=15,"Low – Monitor","Deprioritise"))))</f>
        <v>High Potential – Schedule Meeting</v>
      </c>
    </row>
    <row r="51" spans="2:13" ht="31" customHeight="1" x14ac:dyDescent="0.2">
      <c r="B51" s="5" t="s">
        <v>558</v>
      </c>
      <c r="C51" s="5" t="s">
        <v>812</v>
      </c>
      <c r="D51" s="5" t="s">
        <v>244</v>
      </c>
      <c r="E51" s="6">
        <v>17677000</v>
      </c>
      <c r="F51" s="5">
        <v>7</v>
      </c>
      <c r="G51" s="5">
        <v>75</v>
      </c>
      <c r="H51" s="5">
        <v>50</v>
      </c>
      <c r="I51" s="5">
        <v>56</v>
      </c>
      <c r="J51" s="19">
        <v>65.900000000000006</v>
      </c>
      <c r="K51" s="5"/>
      <c r="L51" s="20">
        <f>RANK(J51,J$11:J$210,0)</f>
        <v>41</v>
      </c>
      <c r="M51" s="21" t="str">
        <f>IF(J51&gt;=75,"Priority – Immediate Action",IF(J51&gt;=50,"High Potential – Schedule Meeting",IF(J51&gt;=30,"Medium – Nurture",IF(J51&gt;=15,"Low – Monitor","Deprioritise"))))</f>
        <v>High Potential – Schedule Meeting</v>
      </c>
    </row>
    <row r="52" spans="2:13" ht="31" customHeight="1" x14ac:dyDescent="0.2">
      <c r="B52" s="8" t="s">
        <v>550</v>
      </c>
      <c r="C52" s="8" t="s">
        <v>703</v>
      </c>
      <c r="D52" s="8" t="s">
        <v>244</v>
      </c>
      <c r="E52" s="9">
        <v>17848000</v>
      </c>
      <c r="F52" s="8">
        <v>10</v>
      </c>
      <c r="G52" s="8">
        <v>75</v>
      </c>
      <c r="H52" s="8">
        <v>30</v>
      </c>
      <c r="I52" s="8">
        <v>32</v>
      </c>
      <c r="J52" s="16">
        <v>65.8</v>
      </c>
      <c r="K52" s="8"/>
      <c r="L52" s="17">
        <f>RANK(J52,J$11:J$210,0)</f>
        <v>42</v>
      </c>
      <c r="M52" s="18" t="str">
        <f>IF(J52&gt;=75,"Priority – Immediate Action",IF(J52&gt;=50,"High Potential – Schedule Meeting",IF(J52&gt;=30,"Medium – Nurture",IF(J52&gt;=15,"Low – Monitor","Deprioritise"))))</f>
        <v>High Potential – Schedule Meeting</v>
      </c>
    </row>
    <row r="53" spans="2:13" ht="31" customHeight="1" x14ac:dyDescent="0.2">
      <c r="B53" s="5" t="s">
        <v>643</v>
      </c>
      <c r="C53" s="5" t="s">
        <v>848</v>
      </c>
      <c r="D53" s="5" t="s">
        <v>188</v>
      </c>
      <c r="E53" s="6">
        <v>7171000</v>
      </c>
      <c r="F53" s="5">
        <v>10</v>
      </c>
      <c r="G53" s="5">
        <v>55</v>
      </c>
      <c r="H53" s="5">
        <v>70</v>
      </c>
      <c r="I53" s="5">
        <v>32</v>
      </c>
      <c r="J53" s="19">
        <v>65.8</v>
      </c>
      <c r="K53" s="5"/>
      <c r="L53" s="20">
        <f>RANK(J53,J$11:J$210,0)</f>
        <v>42</v>
      </c>
      <c r="M53" s="21" t="str">
        <f>IF(J53&gt;=75,"Priority – Immediate Action",IF(J53&gt;=50,"High Potential – Schedule Meeting",IF(J53&gt;=30,"Medium – Nurture",IF(J53&gt;=15,"Low – Monitor","Deprioritise"))))</f>
        <v>High Potential – Schedule Meeting</v>
      </c>
    </row>
    <row r="54" spans="2:13" ht="31" customHeight="1" x14ac:dyDescent="0.2">
      <c r="B54" s="5" t="s">
        <v>524</v>
      </c>
      <c r="C54" s="5" t="s">
        <v>800</v>
      </c>
      <c r="D54" s="5" t="s">
        <v>220</v>
      </c>
      <c r="E54" s="6">
        <v>1217000</v>
      </c>
      <c r="F54" s="5">
        <v>10</v>
      </c>
      <c r="G54" s="5">
        <v>15</v>
      </c>
      <c r="H54" s="5">
        <v>100</v>
      </c>
      <c r="I54" s="5">
        <v>96</v>
      </c>
      <c r="J54" s="19">
        <v>65.400000000000006</v>
      </c>
      <c r="K54" s="5"/>
      <c r="L54" s="20">
        <f>RANK(J54,J$11:J$210,0)</f>
        <v>44</v>
      </c>
      <c r="M54" s="21" t="str">
        <f>IF(J54&gt;=75,"Priority – Immediate Action",IF(J54&gt;=50,"High Potential – Schedule Meeting",IF(J54&gt;=30,"Medium – Nurture",IF(J54&gt;=15,"Low – Monitor","Deprioritise"))))</f>
        <v>High Potential – Schedule Meeting</v>
      </c>
    </row>
    <row r="55" spans="2:13" ht="31" customHeight="1" x14ac:dyDescent="0.2">
      <c r="B55" s="8" t="s">
        <v>609</v>
      </c>
      <c r="C55" s="8" t="s">
        <v>764</v>
      </c>
      <c r="D55" s="8" t="s">
        <v>244</v>
      </c>
      <c r="E55" s="9">
        <v>19931000</v>
      </c>
      <c r="F55" s="8">
        <v>10</v>
      </c>
      <c r="G55" s="8">
        <v>75</v>
      </c>
      <c r="H55" s="8">
        <v>15</v>
      </c>
      <c r="I55" s="8">
        <v>48</v>
      </c>
      <c r="J55" s="16">
        <v>65.2</v>
      </c>
      <c r="K55" s="8"/>
      <c r="L55" s="17">
        <f>RANK(J55,J$11:J$210,0)</f>
        <v>45</v>
      </c>
      <c r="M55" s="18" t="str">
        <f>IF(J55&gt;=75,"Priority – Immediate Action",IF(J55&gt;=50,"High Potential – Schedule Meeting",IF(J55&gt;=30,"Medium – Nurture",IF(J55&gt;=15,"Low – Monitor","Deprioritise"))))</f>
        <v>High Potential – Schedule Meeting</v>
      </c>
    </row>
    <row r="56" spans="2:13" ht="31" customHeight="1" x14ac:dyDescent="0.2">
      <c r="B56" s="8" t="s">
        <v>293</v>
      </c>
      <c r="C56" s="8" t="s">
        <v>721</v>
      </c>
      <c r="D56" s="8" t="s">
        <v>228</v>
      </c>
      <c r="E56" s="9">
        <v>381454000</v>
      </c>
      <c r="F56" s="8">
        <v>8</v>
      </c>
      <c r="G56" s="8">
        <v>100</v>
      </c>
      <c r="H56" s="8">
        <v>5</v>
      </c>
      <c r="I56" s="8">
        <v>24</v>
      </c>
      <c r="J56" s="16">
        <v>64.599999999999994</v>
      </c>
      <c r="K56" s="8"/>
      <c r="L56" s="17">
        <f>RANK(J56,J$11:J$210,0)</f>
        <v>46</v>
      </c>
      <c r="M56" s="18" t="str">
        <f>IF(J56&gt;=75,"Priority – Immediate Action",IF(J56&gt;=50,"High Potential – Schedule Meeting",IF(J56&gt;=30,"Medium – Nurture",IF(J56&gt;=15,"Low – Monitor","Deprioritise"))))</f>
        <v>High Potential – Schedule Meeting</v>
      </c>
    </row>
    <row r="57" spans="2:13" ht="31" customHeight="1" x14ac:dyDescent="0.2">
      <c r="B57" s="8" t="s">
        <v>494</v>
      </c>
      <c r="C57" s="8" t="s">
        <v>788</v>
      </c>
      <c r="D57" s="8" t="s">
        <v>244</v>
      </c>
      <c r="E57" s="9">
        <v>34266000</v>
      </c>
      <c r="F57" s="8">
        <v>10</v>
      </c>
      <c r="G57" s="8">
        <v>75</v>
      </c>
      <c r="H57" s="8">
        <v>30</v>
      </c>
      <c r="I57" s="8">
        <v>24</v>
      </c>
      <c r="J57" s="16">
        <v>64.599999999999994</v>
      </c>
      <c r="K57" s="8"/>
      <c r="L57" s="17">
        <f>RANK(J57,J$11:J$210,0)</f>
        <v>46</v>
      </c>
      <c r="M57" s="18" t="str">
        <f>IF(J57&gt;=75,"Priority – Immediate Action",IF(J57&gt;=50,"High Potential – Schedule Meeting",IF(J57&gt;=30,"Medium – Nurture",IF(J57&gt;=15,"Low – Monitor","Deprioritise"))))</f>
        <v>High Potential – Schedule Meeting</v>
      </c>
    </row>
    <row r="58" spans="2:13" ht="31" customHeight="1" x14ac:dyDescent="0.2">
      <c r="B58" s="8" t="s">
        <v>590</v>
      </c>
      <c r="C58" s="8" t="s">
        <v>828</v>
      </c>
      <c r="D58" s="8" t="s">
        <v>244</v>
      </c>
      <c r="E58" s="9">
        <v>13021000</v>
      </c>
      <c r="F58" s="8">
        <v>9</v>
      </c>
      <c r="G58" s="8">
        <v>75</v>
      </c>
      <c r="H58" s="8">
        <v>30</v>
      </c>
      <c r="I58" s="8">
        <v>40</v>
      </c>
      <c r="J58" s="16">
        <v>64.5</v>
      </c>
      <c r="K58" s="8"/>
      <c r="L58" s="17">
        <f>RANK(J58,J$11:J$210,0)</f>
        <v>48</v>
      </c>
      <c r="M58" s="18" t="str">
        <f>IF(J58&gt;=75,"Priority – Immediate Action",IF(J58&gt;=50,"High Potential – Schedule Meeting",IF(J58&gt;=30,"Medium – Nurture",IF(J58&gt;=15,"Low – Monitor","Deprioritise"))))</f>
        <v>High Potential – Schedule Meeting</v>
      </c>
    </row>
    <row r="59" spans="2:13" ht="31" customHeight="1" x14ac:dyDescent="0.2">
      <c r="B59" s="5" t="s">
        <v>639</v>
      </c>
      <c r="C59" s="5" t="s">
        <v>710</v>
      </c>
      <c r="D59" s="5" t="s">
        <v>244</v>
      </c>
      <c r="E59" s="6">
        <v>41481000</v>
      </c>
      <c r="F59" s="5">
        <v>4</v>
      </c>
      <c r="G59" s="5">
        <v>75</v>
      </c>
      <c r="H59" s="5">
        <v>50</v>
      </c>
      <c r="I59" s="5">
        <v>96</v>
      </c>
      <c r="J59" s="19">
        <v>64.400000000000006</v>
      </c>
      <c r="K59" s="5"/>
      <c r="L59" s="20">
        <f>RANK(J59,J$11:J$210,0)</f>
        <v>49</v>
      </c>
      <c r="M59" s="21" t="str">
        <f>IF(J59&gt;=75,"Priority – Immediate Action",IF(J59&gt;=50,"High Potential – Schedule Meeting",IF(J59&gt;=30,"Medium – Nurture",IF(J59&gt;=15,"Low – Monitor","Deprioritise"))))</f>
        <v>High Potential – Schedule Meeting</v>
      </c>
    </row>
    <row r="60" spans="2:13" ht="31" customHeight="1" x14ac:dyDescent="0.2">
      <c r="B60" s="8" t="s">
        <v>232</v>
      </c>
      <c r="C60" s="8" t="s">
        <v>711</v>
      </c>
      <c r="D60" s="8" t="s">
        <v>188</v>
      </c>
      <c r="E60" s="9">
        <v>7588000</v>
      </c>
      <c r="F60" s="8">
        <v>10</v>
      </c>
      <c r="G60" s="8">
        <v>55</v>
      </c>
      <c r="H60" s="8">
        <v>50</v>
      </c>
      <c r="I60" s="8">
        <v>48</v>
      </c>
      <c r="J60" s="16">
        <v>64.2</v>
      </c>
      <c r="K60" s="8"/>
      <c r="L60" s="17">
        <f>RANK(J60,J$11:J$210,0)</f>
        <v>50</v>
      </c>
      <c r="M60" s="18" t="str">
        <f>IF(J60&gt;=75,"Priority – Immediate Action",IF(J60&gt;=50,"High Potential – Schedule Meeting",IF(J60&gt;=30,"Medium – Nurture",IF(J60&gt;=15,"Low – Monitor","Deprioritise"))))</f>
        <v>High Potential – Schedule Meeting</v>
      </c>
    </row>
    <row r="61" spans="2:13" ht="31" customHeight="1" x14ac:dyDescent="0.2">
      <c r="B61" s="8" t="s">
        <v>502</v>
      </c>
      <c r="C61" s="8" t="s">
        <v>762</v>
      </c>
      <c r="D61" s="8" t="s">
        <v>228</v>
      </c>
      <c r="E61" s="9">
        <v>67511000</v>
      </c>
      <c r="F61" s="8">
        <v>7</v>
      </c>
      <c r="G61" s="8">
        <v>100</v>
      </c>
      <c r="H61" s="8">
        <v>15</v>
      </c>
      <c r="I61" s="8">
        <v>24</v>
      </c>
      <c r="J61" s="16">
        <v>64.099999999999994</v>
      </c>
      <c r="K61" s="8"/>
      <c r="L61" s="17">
        <f>RANK(J61,J$11:J$210,0)</f>
        <v>51</v>
      </c>
      <c r="M61" s="18" t="str">
        <f>IF(J61&gt;=75,"Priority – Immediate Action",IF(J61&gt;=50,"High Potential – Schedule Meeting",IF(J61&gt;=30,"Medium – Nurture",IF(J61&gt;=15,"Low – Monitor","Deprioritise"))))</f>
        <v>High Potential – Schedule Meeting</v>
      </c>
    </row>
    <row r="62" spans="2:13" ht="31" customHeight="1" x14ac:dyDescent="0.2">
      <c r="B62" s="8" t="s">
        <v>353</v>
      </c>
      <c r="C62" s="8" t="s">
        <v>736</v>
      </c>
      <c r="D62" s="8" t="s">
        <v>244</v>
      </c>
      <c r="E62" s="9">
        <v>38114000</v>
      </c>
      <c r="F62" s="8">
        <v>7</v>
      </c>
      <c r="G62" s="8">
        <v>75</v>
      </c>
      <c r="H62" s="8">
        <v>70</v>
      </c>
      <c r="I62" s="8">
        <v>16</v>
      </c>
      <c r="J62" s="16">
        <v>63.9</v>
      </c>
      <c r="K62" s="8"/>
      <c r="L62" s="17">
        <f>RANK(J62,J$11:J$210,0)</f>
        <v>52</v>
      </c>
      <c r="M62" s="18" t="str">
        <f>IF(J62&gt;=75,"Priority – Immediate Action",IF(J62&gt;=50,"High Potential – Schedule Meeting",IF(J62&gt;=30,"Medium – Nurture",IF(J62&gt;=15,"Low – Monitor","Deprioritise"))))</f>
        <v>High Potential – Schedule Meeting</v>
      </c>
    </row>
    <row r="63" spans="2:13" ht="31" customHeight="1" x14ac:dyDescent="0.2">
      <c r="B63" s="8" t="s">
        <v>436</v>
      </c>
      <c r="C63" s="8" t="s">
        <v>763</v>
      </c>
      <c r="D63" s="8" t="s">
        <v>244</v>
      </c>
      <c r="E63" s="9">
        <v>35327000</v>
      </c>
      <c r="F63" s="8">
        <v>9</v>
      </c>
      <c r="G63" s="8">
        <v>75</v>
      </c>
      <c r="H63" s="8">
        <v>15</v>
      </c>
      <c r="I63" s="8">
        <v>56</v>
      </c>
      <c r="J63" s="16">
        <v>63.9</v>
      </c>
      <c r="K63" s="8"/>
      <c r="L63" s="17">
        <f>RANK(J63,J$11:J$210,0)</f>
        <v>52</v>
      </c>
      <c r="M63" s="18" t="str">
        <f>IF(J63&gt;=75,"Priority – Immediate Action",IF(J63&gt;=50,"High Potential – Schedule Meeting",IF(J63&gt;=30,"Medium – Nurture",IF(J63&gt;=15,"Low – Monitor","Deprioritise"))))</f>
        <v>High Potential – Schedule Meeting</v>
      </c>
    </row>
    <row r="64" spans="2:13" ht="31" customHeight="1" x14ac:dyDescent="0.2">
      <c r="B64" s="5" t="s">
        <v>306</v>
      </c>
      <c r="C64" s="5" t="s">
        <v>724</v>
      </c>
      <c r="D64" s="5" t="s">
        <v>244</v>
      </c>
      <c r="E64" s="6">
        <v>37888000</v>
      </c>
      <c r="F64" s="5">
        <v>6</v>
      </c>
      <c r="G64" s="5">
        <v>75</v>
      </c>
      <c r="H64" s="5">
        <v>50</v>
      </c>
      <c r="I64" s="5">
        <v>56</v>
      </c>
      <c r="J64" s="19">
        <v>63.4</v>
      </c>
      <c r="K64" s="5"/>
      <c r="L64" s="20">
        <f>RANK(J64,J$11:J$210,0)</f>
        <v>54</v>
      </c>
      <c r="M64" s="21" t="str">
        <f>IF(J64&gt;=75,"Priority – Immediate Action",IF(J64&gt;=50,"High Potential – Schedule Meeting",IF(J64&gt;=30,"Medium – Nurture",IF(J64&gt;=15,"Low – Monitor","Deprioritise"))))</f>
        <v>High Potential – Schedule Meeting</v>
      </c>
    </row>
    <row r="65" spans="2:13" ht="31" customHeight="1" x14ac:dyDescent="0.2">
      <c r="B65" s="5" t="s">
        <v>447</v>
      </c>
      <c r="C65" s="5" t="s">
        <v>768</v>
      </c>
      <c r="D65" s="5" t="s">
        <v>244</v>
      </c>
      <c r="E65" s="6">
        <v>15858000</v>
      </c>
      <c r="F65" s="5">
        <v>4</v>
      </c>
      <c r="G65" s="5">
        <v>75</v>
      </c>
      <c r="H65" s="5">
        <v>50</v>
      </c>
      <c r="I65" s="5">
        <v>88</v>
      </c>
      <c r="J65" s="19">
        <v>63.2</v>
      </c>
      <c r="K65" s="5"/>
      <c r="L65" s="20">
        <f>RANK(J65,J$11:J$210,0)</f>
        <v>55</v>
      </c>
      <c r="M65" s="21" t="str">
        <f>IF(J65&gt;=75,"Priority – Immediate Action",IF(J65&gt;=50,"High Potential – Schedule Meeting",IF(J65&gt;=30,"Medium – Nurture",IF(J65&gt;=15,"Low – Monitor","Deprioritise"))))</f>
        <v>High Potential – Schedule Meeting</v>
      </c>
    </row>
    <row r="66" spans="2:13" ht="31" customHeight="1" x14ac:dyDescent="0.2">
      <c r="B66" s="5" t="s">
        <v>329</v>
      </c>
      <c r="C66" s="5" t="s">
        <v>730</v>
      </c>
      <c r="D66" s="5" t="s">
        <v>244</v>
      </c>
      <c r="E66" s="6">
        <v>37166000</v>
      </c>
      <c r="F66" s="5">
        <v>8</v>
      </c>
      <c r="G66" s="5">
        <v>75</v>
      </c>
      <c r="H66" s="5">
        <v>5</v>
      </c>
      <c r="I66" s="5">
        <v>80</v>
      </c>
      <c r="J66" s="19">
        <v>63</v>
      </c>
      <c r="K66" s="5"/>
      <c r="L66" s="20">
        <f>RANK(J66,J$11:J$210,0)</f>
        <v>56</v>
      </c>
      <c r="M66" s="21" t="str">
        <f>IF(J66&gt;=75,"Priority – Immediate Action",IF(J66&gt;=50,"High Potential – Schedule Meeting",IF(J66&gt;=30,"Medium – Nurture",IF(J66&gt;=15,"Low – Monitor","Deprioritise"))))</f>
        <v>High Potential – Schedule Meeting</v>
      </c>
    </row>
    <row r="67" spans="2:13" ht="31" customHeight="1" x14ac:dyDescent="0.2">
      <c r="B67" s="5" t="s">
        <v>614</v>
      </c>
      <c r="C67" s="5" t="s">
        <v>839</v>
      </c>
      <c r="D67" s="5" t="s">
        <v>188</v>
      </c>
      <c r="E67" s="6">
        <v>9478000</v>
      </c>
      <c r="F67" s="5">
        <v>8</v>
      </c>
      <c r="G67" s="5">
        <v>55</v>
      </c>
      <c r="H67" s="5">
        <v>50</v>
      </c>
      <c r="I67" s="5">
        <v>72</v>
      </c>
      <c r="J67" s="19">
        <v>62.8</v>
      </c>
      <c r="K67" s="5"/>
      <c r="L67" s="20">
        <f>RANK(J67,J$11:J$210,0)</f>
        <v>57</v>
      </c>
      <c r="M67" s="21" t="str">
        <f>IF(J67&gt;=75,"Priority – Immediate Action",IF(J67&gt;=50,"High Potential – Schedule Meeting",IF(J67&gt;=30,"Medium – Nurture",IF(J67&gt;=15,"Low – Monitor","Deprioritise"))))</f>
        <v>High Potential – Schedule Meeting</v>
      </c>
    </row>
    <row r="68" spans="2:13" ht="31" customHeight="1" x14ac:dyDescent="0.2">
      <c r="B68" s="8" t="s">
        <v>365</v>
      </c>
      <c r="C68" s="8" t="s">
        <v>740</v>
      </c>
      <c r="D68" s="8" t="s">
        <v>244</v>
      </c>
      <c r="E68" s="9">
        <v>32080000</v>
      </c>
      <c r="F68" s="8">
        <v>6</v>
      </c>
      <c r="G68" s="8">
        <v>75</v>
      </c>
      <c r="H68" s="8">
        <v>15</v>
      </c>
      <c r="I68" s="8">
        <v>96</v>
      </c>
      <c r="J68" s="16">
        <v>62.4</v>
      </c>
      <c r="K68" s="8"/>
      <c r="L68" s="17">
        <f>RANK(J68,J$11:J$210,0)</f>
        <v>58</v>
      </c>
      <c r="M68" s="18" t="str">
        <f>IF(J68&gt;=75,"Priority – Immediate Action",IF(J68&gt;=50,"High Potential – Schedule Meeting",IF(J68&gt;=30,"Medium – Nurture",IF(J68&gt;=15,"Low – Monitor","Deprioritise"))))</f>
        <v>High Potential – Schedule Meeting</v>
      </c>
    </row>
    <row r="69" spans="2:13" ht="31" customHeight="1" x14ac:dyDescent="0.2">
      <c r="B69" s="8" t="s">
        <v>662</v>
      </c>
      <c r="C69" s="8" t="s">
        <v>860</v>
      </c>
      <c r="D69" s="8" t="s">
        <v>153</v>
      </c>
      <c r="E69" s="9">
        <v>3716000</v>
      </c>
      <c r="F69" s="8">
        <v>7</v>
      </c>
      <c r="G69" s="8">
        <v>35</v>
      </c>
      <c r="H69" s="8">
        <v>100</v>
      </c>
      <c r="I69" s="8">
        <v>72</v>
      </c>
      <c r="J69" s="16">
        <v>62.3</v>
      </c>
      <c r="K69" s="8"/>
      <c r="L69" s="17">
        <f>RANK(J69,J$11:J$210,0)</f>
        <v>59</v>
      </c>
      <c r="M69" s="18" t="str">
        <f>IF(J69&gt;=75,"Priority – Immediate Action",IF(J69&gt;=50,"High Potential – Schedule Meeting",IF(J69&gt;=30,"Medium – Nurture",IF(J69&gt;=15,"Low – Monitor","Deprioritise"))))</f>
        <v>High Potential – Schedule Meeting</v>
      </c>
    </row>
    <row r="70" spans="2:13" ht="31" customHeight="1" x14ac:dyDescent="0.2">
      <c r="B70" s="5" t="s">
        <v>487</v>
      </c>
      <c r="C70" s="5" t="s">
        <v>785</v>
      </c>
      <c r="D70" s="5" t="s">
        <v>244</v>
      </c>
      <c r="E70" s="6">
        <v>43162000</v>
      </c>
      <c r="F70" s="5">
        <v>10</v>
      </c>
      <c r="G70" s="5">
        <v>75</v>
      </c>
      <c r="H70" s="5">
        <v>30</v>
      </c>
      <c r="I70" s="5">
        <v>8</v>
      </c>
      <c r="J70" s="19">
        <v>62.2</v>
      </c>
      <c r="K70" s="5"/>
      <c r="L70" s="20">
        <f>RANK(J70,J$11:J$210,0)</f>
        <v>60</v>
      </c>
      <c r="M70" s="21" t="str">
        <f>IF(J70&gt;=75,"Priority – Immediate Action",IF(J70&gt;=50,"High Potential – Schedule Meeting",IF(J70&gt;=30,"Medium – Nurture",IF(J70&gt;=15,"Low – Monitor","Deprioritise"))))</f>
        <v>High Potential – Schedule Meeting</v>
      </c>
    </row>
    <row r="71" spans="2:13" ht="31" customHeight="1" x14ac:dyDescent="0.2">
      <c r="B71" s="8" t="s">
        <v>649</v>
      </c>
      <c r="C71" s="8" t="s">
        <v>853</v>
      </c>
      <c r="D71" s="8" t="s">
        <v>188</v>
      </c>
      <c r="E71" s="9">
        <v>8908000</v>
      </c>
      <c r="F71" s="8">
        <v>3</v>
      </c>
      <c r="G71" s="8">
        <v>55</v>
      </c>
      <c r="H71" s="8">
        <v>100</v>
      </c>
      <c r="I71" s="8">
        <v>80</v>
      </c>
      <c r="J71" s="16">
        <v>61.5</v>
      </c>
      <c r="K71" s="8"/>
      <c r="L71" s="17">
        <f>RANK(J71,J$11:J$210,0)</f>
        <v>61</v>
      </c>
      <c r="M71" s="18" t="str">
        <f>IF(J71&gt;=75,"Priority – Immediate Action",IF(J71&gt;=50,"High Potential – Schedule Meeting",IF(J71&gt;=30,"Medium – Nurture",IF(J71&gt;=15,"Low – Monitor","Deprioritise"))))</f>
        <v>High Potential – Schedule Meeting</v>
      </c>
    </row>
    <row r="72" spans="2:13" ht="31" customHeight="1" x14ac:dyDescent="0.2">
      <c r="B72" s="5" t="s">
        <v>491</v>
      </c>
      <c r="C72" s="5" t="s">
        <v>787</v>
      </c>
      <c r="D72" s="5" t="s">
        <v>244</v>
      </c>
      <c r="E72" s="6">
        <v>18432000</v>
      </c>
      <c r="F72" s="5">
        <v>6</v>
      </c>
      <c r="G72" s="5">
        <v>75</v>
      </c>
      <c r="H72" s="5">
        <v>15</v>
      </c>
      <c r="I72" s="5">
        <v>88</v>
      </c>
      <c r="J72" s="19">
        <v>61.2</v>
      </c>
      <c r="K72" s="5"/>
      <c r="L72" s="20">
        <f>RANK(J72,J$11:J$210,0)</f>
        <v>62</v>
      </c>
      <c r="M72" s="21" t="str">
        <f>IF(J72&gt;=75,"Priority – Immediate Action",IF(J72&gt;=50,"High Potential – Schedule Meeting",IF(J72&gt;=30,"Medium – Nurture",IF(J72&gt;=15,"Low – Monitor","Deprioritise"))))</f>
        <v>High Potential – Schedule Meeting</v>
      </c>
    </row>
    <row r="73" spans="2:13" ht="31" customHeight="1" x14ac:dyDescent="0.2">
      <c r="B73" s="5" t="s">
        <v>417</v>
      </c>
      <c r="C73" s="5" t="s">
        <v>758</v>
      </c>
      <c r="D73" s="5" t="s">
        <v>228</v>
      </c>
      <c r="E73" s="6">
        <v>145448000</v>
      </c>
      <c r="F73" s="5">
        <v>3</v>
      </c>
      <c r="G73" s="5">
        <v>100</v>
      </c>
      <c r="H73" s="5">
        <v>50</v>
      </c>
      <c r="I73" s="5">
        <v>24</v>
      </c>
      <c r="J73" s="19">
        <v>61.1</v>
      </c>
      <c r="K73" s="5"/>
      <c r="L73" s="20">
        <f>RANK(J73,J$11:J$210,0)</f>
        <v>63</v>
      </c>
      <c r="M73" s="21" t="str">
        <f>IF(J73&gt;=75,"Priority – Immediate Action",IF(J73&gt;=50,"High Potential – Schedule Meeting",IF(J73&gt;=30,"Medium – Nurture",IF(J73&gt;=15,"Low – Monitor","Deprioritise"))))</f>
        <v>High Potential – Schedule Meeting</v>
      </c>
    </row>
    <row r="74" spans="2:13" ht="31" customHeight="1" x14ac:dyDescent="0.2">
      <c r="B74" s="8" t="s">
        <v>319</v>
      </c>
      <c r="C74" s="8" t="s">
        <v>727</v>
      </c>
      <c r="D74" s="8" t="s">
        <v>244</v>
      </c>
      <c r="E74" s="9">
        <v>28586000</v>
      </c>
      <c r="F74" s="8">
        <v>4</v>
      </c>
      <c r="G74" s="8">
        <v>75</v>
      </c>
      <c r="H74" s="8">
        <v>50</v>
      </c>
      <c r="I74" s="8">
        <v>72</v>
      </c>
      <c r="J74" s="16">
        <v>60.8</v>
      </c>
      <c r="K74" s="8"/>
      <c r="L74" s="17">
        <f>RANK(J74,J$11:J$210,0)</f>
        <v>64</v>
      </c>
      <c r="M74" s="18" t="str">
        <f>IF(J74&gt;=75,"Priority – Immediate Action",IF(J74&gt;=50,"High Potential – Schedule Meeting",IF(J74&gt;=30,"Medium – Nurture",IF(J74&gt;=15,"Low – Monitor","Deprioritise"))))</f>
        <v>High Potential – Schedule Meeting</v>
      </c>
    </row>
    <row r="75" spans="2:13" ht="31" customHeight="1" x14ac:dyDescent="0.2">
      <c r="B75" s="8" t="s">
        <v>411</v>
      </c>
      <c r="C75" s="8" t="s">
        <v>756</v>
      </c>
      <c r="D75" s="8" t="s">
        <v>244</v>
      </c>
      <c r="E75" s="9">
        <v>14944000</v>
      </c>
      <c r="F75" s="8">
        <v>3</v>
      </c>
      <c r="G75" s="8">
        <v>75</v>
      </c>
      <c r="H75" s="8">
        <v>50</v>
      </c>
      <c r="I75" s="8">
        <v>88</v>
      </c>
      <c r="J75" s="16">
        <v>60.7</v>
      </c>
      <c r="K75" s="8"/>
      <c r="L75" s="17">
        <f>RANK(J75,J$11:J$210,0)</f>
        <v>65</v>
      </c>
      <c r="M75" s="18" t="str">
        <f>IF(J75&gt;=75,"Priority – Immediate Action",IF(J75&gt;=50,"High Potential – Schedule Meeting",IF(J75&gt;=30,"Medium – Nurture",IF(J75&gt;=15,"Low – Monitor","Deprioritise"))))</f>
        <v>High Potential – Schedule Meeting</v>
      </c>
    </row>
    <row r="76" spans="2:13" ht="31" customHeight="1" x14ac:dyDescent="0.2">
      <c r="B76" s="5" t="s">
        <v>508</v>
      </c>
      <c r="C76" s="5" t="s">
        <v>793</v>
      </c>
      <c r="D76" s="5" t="s">
        <v>188</v>
      </c>
      <c r="E76" s="6">
        <v>9991000</v>
      </c>
      <c r="F76" s="5">
        <v>10</v>
      </c>
      <c r="G76" s="5">
        <v>55</v>
      </c>
      <c r="H76" s="5">
        <v>50</v>
      </c>
      <c r="I76" s="5">
        <v>24</v>
      </c>
      <c r="J76" s="19">
        <v>60.6</v>
      </c>
      <c r="K76" s="5"/>
      <c r="L76" s="20">
        <f>RANK(J76,J$11:J$210,0)</f>
        <v>66</v>
      </c>
      <c r="M76" s="21" t="str">
        <f>IF(J76&gt;=75,"Priority – Immediate Action",IF(J76&gt;=50,"High Potential – Schedule Meeting",IF(J76&gt;=30,"Medium – Nurture",IF(J76&gt;=15,"Low – Monitor","Deprioritise"))))</f>
        <v>High Potential – Schedule Meeting</v>
      </c>
    </row>
    <row r="77" spans="2:13" ht="31" customHeight="1" x14ac:dyDescent="0.2">
      <c r="B77" s="5" t="s">
        <v>671</v>
      </c>
      <c r="C77" s="5" t="s">
        <v>741</v>
      </c>
      <c r="D77" s="5" t="s">
        <v>244</v>
      </c>
      <c r="E77" s="6">
        <v>25342000</v>
      </c>
      <c r="F77" s="5">
        <v>6</v>
      </c>
      <c r="G77" s="5">
        <v>75</v>
      </c>
      <c r="H77" s="5">
        <v>70</v>
      </c>
      <c r="I77" s="5">
        <v>8</v>
      </c>
      <c r="J77" s="19">
        <v>60.2</v>
      </c>
      <c r="K77" s="5"/>
      <c r="L77" s="20">
        <f>RANK(J77,J$11:J$210,0)</f>
        <v>67</v>
      </c>
      <c r="M77" s="21" t="str">
        <f>IF(J77&gt;=75,"Priority – Immediate Action",IF(J77&gt;=50,"High Potential – Schedule Meeting",IF(J77&gt;=30,"Medium – Nurture",IF(J77&gt;=15,"Low – Monitor","Deprioritise"))))</f>
        <v>High Potential – Schedule Meeting</v>
      </c>
    </row>
    <row r="78" spans="2:13" ht="31" customHeight="1" x14ac:dyDescent="0.2">
      <c r="B78" s="8" t="s">
        <v>637</v>
      </c>
      <c r="C78" s="8" t="s">
        <v>846</v>
      </c>
      <c r="D78" s="8" t="s">
        <v>244</v>
      </c>
      <c r="E78" s="9">
        <v>22729000</v>
      </c>
      <c r="F78" s="8">
        <v>7</v>
      </c>
      <c r="G78" s="8">
        <v>75</v>
      </c>
      <c r="H78" s="8">
        <v>15</v>
      </c>
      <c r="I78" s="8">
        <v>64</v>
      </c>
      <c r="J78" s="16">
        <v>60.1</v>
      </c>
      <c r="K78" s="8"/>
      <c r="L78" s="17">
        <f>RANK(J78,J$11:J$210,0)</f>
        <v>68</v>
      </c>
      <c r="M78" s="18" t="str">
        <f>IF(J78&gt;=75,"Priority – Immediate Action",IF(J78&gt;=50,"High Potential – Schedule Meeting",IF(J78&gt;=30,"Medium – Nurture",IF(J78&gt;=15,"Low – Monitor","Deprioritise"))))</f>
        <v>High Potential – Schedule Meeting</v>
      </c>
    </row>
    <row r="79" spans="2:13" ht="31" customHeight="1" x14ac:dyDescent="0.2">
      <c r="B79" s="8" t="s">
        <v>564</v>
      </c>
      <c r="C79" s="8" t="s">
        <v>816</v>
      </c>
      <c r="D79" s="8" t="s">
        <v>188</v>
      </c>
      <c r="E79" s="9">
        <v>5516000</v>
      </c>
      <c r="F79" s="8">
        <v>8</v>
      </c>
      <c r="G79" s="8">
        <v>55</v>
      </c>
      <c r="H79" s="8">
        <v>30</v>
      </c>
      <c r="I79" s="8">
        <v>80</v>
      </c>
      <c r="J79" s="16">
        <v>60</v>
      </c>
      <c r="K79" s="8"/>
      <c r="L79" s="17">
        <f>RANK(J79,J$11:J$210,0)</f>
        <v>69</v>
      </c>
      <c r="M79" s="18" t="str">
        <f>IF(J79&gt;=75,"Priority – Immediate Action",IF(J79&gt;=50,"High Potential – Schedule Meeting",IF(J79&gt;=30,"Medium – Nurture",IF(J79&gt;=15,"Low – Monitor","Deprioritise"))))</f>
        <v>High Potential – Schedule Meeting</v>
      </c>
    </row>
    <row r="80" spans="2:13" ht="31" customHeight="1" x14ac:dyDescent="0.2">
      <c r="B80" s="5" t="s">
        <v>409</v>
      </c>
      <c r="C80" s="5" t="s">
        <v>755</v>
      </c>
      <c r="D80" s="5" t="s">
        <v>244</v>
      </c>
      <c r="E80" s="6">
        <v>42988000</v>
      </c>
      <c r="F80" s="5">
        <v>3</v>
      </c>
      <c r="G80" s="5">
        <v>75</v>
      </c>
      <c r="H80" s="5">
        <v>100</v>
      </c>
      <c r="I80" s="5">
        <v>16</v>
      </c>
      <c r="J80" s="19">
        <v>59.9</v>
      </c>
      <c r="K80" s="5"/>
      <c r="L80" s="20">
        <f>RANK(J80,J$11:J$210,0)</f>
        <v>70</v>
      </c>
      <c r="M80" s="21" t="str">
        <f>IF(J80&gt;=75,"Priority – Immediate Action",IF(J80&gt;=50,"High Potential – Schedule Meeting",IF(J80&gt;=30,"Medium – Nurture",IF(J80&gt;=15,"Low – Monitor","Deprioritise"))))</f>
        <v>High Potential – Schedule Meeting</v>
      </c>
    </row>
    <row r="81" spans="2:13" ht="31" customHeight="1" x14ac:dyDescent="0.2">
      <c r="B81" s="8" t="s">
        <v>660</v>
      </c>
      <c r="C81" s="8" t="s">
        <v>858</v>
      </c>
      <c r="D81" s="8" t="s">
        <v>188</v>
      </c>
      <c r="E81" s="9">
        <v>6091000</v>
      </c>
      <c r="F81" s="8">
        <v>10</v>
      </c>
      <c r="G81" s="8">
        <v>55</v>
      </c>
      <c r="H81" s="8">
        <v>50</v>
      </c>
      <c r="I81" s="8">
        <v>16</v>
      </c>
      <c r="J81" s="16">
        <v>59.4</v>
      </c>
      <c r="K81" s="8"/>
      <c r="L81" s="17">
        <f>RANK(J81,J$11:J$210,0)</f>
        <v>71</v>
      </c>
      <c r="M81" s="18" t="str">
        <f>IF(J81&gt;=75,"Priority – Immediate Action",IF(J81&gt;=50,"High Potential – Schedule Meeting",IF(J81&gt;=30,"Medium – Nurture",IF(J81&gt;=15,"Low – Monitor","Deprioritise"))))</f>
        <v>High Potential – Schedule Meeting</v>
      </c>
    </row>
    <row r="82" spans="2:13" ht="31" customHeight="1" x14ac:dyDescent="0.2">
      <c r="B82" s="8" t="s">
        <v>573</v>
      </c>
      <c r="C82" s="8" t="s">
        <v>820</v>
      </c>
      <c r="D82" s="8" t="s">
        <v>188</v>
      </c>
      <c r="E82" s="9">
        <v>7594000</v>
      </c>
      <c r="F82" s="8">
        <v>7</v>
      </c>
      <c r="G82" s="8">
        <v>55</v>
      </c>
      <c r="H82" s="8">
        <v>50</v>
      </c>
      <c r="I82" s="8">
        <v>64</v>
      </c>
      <c r="J82" s="16">
        <v>59.1</v>
      </c>
      <c r="K82" s="8"/>
      <c r="L82" s="17">
        <f>RANK(J82,J$11:J$210,0)</f>
        <v>72</v>
      </c>
      <c r="M82" s="18" t="str">
        <f>IF(J82&gt;=75,"Priority – Immediate Action",IF(J82&gt;=50,"High Potential – Schedule Meeting",IF(J82&gt;=30,"Medium – Nurture",IF(J82&gt;=15,"Low – Monitor","Deprioritise"))))</f>
        <v>High Potential – Schedule Meeting</v>
      </c>
    </row>
    <row r="83" spans="2:13" ht="31" customHeight="1" x14ac:dyDescent="0.2">
      <c r="B83" s="5" t="s">
        <v>422</v>
      </c>
      <c r="C83" s="5" t="s">
        <v>759</v>
      </c>
      <c r="D83" s="5" t="s">
        <v>188</v>
      </c>
      <c r="E83" s="6">
        <v>7260000</v>
      </c>
      <c r="F83" s="5">
        <v>9</v>
      </c>
      <c r="G83" s="5">
        <v>55</v>
      </c>
      <c r="H83" s="5">
        <v>5</v>
      </c>
      <c r="I83" s="5">
        <v>88</v>
      </c>
      <c r="J83" s="19">
        <v>58.7</v>
      </c>
      <c r="K83" s="5"/>
      <c r="L83" s="20">
        <f>RANK(J83,J$11:J$210,0)</f>
        <v>73</v>
      </c>
      <c r="M83" s="21" t="str">
        <f>IF(J83&gt;=75,"Priority – Immediate Action",IF(J83&gt;=50,"High Potential – Schedule Meeting",IF(J83&gt;=30,"Medium – Nurture",IF(J83&gt;=15,"Low – Monitor","Deprioritise"))))</f>
        <v>High Potential – Schedule Meeting</v>
      </c>
    </row>
    <row r="84" spans="2:13" ht="31" customHeight="1" x14ac:dyDescent="0.2">
      <c r="B84" s="8" t="s">
        <v>653</v>
      </c>
      <c r="C84" s="8" t="s">
        <v>855</v>
      </c>
      <c r="D84" s="8" t="s">
        <v>244</v>
      </c>
      <c r="E84" s="9">
        <v>39749000</v>
      </c>
      <c r="F84" s="8">
        <v>5</v>
      </c>
      <c r="G84" s="8">
        <v>75</v>
      </c>
      <c r="H84" s="8">
        <v>15</v>
      </c>
      <c r="I84" s="8">
        <v>88</v>
      </c>
      <c r="J84" s="16">
        <v>58.7</v>
      </c>
      <c r="K84" s="8"/>
      <c r="L84" s="17">
        <f>RANK(J84,J$11:J$210,0)</f>
        <v>73</v>
      </c>
      <c r="M84" s="18" t="str">
        <f>IF(J84&gt;=75,"Priority – Immediate Action",IF(J84&gt;=50,"High Potential – Schedule Meeting",IF(J84&gt;=30,"Medium – Nurture",IF(J84&gt;=15,"Low – Monitor","Deprioritise"))))</f>
        <v>High Potential – Schedule Meeting</v>
      </c>
    </row>
    <row r="85" spans="2:13" ht="31" customHeight="1" x14ac:dyDescent="0.2">
      <c r="B85" s="8" t="s">
        <v>459</v>
      </c>
      <c r="C85" s="8" t="s">
        <v>773</v>
      </c>
      <c r="D85" s="8" t="s">
        <v>244</v>
      </c>
      <c r="E85" s="9">
        <v>18568000</v>
      </c>
      <c r="F85" s="8">
        <v>6</v>
      </c>
      <c r="G85" s="8">
        <v>75</v>
      </c>
      <c r="H85" s="8">
        <v>50</v>
      </c>
      <c r="I85" s="8">
        <v>24</v>
      </c>
      <c r="J85" s="16">
        <v>58.6</v>
      </c>
      <c r="K85" s="8"/>
      <c r="L85" s="17">
        <f>RANK(J85,J$11:J$210,0)</f>
        <v>75</v>
      </c>
      <c r="M85" s="18" t="str">
        <f>IF(J85&gt;=75,"Priority – Immediate Action",IF(J85&gt;=50,"High Potential – Schedule Meeting",IF(J85&gt;=30,"Medium – Nurture",IF(J85&gt;=15,"Low – Monitor","Deprioritise"))))</f>
        <v>High Potential – Schedule Meeting</v>
      </c>
    </row>
    <row r="86" spans="2:13" ht="31" customHeight="1" x14ac:dyDescent="0.2">
      <c r="B86" s="5" t="s">
        <v>322</v>
      </c>
      <c r="C86" s="5" t="s">
        <v>728</v>
      </c>
      <c r="D86" s="5" t="s">
        <v>228</v>
      </c>
      <c r="E86" s="6">
        <v>178578000</v>
      </c>
      <c r="F86" s="5">
        <v>4</v>
      </c>
      <c r="G86" s="5">
        <v>100</v>
      </c>
      <c r="H86" s="5">
        <v>30</v>
      </c>
      <c r="I86" s="5">
        <v>16</v>
      </c>
      <c r="J86" s="19">
        <v>58.4</v>
      </c>
      <c r="K86" s="5"/>
      <c r="L86" s="20">
        <f>RANK(J86,J$11:J$210,0)</f>
        <v>76</v>
      </c>
      <c r="M86" s="21" t="str">
        <f>IF(J86&gt;=75,"Priority – Immediate Action",IF(J86&gt;=50,"High Potential – Schedule Meeting",IF(J86&gt;=30,"Medium – Nurture",IF(J86&gt;=15,"Low – Monitor","Deprioritise"))))</f>
        <v>High Potential – Schedule Meeting</v>
      </c>
    </row>
    <row r="87" spans="2:13" ht="31" customHeight="1" x14ac:dyDescent="0.2">
      <c r="B87" s="8" t="s">
        <v>587</v>
      </c>
      <c r="C87" s="8" t="s">
        <v>826</v>
      </c>
      <c r="D87" s="8" t="s">
        <v>153</v>
      </c>
      <c r="E87" s="9">
        <v>2352000</v>
      </c>
      <c r="F87" s="8">
        <v>4</v>
      </c>
      <c r="G87" s="8">
        <v>35</v>
      </c>
      <c r="H87" s="8">
        <v>100</v>
      </c>
      <c r="I87" s="8">
        <v>96</v>
      </c>
      <c r="J87" s="16">
        <v>58.4</v>
      </c>
      <c r="K87" s="8"/>
      <c r="L87" s="17">
        <f>RANK(J87,J$11:J$210,0)</f>
        <v>76</v>
      </c>
      <c r="M87" s="18" t="str">
        <f>IF(J87&gt;=75,"Priority – Immediate Action",IF(J87&gt;=50,"High Potential – Schedule Meeting",IF(J87&gt;=30,"Medium – Nurture",IF(J87&gt;=15,"Low – Monitor","Deprioritise"))))</f>
        <v>High Potential – Schedule Meeting</v>
      </c>
    </row>
    <row r="88" spans="2:13" ht="31" customHeight="1" x14ac:dyDescent="0.2">
      <c r="B88" s="5" t="s">
        <v>681</v>
      </c>
      <c r="C88" s="5" t="s">
        <v>867</v>
      </c>
      <c r="D88" s="5" t="s">
        <v>153</v>
      </c>
      <c r="E88" s="6">
        <v>3730000</v>
      </c>
      <c r="F88" s="5">
        <v>8</v>
      </c>
      <c r="G88" s="5">
        <v>35</v>
      </c>
      <c r="H88" s="5">
        <v>50</v>
      </c>
      <c r="I88" s="5">
        <v>96</v>
      </c>
      <c r="J88" s="19">
        <v>58.4</v>
      </c>
      <c r="K88" s="5"/>
      <c r="L88" s="20">
        <f>RANK(J88,J$11:J$210,0)</f>
        <v>76</v>
      </c>
      <c r="M88" s="21" t="str">
        <f>IF(J88&gt;=75,"Priority – Immediate Action",IF(J88&gt;=50,"High Potential – Schedule Meeting",IF(J88&gt;=30,"Medium – Nurture",IF(J88&gt;=15,"Low – Monitor","Deprioritise"))))</f>
        <v>High Potential – Schedule Meeting</v>
      </c>
    </row>
    <row r="89" spans="2:13" ht="31" customHeight="1" x14ac:dyDescent="0.2">
      <c r="B89" s="5" t="s">
        <v>584</v>
      </c>
      <c r="C89" s="5" t="s">
        <v>814</v>
      </c>
      <c r="D89" s="5" t="s">
        <v>188</v>
      </c>
      <c r="E89" s="6">
        <v>8467000</v>
      </c>
      <c r="F89" s="5">
        <v>4</v>
      </c>
      <c r="G89" s="5">
        <v>55</v>
      </c>
      <c r="H89" s="5">
        <v>100</v>
      </c>
      <c r="I89" s="5">
        <v>40</v>
      </c>
      <c r="J89" s="19">
        <v>58</v>
      </c>
      <c r="K89" s="5"/>
      <c r="L89" s="20">
        <f>RANK(J89,J$11:J$210,0)</f>
        <v>79</v>
      </c>
      <c r="M89" s="21" t="str">
        <f>IF(J89&gt;=75,"Priority – Immediate Action",IF(J89&gt;=50,"High Potential – Schedule Meeting",IF(J89&gt;=30,"Medium – Nurture",IF(J89&gt;=15,"Low – Monitor","Deprioritise"))))</f>
        <v>High Potential – Schedule Meeting</v>
      </c>
    </row>
    <row r="90" spans="2:13" ht="31" customHeight="1" x14ac:dyDescent="0.2">
      <c r="B90" s="5" t="s">
        <v>443</v>
      </c>
      <c r="C90" s="5" t="s">
        <v>766</v>
      </c>
      <c r="D90" s="5" t="s">
        <v>188</v>
      </c>
      <c r="E90" s="6">
        <v>7299000</v>
      </c>
      <c r="F90" s="5">
        <v>8</v>
      </c>
      <c r="G90" s="5">
        <v>55</v>
      </c>
      <c r="H90" s="5">
        <v>15</v>
      </c>
      <c r="I90" s="5">
        <v>80</v>
      </c>
      <c r="J90" s="19">
        <v>57</v>
      </c>
      <c r="K90" s="5"/>
      <c r="L90" s="20">
        <f>RANK(J90,J$11:J$210,0)</f>
        <v>80</v>
      </c>
      <c r="M90" s="21" t="str">
        <f>IF(J90&gt;=75,"Priority – Immediate Action",IF(J90&gt;=50,"High Potential – Schedule Meeting",IF(J90&gt;=30,"Medium – Nurture",IF(J90&gt;=15,"Low – Monitor","Deprioritise"))))</f>
        <v>High Potential – Schedule Meeting</v>
      </c>
    </row>
    <row r="91" spans="2:13" ht="31" customHeight="1" x14ac:dyDescent="0.2">
      <c r="B91" s="8" t="s">
        <v>594</v>
      </c>
      <c r="C91" s="8" t="s">
        <v>829</v>
      </c>
      <c r="D91" s="8" t="s">
        <v>188</v>
      </c>
      <c r="E91" s="9">
        <v>9959000</v>
      </c>
      <c r="F91" s="8">
        <v>6</v>
      </c>
      <c r="G91" s="8">
        <v>55</v>
      </c>
      <c r="H91" s="8">
        <v>70</v>
      </c>
      <c r="I91" s="8">
        <v>40</v>
      </c>
      <c r="J91" s="16">
        <v>57</v>
      </c>
      <c r="K91" s="8"/>
      <c r="L91" s="17">
        <f>RANK(J91,J$11:J$210,0)</f>
        <v>80</v>
      </c>
      <c r="M91" s="18" t="str">
        <f>IF(J91&gt;=75,"Priority – Immediate Action",IF(J91&gt;=50,"High Potential – Schedule Meeting",IF(J91&gt;=30,"Medium – Nurture",IF(J91&gt;=15,"Low – Monitor","Deprioritise"))))</f>
        <v>High Potential – Schedule Meeting</v>
      </c>
    </row>
    <row r="92" spans="2:13" ht="31" customHeight="1" x14ac:dyDescent="0.2">
      <c r="B92" s="8" t="s">
        <v>625</v>
      </c>
      <c r="C92" s="8" t="s">
        <v>758</v>
      </c>
      <c r="D92" s="8" t="s">
        <v>244</v>
      </c>
      <c r="E92" s="9">
        <v>27840000</v>
      </c>
      <c r="F92" s="8">
        <v>8</v>
      </c>
      <c r="G92" s="8">
        <v>75</v>
      </c>
      <c r="H92" s="8">
        <v>5</v>
      </c>
      <c r="I92" s="8">
        <v>40</v>
      </c>
      <c r="J92" s="16">
        <v>57</v>
      </c>
      <c r="K92" s="8"/>
      <c r="L92" s="17">
        <f>RANK(J92,J$11:J$210,0)</f>
        <v>80</v>
      </c>
      <c r="M92" s="18" t="str">
        <f>IF(J92&gt;=75,"Priority – Immediate Action",IF(J92&gt;=50,"High Potential – Schedule Meeting",IF(J92&gt;=30,"Medium – Nurture",IF(J92&gt;=15,"Low – Monitor","Deprioritise"))))</f>
        <v>High Potential – Schedule Meeting</v>
      </c>
    </row>
    <row r="93" spans="2:13" ht="31" customHeight="1" x14ac:dyDescent="0.2">
      <c r="B93" s="8" t="s">
        <v>675</v>
      </c>
      <c r="C93" s="8" t="s">
        <v>724</v>
      </c>
      <c r="D93" s="8" t="s">
        <v>188</v>
      </c>
      <c r="E93" s="9">
        <v>9493000</v>
      </c>
      <c r="F93" s="8">
        <v>5</v>
      </c>
      <c r="G93" s="8">
        <v>55</v>
      </c>
      <c r="H93" s="8">
        <v>100</v>
      </c>
      <c r="I93" s="8">
        <v>16</v>
      </c>
      <c r="J93" s="16">
        <v>56.9</v>
      </c>
      <c r="K93" s="8"/>
      <c r="L93" s="17">
        <f>RANK(J93,J$11:J$210,0)</f>
        <v>83</v>
      </c>
      <c r="M93" s="18" t="str">
        <f>IF(J93&gt;=75,"Priority – Immediate Action",IF(J93&gt;=50,"High Potential – Schedule Meeting",IF(J93&gt;=30,"Medium – Nurture",IF(J93&gt;=15,"Low – Monitor","Deprioritise"))))</f>
        <v>High Potential – Schedule Meeting</v>
      </c>
    </row>
    <row r="94" spans="2:13" ht="31" customHeight="1" x14ac:dyDescent="0.2">
      <c r="B94" s="8" t="s">
        <v>311</v>
      </c>
      <c r="C94" s="8" t="s">
        <v>725</v>
      </c>
      <c r="D94" s="8" t="s">
        <v>188</v>
      </c>
      <c r="E94" s="9">
        <v>8969000</v>
      </c>
      <c r="F94" s="8">
        <v>3</v>
      </c>
      <c r="G94" s="8">
        <v>55</v>
      </c>
      <c r="H94" s="8">
        <v>70</v>
      </c>
      <c r="I94" s="8">
        <v>88</v>
      </c>
      <c r="J94" s="16">
        <v>56.7</v>
      </c>
      <c r="K94" s="8"/>
      <c r="L94" s="17">
        <f>RANK(J94,J$11:J$210,0)</f>
        <v>84</v>
      </c>
      <c r="M94" s="18" t="str">
        <f>IF(J94&gt;=75,"Priority – Immediate Action",IF(J94&gt;=50,"High Potential – Schedule Meeting",IF(J94&gt;=30,"Medium – Nurture",IF(J94&gt;=15,"Low – Monitor","Deprioritise"))))</f>
        <v>High Potential – Schedule Meeting</v>
      </c>
    </row>
    <row r="95" spans="2:13" ht="31" customHeight="1" x14ac:dyDescent="0.2">
      <c r="B95" s="5" t="s">
        <v>580</v>
      </c>
      <c r="C95" s="5" t="s">
        <v>823</v>
      </c>
      <c r="D95" s="5" t="s">
        <v>188</v>
      </c>
      <c r="E95" s="6">
        <v>8998000</v>
      </c>
      <c r="F95" s="5">
        <v>6</v>
      </c>
      <c r="G95" s="5">
        <v>55</v>
      </c>
      <c r="H95" s="5">
        <v>50</v>
      </c>
      <c r="I95" s="5">
        <v>64</v>
      </c>
      <c r="J95" s="19">
        <v>56.6</v>
      </c>
      <c r="K95" s="5"/>
      <c r="L95" s="20">
        <f>RANK(J95,J$11:J$210,0)</f>
        <v>85</v>
      </c>
      <c r="M95" s="21" t="str">
        <f>IF(J95&gt;=75,"Priority – Immediate Action",IF(J95&gt;=50,"High Potential – Schedule Meeting",IF(J95&gt;=30,"Medium – Nurture",IF(J95&gt;=15,"Low – Monitor","Deprioritise"))))</f>
        <v>High Potential – Schedule Meeting</v>
      </c>
    </row>
    <row r="96" spans="2:13" ht="31" customHeight="1" x14ac:dyDescent="0.2">
      <c r="B96" s="8" t="s">
        <v>603</v>
      </c>
      <c r="C96" s="8" t="s">
        <v>703</v>
      </c>
      <c r="D96" s="8" t="s">
        <v>188</v>
      </c>
      <c r="E96" s="9">
        <v>8143000</v>
      </c>
      <c r="F96" s="8">
        <v>6</v>
      </c>
      <c r="G96" s="8">
        <v>55</v>
      </c>
      <c r="H96" s="8">
        <v>30</v>
      </c>
      <c r="I96" s="8">
        <v>88</v>
      </c>
      <c r="J96" s="16">
        <v>56.2</v>
      </c>
      <c r="K96" s="8"/>
      <c r="L96" s="17">
        <f>RANK(J96,J$11:J$210,0)</f>
        <v>86</v>
      </c>
      <c r="M96" s="18" t="str">
        <f>IF(J96&gt;=75,"Priority – Immediate Action",IF(J96&gt;=50,"High Potential – Schedule Meeting",IF(J96&gt;=30,"Medium – Nurture",IF(J96&gt;=15,"Low – Monitor","Deprioritise"))))</f>
        <v>High Potential – Schedule Meeting</v>
      </c>
    </row>
    <row r="97" spans="2:13" ht="31" customHeight="1" x14ac:dyDescent="0.2">
      <c r="B97" s="5" t="s">
        <v>664</v>
      </c>
      <c r="C97" s="5" t="s">
        <v>861</v>
      </c>
      <c r="D97" s="5" t="s">
        <v>153</v>
      </c>
      <c r="E97" s="6">
        <v>2549000</v>
      </c>
      <c r="F97" s="5">
        <v>6</v>
      </c>
      <c r="G97" s="5">
        <v>35</v>
      </c>
      <c r="H97" s="5">
        <v>100</v>
      </c>
      <c r="I97" s="5">
        <v>48</v>
      </c>
      <c r="J97" s="19">
        <v>56.2</v>
      </c>
      <c r="K97" s="5"/>
      <c r="L97" s="20">
        <f>RANK(J97,J$11:J$210,0)</f>
        <v>86</v>
      </c>
      <c r="M97" s="21" t="str">
        <f>IF(J97&gt;=75,"Priority – Immediate Action",IF(J97&gt;=50,"High Potential – Schedule Meeting",IF(J97&gt;=30,"Medium – Nurture",IF(J97&gt;=15,"Low – Monitor","Deprioritise"))))</f>
        <v>High Potential – Schedule Meeting</v>
      </c>
    </row>
    <row r="98" spans="2:13" ht="31" customHeight="1" x14ac:dyDescent="0.2">
      <c r="B98" s="8" t="s">
        <v>678</v>
      </c>
      <c r="C98" s="8" t="s">
        <v>864</v>
      </c>
      <c r="D98" s="8" t="s">
        <v>188</v>
      </c>
      <c r="E98" s="9">
        <v>5499000</v>
      </c>
      <c r="F98" s="8">
        <v>8</v>
      </c>
      <c r="G98" s="8">
        <v>55</v>
      </c>
      <c r="H98" s="8">
        <v>5</v>
      </c>
      <c r="I98" s="8">
        <v>88</v>
      </c>
      <c r="J98" s="16">
        <v>56.2</v>
      </c>
      <c r="K98" s="8"/>
      <c r="L98" s="17">
        <f>RANK(J98,J$11:J$210,0)</f>
        <v>86</v>
      </c>
      <c r="M98" s="18" t="str">
        <f>IF(J98&gt;=75,"Priority – Immediate Action",IF(J98&gt;=50,"High Potential – Schedule Meeting",IF(J98&gt;=30,"Medium – Nurture",IF(J98&gt;=15,"Low – Monitor","Deprioritise"))))</f>
        <v>High Potential – Schedule Meeting</v>
      </c>
    </row>
    <row r="99" spans="2:13" ht="31" customHeight="1" x14ac:dyDescent="0.2">
      <c r="B99" s="5" t="s">
        <v>397</v>
      </c>
      <c r="C99" s="5" t="s">
        <v>751</v>
      </c>
      <c r="D99" s="5" t="s">
        <v>188</v>
      </c>
      <c r="E99" s="6">
        <v>8963000</v>
      </c>
      <c r="F99" s="5">
        <v>9</v>
      </c>
      <c r="G99" s="5">
        <v>55</v>
      </c>
      <c r="H99" s="5">
        <v>15</v>
      </c>
      <c r="I99" s="5">
        <v>56</v>
      </c>
      <c r="J99" s="19">
        <v>55.9</v>
      </c>
      <c r="K99" s="5"/>
      <c r="L99" s="20">
        <f>RANK(J99,J$11:J$210,0)</f>
        <v>89</v>
      </c>
      <c r="M99" s="21" t="str">
        <f>IF(J99&gt;=75,"Priority – Immediate Action",IF(J99&gt;=50,"High Potential – Schedule Meeting",IF(J99&gt;=30,"Medium – Nurture",IF(J99&gt;=15,"Low – Monitor","Deprioritise"))))</f>
        <v>High Potential – Schedule Meeting</v>
      </c>
    </row>
    <row r="100" spans="2:13" ht="31" customHeight="1" x14ac:dyDescent="0.2">
      <c r="B100" s="8" t="s">
        <v>615</v>
      </c>
      <c r="C100" s="8" t="s">
        <v>840</v>
      </c>
      <c r="D100" s="8" t="s">
        <v>244</v>
      </c>
      <c r="E100" s="9">
        <v>20878000</v>
      </c>
      <c r="F100" s="8">
        <v>4</v>
      </c>
      <c r="G100" s="8">
        <v>75</v>
      </c>
      <c r="H100" s="8">
        <v>15</v>
      </c>
      <c r="I100" s="8">
        <v>80</v>
      </c>
      <c r="J100" s="16">
        <v>55</v>
      </c>
      <c r="K100" s="8"/>
      <c r="L100" s="17">
        <f>RANK(J100,J$11:J$210,0)</f>
        <v>90</v>
      </c>
      <c r="M100" s="18" t="str">
        <f>IF(J100&gt;=75,"Priority – Immediate Action",IF(J100&gt;=50,"High Potential – Schedule Meeting",IF(J100&gt;=30,"Medium – Nurture",IF(J100&gt;=15,"Low – Monitor","Deprioritise"))))</f>
        <v>High Potential – Schedule Meeting</v>
      </c>
    </row>
    <row r="101" spans="2:13" ht="31" customHeight="1" x14ac:dyDescent="0.2">
      <c r="B101" s="8" t="s">
        <v>599</v>
      </c>
      <c r="C101" s="8" t="s">
        <v>833</v>
      </c>
      <c r="D101" s="8" t="s">
        <v>153</v>
      </c>
      <c r="E101" s="9">
        <v>3975000</v>
      </c>
      <c r="F101" s="8">
        <v>8</v>
      </c>
      <c r="G101" s="8">
        <v>35</v>
      </c>
      <c r="H101" s="8">
        <v>50</v>
      </c>
      <c r="I101" s="8">
        <v>72</v>
      </c>
      <c r="J101" s="16">
        <v>54.8</v>
      </c>
      <c r="K101" s="8"/>
      <c r="L101" s="17">
        <f>RANK(J101,J$11:J$210,0)</f>
        <v>91</v>
      </c>
      <c r="M101" s="18" t="str">
        <f>IF(J101&gt;=75,"Priority – Immediate Action",IF(J101&gt;=50,"High Potential – Schedule Meeting",IF(J101&gt;=30,"Medium – Nurture",IF(J101&gt;=15,"Low – Monitor","Deprioritise"))))</f>
        <v>High Potential – Schedule Meeting</v>
      </c>
    </row>
    <row r="102" spans="2:13" ht="31" customHeight="1" x14ac:dyDescent="0.2">
      <c r="B102" s="5" t="s">
        <v>618</v>
      </c>
      <c r="C102" s="5" t="s">
        <v>841</v>
      </c>
      <c r="D102" s="5" t="s">
        <v>228</v>
      </c>
      <c r="E102" s="6">
        <v>413419000</v>
      </c>
      <c r="F102" s="5">
        <v>3</v>
      </c>
      <c r="G102" s="5">
        <v>100</v>
      </c>
      <c r="H102" s="5">
        <v>0</v>
      </c>
      <c r="I102" s="5">
        <v>48</v>
      </c>
      <c r="J102" s="19">
        <v>54.7</v>
      </c>
      <c r="K102" s="5"/>
      <c r="L102" s="20">
        <f>RANK(J102,J$11:J$210,0)</f>
        <v>92</v>
      </c>
      <c r="M102" s="21" t="str">
        <f>IF(J102&gt;=75,"Priority – Immediate Action",IF(J102&gt;=50,"High Potential – Schedule Meeting",IF(J102&gt;=30,"Medium – Nurture",IF(J102&gt;=15,"Low – Monitor","Deprioritise"))))</f>
        <v>High Potential – Schedule Meeting</v>
      </c>
    </row>
    <row r="103" spans="2:13" ht="31" customHeight="1" x14ac:dyDescent="0.2">
      <c r="B103" s="8" t="s">
        <v>381</v>
      </c>
      <c r="C103" s="8" t="s">
        <v>746</v>
      </c>
      <c r="D103" s="8" t="s">
        <v>188</v>
      </c>
      <c r="E103" s="9">
        <v>6367000</v>
      </c>
      <c r="F103" s="8">
        <v>8</v>
      </c>
      <c r="G103" s="8">
        <v>55</v>
      </c>
      <c r="H103" s="8">
        <v>5</v>
      </c>
      <c r="I103" s="8">
        <v>72</v>
      </c>
      <c r="J103" s="16">
        <v>53.8</v>
      </c>
      <c r="K103" s="8"/>
      <c r="L103" s="17">
        <f>RANK(J103,J$11:J$210,0)</f>
        <v>93</v>
      </c>
      <c r="M103" s="18" t="str">
        <f>IF(J103&gt;=75,"Priority – Immediate Action",IF(J103&gt;=50,"High Potential – Schedule Meeting",IF(J103&gt;=30,"Medium – Nurture",IF(J103&gt;=15,"Low – Monitor","Deprioritise"))))</f>
        <v>High Potential – Schedule Meeting</v>
      </c>
    </row>
    <row r="104" spans="2:13" ht="31" customHeight="1" x14ac:dyDescent="0.2">
      <c r="B104" s="5" t="s">
        <v>362</v>
      </c>
      <c r="C104" s="5" t="s">
        <v>739</v>
      </c>
      <c r="D104" s="5" t="s">
        <v>153</v>
      </c>
      <c r="E104" s="6">
        <v>3819000</v>
      </c>
      <c r="F104" s="5">
        <v>8</v>
      </c>
      <c r="G104" s="5">
        <v>35</v>
      </c>
      <c r="H104" s="5">
        <v>50</v>
      </c>
      <c r="I104" s="5">
        <v>64</v>
      </c>
      <c r="J104" s="19">
        <v>53.6</v>
      </c>
      <c r="K104" s="5"/>
      <c r="L104" s="20">
        <f>RANK(J104,J$11:J$210,0)</f>
        <v>94</v>
      </c>
      <c r="M104" s="21" t="str">
        <f>IF(J104&gt;=75,"Priority – Immediate Action",IF(J104&gt;=50,"High Potential – Schedule Meeting",IF(J104&gt;=30,"Medium – Nurture",IF(J104&gt;=15,"Low – Monitor","Deprioritise"))))</f>
        <v>High Potential – Schedule Meeting</v>
      </c>
    </row>
    <row r="105" spans="2:13" ht="31" customHeight="1" x14ac:dyDescent="0.2">
      <c r="B105" s="5" t="s">
        <v>225</v>
      </c>
      <c r="C105" s="5" t="s">
        <v>710</v>
      </c>
      <c r="D105" s="5" t="s">
        <v>228</v>
      </c>
      <c r="E105" s="6">
        <v>445104000</v>
      </c>
      <c r="F105" s="5">
        <v>4</v>
      </c>
      <c r="G105" s="5">
        <v>100</v>
      </c>
      <c r="H105" s="5">
        <v>5</v>
      </c>
      <c r="I105" s="5">
        <v>16</v>
      </c>
      <c r="J105" s="19">
        <v>53.4</v>
      </c>
      <c r="K105" s="5"/>
      <c r="L105" s="20">
        <f>RANK(J105,J$11:J$210,0)</f>
        <v>95</v>
      </c>
      <c r="M105" s="21" t="str">
        <f>IF(J105&gt;=75,"Priority – Immediate Action",IF(J105&gt;=50,"High Potential – Schedule Meeting",IF(J105&gt;=30,"Medium – Nurture",IF(J105&gt;=15,"Low – Monitor","Deprioritise"))))</f>
        <v>High Potential – Schedule Meeting</v>
      </c>
    </row>
    <row r="106" spans="2:13" ht="31" customHeight="1" x14ac:dyDescent="0.2">
      <c r="B106" s="8" t="s">
        <v>612</v>
      </c>
      <c r="C106" s="8" t="s">
        <v>838</v>
      </c>
      <c r="D106" s="8" t="s">
        <v>188</v>
      </c>
      <c r="E106" s="9">
        <v>8467000</v>
      </c>
      <c r="F106" s="8">
        <v>6</v>
      </c>
      <c r="G106" s="8">
        <v>55</v>
      </c>
      <c r="H106" s="8">
        <v>15</v>
      </c>
      <c r="I106" s="8">
        <v>88</v>
      </c>
      <c r="J106" s="16">
        <v>53.2</v>
      </c>
      <c r="K106" s="8"/>
      <c r="L106" s="17">
        <f>RANK(J106,J$11:J$210,0)</f>
        <v>96</v>
      </c>
      <c r="M106" s="18" t="str">
        <f>IF(J106&gt;=75,"Priority – Immediate Action",IF(J106&gt;=50,"High Potential – Schedule Meeting",IF(J106&gt;=30,"Medium – Nurture",IF(J106&gt;=15,"Low – Monitor","Deprioritise"))))</f>
        <v>High Potential – Schedule Meeting</v>
      </c>
    </row>
    <row r="107" spans="2:13" ht="31" customHeight="1" x14ac:dyDescent="0.2">
      <c r="B107" s="5" t="s">
        <v>428</v>
      </c>
      <c r="C107" s="5" t="s">
        <v>761</v>
      </c>
      <c r="D107" s="5" t="s">
        <v>188</v>
      </c>
      <c r="E107" s="6">
        <v>5475000</v>
      </c>
      <c r="F107" s="5">
        <v>3</v>
      </c>
      <c r="G107" s="5">
        <v>55</v>
      </c>
      <c r="H107" s="5">
        <v>100</v>
      </c>
      <c r="I107" s="5">
        <v>24</v>
      </c>
      <c r="J107" s="19">
        <v>53.1</v>
      </c>
      <c r="K107" s="5"/>
      <c r="L107" s="20">
        <f>RANK(J107,J$11:J$210,0)</f>
        <v>97</v>
      </c>
      <c r="M107" s="21" t="str">
        <f>IF(J107&gt;=75,"Priority – Immediate Action",IF(J107&gt;=50,"High Potential – Schedule Meeting",IF(J107&gt;=30,"Medium – Nurture",IF(J107&gt;=15,"Low – Monitor","Deprioritise"))))</f>
        <v>High Potential – Schedule Meeting</v>
      </c>
    </row>
    <row r="108" spans="2:13" ht="31" customHeight="1" x14ac:dyDescent="0.2">
      <c r="B108" s="8" t="s">
        <v>285</v>
      </c>
      <c r="C108" s="8" t="s">
        <v>719</v>
      </c>
      <c r="D108" s="8" t="s">
        <v>188</v>
      </c>
      <c r="E108" s="9">
        <v>6256000</v>
      </c>
      <c r="F108" s="8">
        <v>2</v>
      </c>
      <c r="G108" s="8">
        <v>55</v>
      </c>
      <c r="H108" s="8">
        <v>100</v>
      </c>
      <c r="I108" s="8">
        <v>40</v>
      </c>
      <c r="J108" s="16">
        <v>53</v>
      </c>
      <c r="K108" s="8"/>
      <c r="L108" s="17">
        <f>RANK(J108,J$11:J$210,0)</f>
        <v>98</v>
      </c>
      <c r="M108" s="18" t="str">
        <f>IF(J108&gt;=75,"Priority – Immediate Action",IF(J108&gt;=50,"High Potential – Schedule Meeting",IF(J108&gt;=30,"Medium – Nurture",IF(J108&gt;=15,"Low – Monitor","Deprioritise"))))</f>
        <v>High Potential – Schedule Meeting</v>
      </c>
    </row>
    <row r="109" spans="2:13" ht="31" customHeight="1" x14ac:dyDescent="0.2">
      <c r="B109" s="8" t="s">
        <v>514</v>
      </c>
      <c r="C109" s="8" t="s">
        <v>796</v>
      </c>
      <c r="D109" s="8" t="s">
        <v>244</v>
      </c>
      <c r="E109" s="9">
        <v>12031000</v>
      </c>
      <c r="F109" s="8">
        <v>7</v>
      </c>
      <c r="G109" s="8">
        <v>75</v>
      </c>
      <c r="H109" s="8">
        <v>15</v>
      </c>
      <c r="I109" s="8">
        <v>16</v>
      </c>
      <c r="J109" s="16">
        <v>52.9</v>
      </c>
      <c r="K109" s="8"/>
      <c r="L109" s="17">
        <f>RANK(J109,J$11:J$210,0)</f>
        <v>99</v>
      </c>
      <c r="M109" s="18" t="str">
        <f>IF(J109&gt;=75,"Priority – Immediate Action",IF(J109&gt;=50,"High Potential – Schedule Meeting",IF(J109&gt;=30,"Medium – Nurture",IF(J109&gt;=15,"Low – Monitor","Deprioritise"))))</f>
        <v>High Potential – Schedule Meeting</v>
      </c>
    </row>
    <row r="110" spans="2:13" ht="31" customHeight="1" x14ac:dyDescent="0.2">
      <c r="B110" s="5" t="s">
        <v>661</v>
      </c>
      <c r="C110" s="5" t="s">
        <v>859</v>
      </c>
      <c r="D110" s="5" t="s">
        <v>153</v>
      </c>
      <c r="E110" s="6">
        <v>2783000</v>
      </c>
      <c r="F110" s="5">
        <v>8</v>
      </c>
      <c r="G110" s="5">
        <v>35</v>
      </c>
      <c r="H110" s="5">
        <v>70</v>
      </c>
      <c r="I110" s="5">
        <v>32</v>
      </c>
      <c r="J110" s="19">
        <v>52.8</v>
      </c>
      <c r="K110" s="5"/>
      <c r="L110" s="20">
        <f>RANK(J110,J$11:J$210,0)</f>
        <v>100</v>
      </c>
      <c r="M110" s="21" t="str">
        <f>IF(J110&gt;=75,"Priority – Immediate Action",IF(J110&gt;=50,"High Potential – Schedule Meeting",IF(J110&gt;=30,"Medium – Nurture",IF(J110&gt;=15,"Low – Monitor","Deprioritise"))))</f>
        <v>High Potential – Schedule Meeting</v>
      </c>
    </row>
    <row r="111" spans="2:13" ht="31" customHeight="1" x14ac:dyDescent="0.2">
      <c r="B111" s="5" t="s">
        <v>608</v>
      </c>
      <c r="C111" s="5" t="s">
        <v>801</v>
      </c>
      <c r="D111" s="5" t="s">
        <v>244</v>
      </c>
      <c r="E111" s="6">
        <v>20205000</v>
      </c>
      <c r="F111" s="5">
        <v>2</v>
      </c>
      <c r="G111" s="5">
        <v>75</v>
      </c>
      <c r="H111" s="5">
        <v>15</v>
      </c>
      <c r="I111" s="5">
        <v>96</v>
      </c>
      <c r="J111" s="19">
        <v>52.4</v>
      </c>
      <c r="K111" s="5"/>
      <c r="L111" s="20">
        <f>RANK(J111,J$11:J$210,0)</f>
        <v>101</v>
      </c>
      <c r="M111" s="21" t="str">
        <f>IF(J111&gt;=75,"Priority – Immediate Action",IF(J111&gt;=50,"High Potential – Schedule Meeting",IF(J111&gt;=30,"Medium – Nurture",IF(J111&gt;=15,"Low – Monitor","Deprioritise"))))</f>
        <v>High Potential – Schedule Meeting</v>
      </c>
    </row>
    <row r="112" spans="2:13" ht="31" customHeight="1" x14ac:dyDescent="0.2">
      <c r="B112" s="5" t="s">
        <v>383</v>
      </c>
      <c r="C112" s="5" t="s">
        <v>747</v>
      </c>
      <c r="D112" s="5" t="s">
        <v>153</v>
      </c>
      <c r="E112" s="6">
        <v>2849000</v>
      </c>
      <c r="F112" s="5">
        <v>9</v>
      </c>
      <c r="G112" s="5">
        <v>35</v>
      </c>
      <c r="H112" s="5">
        <v>30</v>
      </c>
      <c r="I112" s="5">
        <v>64</v>
      </c>
      <c r="J112" s="19">
        <v>52.1</v>
      </c>
      <c r="K112" s="5"/>
      <c r="L112" s="20">
        <f>RANK(J112,J$11:J$210,0)</f>
        <v>102</v>
      </c>
      <c r="M112" s="21" t="str">
        <f>IF(J112&gt;=75,"Priority – Immediate Action",IF(J112&gt;=50,"High Potential – Schedule Meeting",IF(J112&gt;=30,"Medium – Nurture",IF(J112&gt;=15,"Low – Monitor","Deprioritise"))))</f>
        <v>High Potential – Schedule Meeting</v>
      </c>
    </row>
    <row r="113" spans="2:13" ht="31" customHeight="1" x14ac:dyDescent="0.2">
      <c r="B113" s="5" t="s">
        <v>473</v>
      </c>
      <c r="C113" s="5" t="s">
        <v>779</v>
      </c>
      <c r="D113" s="5" t="s">
        <v>228</v>
      </c>
      <c r="E113" s="6">
        <v>295706000</v>
      </c>
      <c r="F113" s="5">
        <v>3</v>
      </c>
      <c r="G113" s="5">
        <v>100</v>
      </c>
      <c r="H113" s="5">
        <v>5</v>
      </c>
      <c r="I113" s="5">
        <v>24</v>
      </c>
      <c r="J113" s="19">
        <v>52.1</v>
      </c>
      <c r="K113" s="5"/>
      <c r="L113" s="20">
        <f>RANK(J113,J$11:J$210,0)</f>
        <v>102</v>
      </c>
      <c r="M113" s="21" t="str">
        <f>IF(J113&gt;=75,"Priority – Immediate Action",IF(J113&gt;=50,"High Potential – Schedule Meeting",IF(J113&gt;=30,"Medium – Nurture",IF(J113&gt;=15,"Low – Monitor","Deprioritise"))))</f>
        <v>High Potential – Schedule Meeting</v>
      </c>
    </row>
    <row r="114" spans="2:13" ht="31" customHeight="1" x14ac:dyDescent="0.2">
      <c r="B114" s="8" t="s">
        <v>466</v>
      </c>
      <c r="C114" s="8" t="s">
        <v>776</v>
      </c>
      <c r="D114" s="8" t="s">
        <v>153</v>
      </c>
      <c r="E114" s="9">
        <v>2413000</v>
      </c>
      <c r="F114" s="8">
        <v>9</v>
      </c>
      <c r="G114" s="8">
        <v>35</v>
      </c>
      <c r="H114" s="8">
        <v>5</v>
      </c>
      <c r="I114" s="8">
        <v>96</v>
      </c>
      <c r="J114" s="16">
        <v>51.9</v>
      </c>
      <c r="K114" s="8"/>
      <c r="L114" s="17">
        <f>RANK(J114,J$11:J$210,0)</f>
        <v>104</v>
      </c>
      <c r="M114" s="18" t="str">
        <f>IF(J114&gt;=75,"Priority – Immediate Action",IF(J114&gt;=50,"High Potential – Schedule Meeting",IF(J114&gt;=30,"Medium – Nurture",IF(J114&gt;=15,"Low – Monitor","Deprioritise"))))</f>
        <v>High Potential – Schedule Meeting</v>
      </c>
    </row>
    <row r="115" spans="2:13" ht="31" customHeight="1" x14ac:dyDescent="0.2">
      <c r="B115" s="5" t="s">
        <v>519</v>
      </c>
      <c r="C115" s="5" t="s">
        <v>799</v>
      </c>
      <c r="D115" s="5" t="s">
        <v>188</v>
      </c>
      <c r="E115" s="6">
        <v>8786000</v>
      </c>
      <c r="F115" s="5">
        <v>3</v>
      </c>
      <c r="G115" s="5">
        <v>55</v>
      </c>
      <c r="H115" s="5">
        <v>70</v>
      </c>
      <c r="I115" s="5">
        <v>56</v>
      </c>
      <c r="J115" s="19">
        <v>51.9</v>
      </c>
      <c r="K115" s="5"/>
      <c r="L115" s="20">
        <f>RANK(J115,J$11:J$210,0)</f>
        <v>104</v>
      </c>
      <c r="M115" s="21" t="str">
        <f>IF(J115&gt;=75,"Priority – Immediate Action",IF(J115&gt;=50,"High Potential – Schedule Meeting",IF(J115&gt;=30,"Medium – Nurture",IF(J115&gt;=15,"Low – Monitor","Deprioritise"))))</f>
        <v>High Potential – Schedule Meeting</v>
      </c>
    </row>
    <row r="116" spans="2:13" ht="31" customHeight="1" x14ac:dyDescent="0.2">
      <c r="B116" s="5" t="s">
        <v>543</v>
      </c>
      <c r="C116" s="5" t="s">
        <v>807</v>
      </c>
      <c r="D116" s="5" t="s">
        <v>188</v>
      </c>
      <c r="E116" s="6">
        <v>6942000</v>
      </c>
      <c r="F116" s="5">
        <v>7</v>
      </c>
      <c r="G116" s="5">
        <v>55</v>
      </c>
      <c r="H116" s="5">
        <v>50</v>
      </c>
      <c r="I116" s="5">
        <v>16</v>
      </c>
      <c r="J116" s="19">
        <v>51.9</v>
      </c>
      <c r="K116" s="5"/>
      <c r="L116" s="20">
        <f>RANK(J116,J$11:J$210,0)</f>
        <v>104</v>
      </c>
      <c r="M116" s="21" t="str">
        <f>IF(J116&gt;=75,"Priority – Immediate Action",IF(J116&gt;=50,"High Potential – Schedule Meeting",IF(J116&gt;=30,"Medium – Nurture",IF(J116&gt;=15,"Low – Monitor","Deprioritise"))))</f>
        <v>High Potential – Schedule Meeting</v>
      </c>
    </row>
    <row r="117" spans="2:13" ht="31" customHeight="1" x14ac:dyDescent="0.2">
      <c r="B117" s="5" t="s">
        <v>597</v>
      </c>
      <c r="C117" s="5" t="s">
        <v>832</v>
      </c>
      <c r="D117" s="5" t="s">
        <v>153</v>
      </c>
      <c r="E117" s="6">
        <v>2260000</v>
      </c>
      <c r="F117" s="5">
        <v>7</v>
      </c>
      <c r="G117" s="5">
        <v>35</v>
      </c>
      <c r="H117" s="5">
        <v>30</v>
      </c>
      <c r="I117" s="5">
        <v>96</v>
      </c>
      <c r="J117" s="19">
        <v>51.9</v>
      </c>
      <c r="K117" s="5"/>
      <c r="L117" s="20">
        <f>RANK(J117,J$11:J$210,0)</f>
        <v>104</v>
      </c>
      <c r="M117" s="21" t="str">
        <f>IF(J117&gt;=75,"Priority – Immediate Action",IF(J117&gt;=50,"High Potential – Schedule Meeting",IF(J117&gt;=30,"Medium – Nurture",IF(J117&gt;=15,"Low – Monitor","Deprioritise"))))</f>
        <v>High Potential – Schedule Meeting</v>
      </c>
    </row>
    <row r="118" spans="2:13" ht="31" customHeight="1" x14ac:dyDescent="0.2">
      <c r="B118" s="5" t="s">
        <v>315</v>
      </c>
      <c r="C118" s="5" t="s">
        <v>726</v>
      </c>
      <c r="D118" s="5" t="s">
        <v>188</v>
      </c>
      <c r="E118" s="6">
        <v>8149000</v>
      </c>
      <c r="F118" s="5">
        <v>2</v>
      </c>
      <c r="G118" s="5">
        <v>55</v>
      </c>
      <c r="H118" s="5">
        <v>100</v>
      </c>
      <c r="I118" s="5">
        <v>32</v>
      </c>
      <c r="J118" s="19">
        <v>51.8</v>
      </c>
      <c r="K118" s="5"/>
      <c r="L118" s="20">
        <f>RANK(J118,J$11:J$210,0)</f>
        <v>108</v>
      </c>
      <c r="M118" s="21" t="str">
        <f>IF(J118&gt;=75,"Priority – Immediate Action",IF(J118&gt;=50,"High Potential – Schedule Meeting",IF(J118&gt;=30,"Medium – Nurture",IF(J118&gt;=15,"Low – Monitor","Deprioritise"))))</f>
        <v>High Potential – Schedule Meeting</v>
      </c>
    </row>
    <row r="119" spans="2:13" ht="31" customHeight="1" x14ac:dyDescent="0.2">
      <c r="B119" s="5" t="s">
        <v>515</v>
      </c>
      <c r="C119" s="5" t="s">
        <v>797</v>
      </c>
      <c r="D119" s="5" t="s">
        <v>244</v>
      </c>
      <c r="E119" s="6">
        <v>12367000</v>
      </c>
      <c r="F119" s="5">
        <v>4</v>
      </c>
      <c r="G119" s="5">
        <v>75</v>
      </c>
      <c r="H119" s="5">
        <v>5</v>
      </c>
      <c r="I119" s="5">
        <v>72</v>
      </c>
      <c r="J119" s="19">
        <v>51.8</v>
      </c>
      <c r="K119" s="5"/>
      <c r="L119" s="20">
        <f>RANK(J119,J$11:J$210,0)</f>
        <v>108</v>
      </c>
      <c r="M119" s="21" t="str">
        <f>IF(J119&gt;=75,"Priority – Immediate Action",IF(J119&gt;=50,"High Potential – Schedule Meeting",IF(J119&gt;=30,"Medium – Nurture",IF(J119&gt;=15,"Low – Monitor","Deprioritise"))))</f>
        <v>High Potential – Schedule Meeting</v>
      </c>
    </row>
    <row r="120" spans="2:13" ht="31" customHeight="1" x14ac:dyDescent="0.2">
      <c r="B120" s="8" t="s">
        <v>644</v>
      </c>
      <c r="C120" s="8" t="s">
        <v>849</v>
      </c>
      <c r="D120" s="8" t="s">
        <v>188</v>
      </c>
      <c r="E120" s="9">
        <v>6473000</v>
      </c>
      <c r="F120" s="8">
        <v>6</v>
      </c>
      <c r="G120" s="8">
        <v>55</v>
      </c>
      <c r="H120" s="8">
        <v>50</v>
      </c>
      <c r="I120" s="8">
        <v>32</v>
      </c>
      <c r="J120" s="16">
        <v>51.8</v>
      </c>
      <c r="K120" s="8"/>
      <c r="L120" s="17">
        <f>RANK(J120,J$11:J$210,0)</f>
        <v>108</v>
      </c>
      <c r="M120" s="18" t="str">
        <f>IF(J120&gt;=75,"Priority – Immediate Action",IF(J120&gt;=50,"High Potential – Schedule Meeting",IF(J120&gt;=30,"Medium – Nurture",IF(J120&gt;=15,"Low – Monitor","Deprioritise"))))</f>
        <v>High Potential – Schedule Meeting</v>
      </c>
    </row>
    <row r="121" spans="2:13" ht="31" customHeight="1" x14ac:dyDescent="0.2">
      <c r="B121" s="8" t="s">
        <v>668</v>
      </c>
      <c r="C121" s="8" t="s">
        <v>859</v>
      </c>
      <c r="D121" s="8" t="s">
        <v>188</v>
      </c>
      <c r="E121" s="9">
        <v>9827000</v>
      </c>
      <c r="F121" s="8">
        <v>2</v>
      </c>
      <c r="G121" s="8">
        <v>55</v>
      </c>
      <c r="H121" s="8">
        <v>100</v>
      </c>
      <c r="I121" s="8">
        <v>32</v>
      </c>
      <c r="J121" s="16">
        <v>51.8</v>
      </c>
      <c r="K121" s="8"/>
      <c r="L121" s="17">
        <f>RANK(J121,J$11:J$210,0)</f>
        <v>108</v>
      </c>
      <c r="M121" s="18" t="str">
        <f>IF(J121&gt;=75,"Priority – Immediate Action",IF(J121&gt;=50,"High Potential – Schedule Meeting",IF(J121&gt;=30,"Medium – Nurture",IF(J121&gt;=15,"Low – Monitor","Deprioritise"))))</f>
        <v>High Potential – Schedule Meeting</v>
      </c>
    </row>
    <row r="122" spans="2:13" ht="31" customHeight="1" x14ac:dyDescent="0.2">
      <c r="B122" s="8" t="s">
        <v>274</v>
      </c>
      <c r="C122" s="8" t="s">
        <v>717</v>
      </c>
      <c r="D122" s="8" t="s">
        <v>188</v>
      </c>
      <c r="E122" s="9">
        <v>9645000</v>
      </c>
      <c r="F122" s="8">
        <v>3</v>
      </c>
      <c r="G122" s="8">
        <v>55</v>
      </c>
      <c r="H122" s="8">
        <v>50</v>
      </c>
      <c r="I122" s="8">
        <v>80</v>
      </c>
      <c r="J122" s="16">
        <v>51.5</v>
      </c>
      <c r="K122" s="8"/>
      <c r="L122" s="17">
        <f>RANK(J122,J$11:J$210,0)</f>
        <v>112</v>
      </c>
      <c r="M122" s="18" t="str">
        <f>IF(J122&gt;=75,"Priority – Immediate Action",IF(J122&gt;=50,"High Potential – Schedule Meeting",IF(J122&gt;=30,"Medium – Nurture",IF(J122&gt;=15,"Low – Monitor","Deprioritise"))))</f>
        <v>High Potential – Schedule Meeting</v>
      </c>
    </row>
    <row r="123" spans="2:13" ht="31" customHeight="1" x14ac:dyDescent="0.2">
      <c r="B123" s="8" t="s">
        <v>450</v>
      </c>
      <c r="C123" s="8" t="s">
        <v>769</v>
      </c>
      <c r="D123" s="8" t="s">
        <v>188</v>
      </c>
      <c r="E123" s="9">
        <v>8982000</v>
      </c>
      <c r="F123" s="8">
        <v>9</v>
      </c>
      <c r="G123" s="8">
        <v>55</v>
      </c>
      <c r="H123" s="8">
        <v>5</v>
      </c>
      <c r="I123" s="8">
        <v>40</v>
      </c>
      <c r="J123" s="16">
        <v>51.5</v>
      </c>
      <c r="K123" s="8"/>
      <c r="L123" s="17">
        <f>RANK(J123,J$11:J$210,0)</f>
        <v>112</v>
      </c>
      <c r="M123" s="18" t="str">
        <f>IF(J123&gt;=75,"Priority – Immediate Action",IF(J123&gt;=50,"High Potential – Schedule Meeting",IF(J123&gt;=30,"Medium – Nurture",IF(J123&gt;=15,"Low – Monitor","Deprioritise"))))</f>
        <v>High Potential – Schedule Meeting</v>
      </c>
    </row>
    <row r="124" spans="2:13" ht="31" customHeight="1" x14ac:dyDescent="0.2">
      <c r="B124" s="5" t="s">
        <v>439</v>
      </c>
      <c r="C124" s="5" t="s">
        <v>764</v>
      </c>
      <c r="D124" s="5" t="s">
        <v>153</v>
      </c>
      <c r="E124" s="6">
        <v>2816000</v>
      </c>
      <c r="F124" s="5">
        <v>10</v>
      </c>
      <c r="G124" s="5">
        <v>35</v>
      </c>
      <c r="H124" s="5">
        <v>30</v>
      </c>
      <c r="I124" s="5">
        <v>40</v>
      </c>
      <c r="J124" s="19">
        <v>51</v>
      </c>
      <c r="K124" s="5"/>
      <c r="L124" s="20">
        <f>RANK(J124,J$11:J$210,0)</f>
        <v>114</v>
      </c>
      <c r="M124" s="21" t="str">
        <f>IF(J124&gt;=75,"Priority – Immediate Action",IF(J124&gt;=50,"High Potential – Schedule Meeting",IF(J124&gt;=30,"Medium – Nurture",IF(J124&gt;=15,"Low – Monitor","Deprioritise"))))</f>
        <v>High Potential – Schedule Meeting</v>
      </c>
    </row>
    <row r="125" spans="2:13" ht="31" customHeight="1" x14ac:dyDescent="0.2">
      <c r="B125" s="5" t="s">
        <v>537</v>
      </c>
      <c r="C125" s="5" t="s">
        <v>806</v>
      </c>
      <c r="D125" s="5" t="s">
        <v>153</v>
      </c>
      <c r="E125" s="6">
        <v>4195000</v>
      </c>
      <c r="F125" s="5">
        <v>10</v>
      </c>
      <c r="G125" s="5">
        <v>35</v>
      </c>
      <c r="H125" s="5">
        <v>30</v>
      </c>
      <c r="I125" s="5">
        <v>40</v>
      </c>
      <c r="J125" s="19">
        <v>51</v>
      </c>
      <c r="K125" s="5"/>
      <c r="L125" s="20">
        <f>RANK(J125,J$11:J$210,0)</f>
        <v>114</v>
      </c>
      <c r="M125" s="21" t="str">
        <f>IF(J125&gt;=75,"Priority – Immediate Action",IF(J125&gt;=50,"High Potential – Schedule Meeting",IF(J125&gt;=30,"Medium – Nurture",IF(J125&gt;=15,"Low – Monitor","Deprioritise"))))</f>
        <v>High Potential – Schedule Meeting</v>
      </c>
    </row>
    <row r="126" spans="2:13" ht="31" customHeight="1" x14ac:dyDescent="0.2">
      <c r="B126" s="8" t="s">
        <v>471</v>
      </c>
      <c r="C126" s="8" t="s">
        <v>778</v>
      </c>
      <c r="D126" s="8" t="s">
        <v>220</v>
      </c>
      <c r="E126" s="9">
        <v>602000</v>
      </c>
      <c r="F126" s="8">
        <v>7</v>
      </c>
      <c r="G126" s="8">
        <v>15</v>
      </c>
      <c r="H126" s="8">
        <v>70</v>
      </c>
      <c r="I126" s="8">
        <v>88</v>
      </c>
      <c r="J126" s="16">
        <v>50.7</v>
      </c>
      <c r="K126" s="8"/>
      <c r="L126" s="17">
        <f>RANK(J126,J$11:J$210,0)</f>
        <v>116</v>
      </c>
      <c r="M126" s="18" t="str">
        <f>IF(J126&gt;=75,"Priority – Immediate Action",IF(J126&gt;=50,"High Potential – Schedule Meeting",IF(J126&gt;=30,"Medium – Nurture",IF(J126&gt;=15,"Low – Monitor","Deprioritise"))))</f>
        <v>High Potential – Schedule Meeting</v>
      </c>
    </row>
    <row r="127" spans="2:13" ht="31" customHeight="1" x14ac:dyDescent="0.2">
      <c r="B127" s="5" t="s">
        <v>503</v>
      </c>
      <c r="C127" s="5" t="s">
        <v>791</v>
      </c>
      <c r="D127" s="5" t="s">
        <v>188</v>
      </c>
      <c r="E127" s="6">
        <v>5083000</v>
      </c>
      <c r="F127" s="5">
        <v>9</v>
      </c>
      <c r="G127" s="5">
        <v>55</v>
      </c>
      <c r="H127" s="5">
        <v>0</v>
      </c>
      <c r="I127" s="5">
        <v>40</v>
      </c>
      <c r="J127" s="19">
        <v>50.5</v>
      </c>
      <c r="K127" s="5"/>
      <c r="L127" s="20">
        <f>RANK(J127,J$11:J$210,0)</f>
        <v>117</v>
      </c>
      <c r="M127" s="21" t="str">
        <f>IF(J127&gt;=75,"Priority – Immediate Action",IF(J127&gt;=50,"High Potential – Schedule Meeting",IF(J127&gt;=30,"Medium – Nurture",IF(J127&gt;=15,"Low – Monitor","Deprioritise"))))</f>
        <v>High Potential – Schedule Meeting</v>
      </c>
    </row>
    <row r="128" spans="2:13" ht="31" customHeight="1" x14ac:dyDescent="0.2">
      <c r="B128" s="8" t="s">
        <v>540</v>
      </c>
      <c r="C128" s="8" t="s">
        <v>773</v>
      </c>
      <c r="D128" s="8" t="s">
        <v>153</v>
      </c>
      <c r="E128" s="9">
        <v>2956000</v>
      </c>
      <c r="F128" s="8">
        <v>10</v>
      </c>
      <c r="G128" s="8">
        <v>35</v>
      </c>
      <c r="H128" s="8">
        <v>15</v>
      </c>
      <c r="I128" s="8">
        <v>56</v>
      </c>
      <c r="J128" s="16">
        <v>50.4</v>
      </c>
      <c r="K128" s="8"/>
      <c r="L128" s="17">
        <f>RANK(J128,J$11:J$210,0)</f>
        <v>118</v>
      </c>
      <c r="M128" s="18" t="str">
        <f>IF(J128&gt;=75,"Priority – Immediate Action",IF(J128&gt;=50,"High Potential – Schedule Meeting",IF(J128&gt;=30,"Medium – Nurture",IF(J128&gt;=15,"Low – Monitor","Deprioritise"))))</f>
        <v>High Potential – Schedule Meeting</v>
      </c>
    </row>
    <row r="129" spans="2:13" ht="31" customHeight="1" x14ac:dyDescent="0.2">
      <c r="B129" s="5" t="s">
        <v>651</v>
      </c>
      <c r="C129" s="5" t="s">
        <v>854</v>
      </c>
      <c r="D129" s="5" t="s">
        <v>244</v>
      </c>
      <c r="E129" s="6">
        <v>26119000</v>
      </c>
      <c r="F129" s="5">
        <v>2</v>
      </c>
      <c r="G129" s="5">
        <v>75</v>
      </c>
      <c r="H129" s="5">
        <v>5</v>
      </c>
      <c r="I129" s="5">
        <v>96</v>
      </c>
      <c r="J129" s="19">
        <v>50.4</v>
      </c>
      <c r="K129" s="5"/>
      <c r="L129" s="20">
        <f>RANK(J129,J$11:J$210,0)</f>
        <v>118</v>
      </c>
      <c r="M129" s="21" t="str">
        <f>IF(J129&gt;=75,"Priority – Immediate Action",IF(J129&gt;=50,"High Potential – Schedule Meeting",IF(J129&gt;=30,"Medium – Nurture",IF(J129&gt;=15,"Low – Monitor","Deprioritise"))))</f>
        <v>High Potential – Schedule Meeting</v>
      </c>
    </row>
    <row r="130" spans="2:13" ht="31" customHeight="1" x14ac:dyDescent="0.2">
      <c r="B130" s="5" t="s">
        <v>500</v>
      </c>
      <c r="C130" s="5" t="s">
        <v>758</v>
      </c>
      <c r="D130" s="5" t="s">
        <v>188</v>
      </c>
      <c r="E130" s="6">
        <v>5368000</v>
      </c>
      <c r="F130" s="5">
        <v>4</v>
      </c>
      <c r="G130" s="5">
        <v>55</v>
      </c>
      <c r="H130" s="5">
        <v>30</v>
      </c>
      <c r="I130" s="5">
        <v>80</v>
      </c>
      <c r="J130" s="19">
        <v>50</v>
      </c>
      <c r="K130" s="5"/>
      <c r="L130" s="20">
        <f>RANK(J130,J$11:J$210,0)</f>
        <v>120</v>
      </c>
      <c r="M130" s="21" t="str">
        <f>IF(J130&gt;=75,"Priority – Immediate Action",IF(J130&gt;=50,"High Potential – Schedule Meeting",IF(J130&gt;=30,"Medium – Nurture",IF(J130&gt;=15,"Low – Monitor","Deprioritise"))))</f>
        <v>High Potential – Schedule Meeting</v>
      </c>
    </row>
    <row r="131" spans="2:13" ht="31" customHeight="1" x14ac:dyDescent="0.2">
      <c r="B131" s="8" t="s">
        <v>421</v>
      </c>
      <c r="C131" s="8" t="s">
        <v>731</v>
      </c>
      <c r="D131" s="8" t="s">
        <v>188</v>
      </c>
      <c r="E131" s="9">
        <v>8993000</v>
      </c>
      <c r="F131" s="8">
        <v>7</v>
      </c>
      <c r="G131" s="8">
        <v>55</v>
      </c>
      <c r="H131" s="8">
        <v>15</v>
      </c>
      <c r="I131" s="8">
        <v>48</v>
      </c>
      <c r="J131" s="16">
        <v>49.7</v>
      </c>
      <c r="K131" s="8"/>
      <c r="L131" s="17">
        <f>RANK(J131,J$11:J$210,0)</f>
        <v>121</v>
      </c>
      <c r="M131" s="18" t="str">
        <f>IF(J131&gt;=75,"Priority – Immediate Action",IF(J131&gt;=50,"High Potential – Schedule Meeting",IF(J131&gt;=30,"Medium – Nurture",IF(J131&gt;=15,"Low – Monitor","Deprioritise"))))</f>
        <v>Medium – Nurture</v>
      </c>
    </row>
    <row r="132" spans="2:13" ht="31" customHeight="1" x14ac:dyDescent="0.2">
      <c r="B132" s="5" t="s">
        <v>342</v>
      </c>
      <c r="C132" s="5" t="s">
        <v>733</v>
      </c>
      <c r="D132" s="5" t="s">
        <v>153</v>
      </c>
      <c r="E132" s="6">
        <v>3306000</v>
      </c>
      <c r="F132" s="5">
        <v>8</v>
      </c>
      <c r="G132" s="5">
        <v>35</v>
      </c>
      <c r="H132" s="5">
        <v>30</v>
      </c>
      <c r="I132" s="5">
        <v>64</v>
      </c>
      <c r="J132" s="19">
        <v>49.6</v>
      </c>
      <c r="K132" s="5"/>
      <c r="L132" s="20">
        <f>RANK(J132,J$11:J$210,0)</f>
        <v>122</v>
      </c>
      <c r="M132" s="21" t="str">
        <f>IF(J132&gt;=75,"Priority – Immediate Action",IF(J132&gt;=50,"High Potential – Schedule Meeting",IF(J132&gt;=30,"Medium – Nurture",IF(J132&gt;=15,"Low – Monitor","Deprioritise"))))</f>
        <v>Medium – Nurture</v>
      </c>
    </row>
    <row r="133" spans="2:13" ht="31" customHeight="1" x14ac:dyDescent="0.2">
      <c r="B133" s="8" t="s">
        <v>481</v>
      </c>
      <c r="C133" s="8" t="s">
        <v>783</v>
      </c>
      <c r="D133" s="8" t="s">
        <v>188</v>
      </c>
      <c r="E133" s="9">
        <v>6935000</v>
      </c>
      <c r="F133" s="8">
        <v>6</v>
      </c>
      <c r="G133" s="8">
        <v>55</v>
      </c>
      <c r="H133" s="8">
        <v>15</v>
      </c>
      <c r="I133" s="8">
        <v>64</v>
      </c>
      <c r="J133" s="16">
        <v>49.6</v>
      </c>
      <c r="K133" s="8"/>
      <c r="L133" s="17">
        <f>RANK(J133,J$11:J$210,0)</f>
        <v>122</v>
      </c>
      <c r="M133" s="18" t="str">
        <f>IF(J133&gt;=75,"Priority – Immediate Action",IF(J133&gt;=50,"High Potential – Schedule Meeting",IF(J133&gt;=30,"Medium – Nurture",IF(J133&gt;=15,"Low – Monitor","Deprioritise"))))</f>
        <v>Medium – Nurture</v>
      </c>
    </row>
    <row r="134" spans="2:13" ht="31" customHeight="1" x14ac:dyDescent="0.2">
      <c r="B134" s="5" t="s">
        <v>299</v>
      </c>
      <c r="C134" s="5" t="s">
        <v>722</v>
      </c>
      <c r="D134" s="5" t="s">
        <v>244</v>
      </c>
      <c r="E134" s="6">
        <v>44574000</v>
      </c>
      <c r="F134" s="5">
        <v>2</v>
      </c>
      <c r="G134" s="5">
        <v>75</v>
      </c>
      <c r="H134" s="5">
        <v>5</v>
      </c>
      <c r="I134" s="5">
        <v>88</v>
      </c>
      <c r="J134" s="19">
        <v>49.2</v>
      </c>
      <c r="K134" s="5"/>
      <c r="L134" s="20">
        <f>RANK(J134,J$11:J$210,0)</f>
        <v>124</v>
      </c>
      <c r="M134" s="21" t="str">
        <f>IF(J134&gt;=75,"Priority – Immediate Action",IF(J134&gt;=50,"High Potential – Schedule Meeting",IF(J134&gt;=30,"Medium – Nurture",IF(J134&gt;=15,"Low – Monitor","Deprioritise"))))</f>
        <v>Medium – Nurture</v>
      </c>
    </row>
    <row r="135" spans="2:13" ht="31" customHeight="1" x14ac:dyDescent="0.2">
      <c r="B135" s="8" t="s">
        <v>360</v>
      </c>
      <c r="C135" s="8" t="s">
        <v>738</v>
      </c>
      <c r="D135" s="8" t="s">
        <v>188</v>
      </c>
      <c r="E135" s="9">
        <v>7202000</v>
      </c>
      <c r="F135" s="8">
        <v>3</v>
      </c>
      <c r="G135" s="8">
        <v>55</v>
      </c>
      <c r="H135" s="8">
        <v>50</v>
      </c>
      <c r="I135" s="8">
        <v>64</v>
      </c>
      <c r="J135" s="16">
        <v>49.1</v>
      </c>
      <c r="K135" s="8"/>
      <c r="L135" s="17">
        <f>RANK(J135,J$11:J$210,0)</f>
        <v>125</v>
      </c>
      <c r="M135" s="18" t="str">
        <f>IF(J135&gt;=75,"Priority – Immediate Action",IF(J135&gt;=50,"High Potential – Schedule Meeting",IF(J135&gt;=30,"Medium – Nurture",IF(J135&gt;=15,"Low – Monitor","Deprioritise"))))</f>
        <v>Medium – Nurture</v>
      </c>
    </row>
    <row r="136" spans="2:13" ht="31" customHeight="1" x14ac:dyDescent="0.2">
      <c r="B136" s="8" t="s">
        <v>416</v>
      </c>
      <c r="C136" s="8" t="s">
        <v>721</v>
      </c>
      <c r="D136" s="8" t="s">
        <v>188</v>
      </c>
      <c r="E136" s="9">
        <v>9758000</v>
      </c>
      <c r="F136" s="8">
        <v>7</v>
      </c>
      <c r="G136" s="8">
        <v>55</v>
      </c>
      <c r="H136" s="8">
        <v>0</v>
      </c>
      <c r="I136" s="8">
        <v>64</v>
      </c>
      <c r="J136" s="16">
        <v>49.1</v>
      </c>
      <c r="K136" s="8"/>
      <c r="L136" s="17">
        <f>RANK(J136,J$11:J$210,0)</f>
        <v>125</v>
      </c>
      <c r="M136" s="18" t="str">
        <f>IF(J136&gt;=75,"Priority – Immediate Action",IF(J136&gt;=50,"High Potential – Schedule Meeting",IF(J136&gt;=30,"Medium – Nurture",IF(J136&gt;=15,"Low – Monitor","Deprioritise"))))</f>
        <v>Medium – Nurture</v>
      </c>
    </row>
    <row r="137" spans="2:13" ht="31" customHeight="1" x14ac:dyDescent="0.2">
      <c r="B137" s="8" t="s">
        <v>570</v>
      </c>
      <c r="C137" s="8" t="s">
        <v>818</v>
      </c>
      <c r="D137" s="8" t="s">
        <v>153</v>
      </c>
      <c r="E137" s="9">
        <v>4387000</v>
      </c>
      <c r="F137" s="8">
        <v>6</v>
      </c>
      <c r="G137" s="8">
        <v>35</v>
      </c>
      <c r="H137" s="8">
        <v>70</v>
      </c>
      <c r="I137" s="8">
        <v>40</v>
      </c>
      <c r="J137" s="16">
        <v>49</v>
      </c>
      <c r="K137" s="8"/>
      <c r="L137" s="17">
        <f>RANK(J137,J$11:J$210,0)</f>
        <v>127</v>
      </c>
      <c r="M137" s="18" t="str">
        <f>IF(J137&gt;=75,"Priority – Immediate Action",IF(J137&gt;=50,"High Potential – Schedule Meeting",IF(J137&gt;=30,"Medium – Nurture",IF(J137&gt;=15,"Low – Monitor","Deprioritise"))))</f>
        <v>Medium – Nurture</v>
      </c>
    </row>
    <row r="138" spans="2:13" ht="31" customHeight="1" x14ac:dyDescent="0.2">
      <c r="B138" s="5" t="s">
        <v>588</v>
      </c>
      <c r="C138" s="5" t="s">
        <v>827</v>
      </c>
      <c r="D138" s="5" t="s">
        <v>244</v>
      </c>
      <c r="E138" s="6">
        <v>20694000</v>
      </c>
      <c r="F138" s="5">
        <v>4</v>
      </c>
      <c r="G138" s="5">
        <v>75</v>
      </c>
      <c r="H138" s="5">
        <v>15</v>
      </c>
      <c r="I138" s="5">
        <v>40</v>
      </c>
      <c r="J138" s="19">
        <v>49</v>
      </c>
      <c r="K138" s="5"/>
      <c r="L138" s="20">
        <f>RANK(J138,J$11:J$210,0)</f>
        <v>127</v>
      </c>
      <c r="M138" s="21" t="str">
        <f>IF(J138&gt;=75,"Priority – Immediate Action",IF(J138&gt;=50,"High Potential – Schedule Meeting",IF(J138&gt;=30,"Medium – Nurture",IF(J138&gt;=15,"Low – Monitor","Deprioritise"))))</f>
        <v>Medium – Nurture</v>
      </c>
    </row>
    <row r="139" spans="2:13" ht="31" customHeight="1" x14ac:dyDescent="0.2">
      <c r="B139" s="5" t="s">
        <v>483</v>
      </c>
      <c r="C139" s="5" t="s">
        <v>752</v>
      </c>
      <c r="D139" s="5" t="s">
        <v>153</v>
      </c>
      <c r="E139" s="6">
        <v>3650000</v>
      </c>
      <c r="F139" s="5">
        <v>7</v>
      </c>
      <c r="G139" s="5">
        <v>35</v>
      </c>
      <c r="H139" s="5">
        <v>15</v>
      </c>
      <c r="I139" s="5">
        <v>96</v>
      </c>
      <c r="J139" s="19">
        <v>48.9</v>
      </c>
      <c r="K139" s="5"/>
      <c r="L139" s="20">
        <f>RANK(J139,J$11:J$210,0)</f>
        <v>129</v>
      </c>
      <c r="M139" s="21" t="str">
        <f>IF(J139&gt;=75,"Priority – Immediate Action",IF(J139&gt;=50,"High Potential – Schedule Meeting",IF(J139&gt;=30,"Medium – Nurture",IF(J139&gt;=15,"Low – Monitor","Deprioritise"))))</f>
        <v>Medium – Nurture</v>
      </c>
    </row>
    <row r="140" spans="2:13" ht="31" customHeight="1" x14ac:dyDescent="0.2">
      <c r="B140" s="5" t="s">
        <v>373</v>
      </c>
      <c r="C140" s="5" t="s">
        <v>743</v>
      </c>
      <c r="D140" s="5" t="s">
        <v>188</v>
      </c>
      <c r="E140" s="6">
        <v>7211000</v>
      </c>
      <c r="F140" s="5">
        <v>3</v>
      </c>
      <c r="G140" s="5">
        <v>55</v>
      </c>
      <c r="H140" s="5">
        <v>30</v>
      </c>
      <c r="I140" s="5">
        <v>88</v>
      </c>
      <c r="J140" s="19">
        <v>48.7</v>
      </c>
      <c r="K140" s="5"/>
      <c r="L140" s="20">
        <f>RANK(J140,J$11:J$210,0)</f>
        <v>130</v>
      </c>
      <c r="M140" s="21" t="str">
        <f>IF(J140&gt;=75,"Priority – Immediate Action",IF(J140&gt;=50,"High Potential – Schedule Meeting",IF(J140&gt;=30,"Medium – Nurture",IF(J140&gt;=15,"Low – Monitor","Deprioritise"))))</f>
        <v>Medium – Nurture</v>
      </c>
    </row>
    <row r="141" spans="2:13" ht="31" customHeight="1" x14ac:dyDescent="0.2">
      <c r="B141" s="5" t="s">
        <v>667</v>
      </c>
      <c r="C141" s="5" t="s">
        <v>744</v>
      </c>
      <c r="D141" s="5" t="s">
        <v>244</v>
      </c>
      <c r="E141" s="6">
        <v>38627000</v>
      </c>
      <c r="F141" s="5">
        <v>2</v>
      </c>
      <c r="G141" s="5">
        <v>75</v>
      </c>
      <c r="H141" s="5">
        <v>50</v>
      </c>
      <c r="I141" s="5">
        <v>24</v>
      </c>
      <c r="J141" s="19">
        <v>48.6</v>
      </c>
      <c r="K141" s="5"/>
      <c r="L141" s="20">
        <f>RANK(J141,J$11:J$210,0)</f>
        <v>131</v>
      </c>
      <c r="M141" s="21" t="str">
        <f>IF(J141&gt;=75,"Priority – Immediate Action",IF(J141&gt;=50,"High Potential – Schedule Meeting",IF(J141&gt;=30,"Medium – Nurture",IF(J141&gt;=15,"Low – Monitor","Deprioritise"))))</f>
        <v>Medium – Nurture</v>
      </c>
    </row>
    <row r="142" spans="2:13" ht="31" customHeight="1" x14ac:dyDescent="0.2">
      <c r="B142" s="5" t="s">
        <v>185</v>
      </c>
      <c r="C142" s="5" t="s">
        <v>706</v>
      </c>
      <c r="D142" s="5" t="s">
        <v>188</v>
      </c>
      <c r="E142" s="6">
        <v>5856000</v>
      </c>
      <c r="F142" s="5">
        <v>7</v>
      </c>
      <c r="G142" s="5">
        <v>55</v>
      </c>
      <c r="H142" s="5">
        <v>15</v>
      </c>
      <c r="I142" s="5">
        <v>40</v>
      </c>
      <c r="J142" s="19">
        <v>48.5</v>
      </c>
      <c r="K142" s="5"/>
      <c r="L142" s="20">
        <f>RANK(J142,J$11:J$210,0)</f>
        <v>132</v>
      </c>
      <c r="M142" s="21" t="str">
        <f>IF(J142&gt;=75,"Priority – Immediate Action",IF(J142&gt;=50,"High Potential – Schedule Meeting",IF(J142&gt;=30,"Medium – Nurture",IF(J142&gt;=15,"Low – Monitor","Deprioritise"))))</f>
        <v>Medium – Nurture</v>
      </c>
    </row>
    <row r="143" spans="2:13" ht="31" customHeight="1" x14ac:dyDescent="0.2">
      <c r="B143" s="5" t="s">
        <v>457</v>
      </c>
      <c r="C143" s="5" t="s">
        <v>772</v>
      </c>
      <c r="D143" s="5" t="s">
        <v>220</v>
      </c>
      <c r="E143" s="6">
        <v>965000</v>
      </c>
      <c r="F143" s="5">
        <v>7</v>
      </c>
      <c r="G143" s="5">
        <v>15</v>
      </c>
      <c r="H143" s="5">
        <v>70</v>
      </c>
      <c r="I143" s="5">
        <v>72</v>
      </c>
      <c r="J143" s="19">
        <v>48.3</v>
      </c>
      <c r="K143" s="5"/>
      <c r="L143" s="20">
        <f>RANK(J143,J$11:J$210,0)</f>
        <v>133</v>
      </c>
      <c r="M143" s="21" t="str">
        <f>IF(J143&gt;=75,"Priority – Immediate Action",IF(J143&gt;=50,"High Potential – Schedule Meeting",IF(J143&gt;=30,"Medium – Nurture",IF(J143&gt;=15,"Low – Monitor","Deprioritise"))))</f>
        <v>Medium – Nurture</v>
      </c>
    </row>
    <row r="144" spans="2:13" ht="31" customHeight="1" x14ac:dyDescent="0.2">
      <c r="B144" s="5" t="s">
        <v>586</v>
      </c>
      <c r="C144" s="5" t="s">
        <v>807</v>
      </c>
      <c r="D144" s="5" t="s">
        <v>188</v>
      </c>
      <c r="E144" s="6">
        <v>7864000</v>
      </c>
      <c r="F144" s="5">
        <v>10</v>
      </c>
      <c r="G144" s="5">
        <v>55</v>
      </c>
      <c r="H144" s="5">
        <v>0</v>
      </c>
      <c r="I144" s="5">
        <v>8</v>
      </c>
      <c r="J144" s="19">
        <v>48.2</v>
      </c>
      <c r="K144" s="5"/>
      <c r="L144" s="20">
        <f>RANK(J144,J$11:J$210,0)</f>
        <v>134</v>
      </c>
      <c r="M144" s="21" t="str">
        <f>IF(J144&gt;=75,"Priority – Immediate Action",IF(J144&gt;=50,"High Potential – Schedule Meeting",IF(J144&gt;=30,"Medium – Nurture",IF(J144&gt;=15,"Low – Monitor","Deprioritise"))))</f>
        <v>Medium – Nurture</v>
      </c>
    </row>
    <row r="145" spans="2:13" ht="31" customHeight="1" x14ac:dyDescent="0.2">
      <c r="B145" s="8" t="s">
        <v>425</v>
      </c>
      <c r="C145" s="8" t="s">
        <v>760</v>
      </c>
      <c r="D145" s="8" t="s">
        <v>244</v>
      </c>
      <c r="E145" s="9">
        <v>15048000</v>
      </c>
      <c r="F145" s="8">
        <v>3</v>
      </c>
      <c r="G145" s="8">
        <v>75</v>
      </c>
      <c r="H145" s="8">
        <v>5</v>
      </c>
      <c r="I145" s="8">
        <v>64</v>
      </c>
      <c r="J145" s="16">
        <v>48.1</v>
      </c>
      <c r="K145" s="8"/>
      <c r="L145" s="17">
        <f>RANK(J145,J$11:J$210,0)</f>
        <v>135</v>
      </c>
      <c r="M145" s="18" t="str">
        <f>IF(J145&gt;=75,"Priority – Immediate Action",IF(J145&gt;=50,"High Potential – Schedule Meeting",IF(J145&gt;=30,"Medium – Nurture",IF(J145&gt;=15,"Low – Monitor","Deprioritise"))))</f>
        <v>Medium – Nurture</v>
      </c>
    </row>
    <row r="146" spans="2:13" ht="31" customHeight="1" x14ac:dyDescent="0.2">
      <c r="B146" s="8" t="s">
        <v>555</v>
      </c>
      <c r="C146" s="8" t="s">
        <v>811</v>
      </c>
      <c r="D146" s="8" t="s">
        <v>188</v>
      </c>
      <c r="E146" s="9">
        <v>9670000</v>
      </c>
      <c r="F146" s="8">
        <v>2</v>
      </c>
      <c r="G146" s="8">
        <v>55</v>
      </c>
      <c r="H146" s="8">
        <v>50</v>
      </c>
      <c r="I146" s="8">
        <v>72</v>
      </c>
      <c r="J146" s="16">
        <v>47.8</v>
      </c>
      <c r="K146" s="8"/>
      <c r="L146" s="17">
        <f>RANK(J146,J$11:J$210,0)</f>
        <v>136</v>
      </c>
      <c r="M146" s="18" t="str">
        <f>IF(J146&gt;=75,"Priority – Immediate Action",IF(J146&gt;=50,"High Potential – Schedule Meeting",IF(J146&gt;=30,"Medium – Nurture",IF(J146&gt;=15,"Low – Monitor","Deprioritise"))))</f>
        <v>Medium – Nurture</v>
      </c>
    </row>
    <row r="147" spans="2:13" ht="31" customHeight="1" x14ac:dyDescent="0.2">
      <c r="B147" s="8" t="s">
        <v>647</v>
      </c>
      <c r="C147" s="8" t="s">
        <v>851</v>
      </c>
      <c r="D147" s="8" t="s">
        <v>188</v>
      </c>
      <c r="E147" s="9">
        <v>9204000</v>
      </c>
      <c r="F147" s="8">
        <v>6</v>
      </c>
      <c r="G147" s="8">
        <v>55</v>
      </c>
      <c r="H147" s="8">
        <v>30</v>
      </c>
      <c r="I147" s="8">
        <v>32</v>
      </c>
      <c r="J147" s="16">
        <v>47.8</v>
      </c>
      <c r="K147" s="8"/>
      <c r="L147" s="17">
        <f>RANK(J147,J$11:J$210,0)</f>
        <v>136</v>
      </c>
      <c r="M147" s="18" t="str">
        <f>IF(J147&gt;=75,"Priority – Immediate Action",IF(J147&gt;=50,"High Potential – Schedule Meeting",IF(J147&gt;=30,"Medium – Nurture",IF(J147&gt;=15,"Low – Monitor","Deprioritise"))))</f>
        <v>Medium – Nurture</v>
      </c>
    </row>
    <row r="148" spans="2:13" ht="31" customHeight="1" x14ac:dyDescent="0.2">
      <c r="B148" s="8" t="s">
        <v>445</v>
      </c>
      <c r="C148" s="8" t="s">
        <v>767</v>
      </c>
      <c r="D148" s="8" t="s">
        <v>188</v>
      </c>
      <c r="E148" s="9">
        <v>7002000</v>
      </c>
      <c r="F148" s="8">
        <v>7</v>
      </c>
      <c r="G148" s="8">
        <v>55</v>
      </c>
      <c r="H148" s="8">
        <v>5</v>
      </c>
      <c r="I148" s="8">
        <v>48</v>
      </c>
      <c r="J148" s="16">
        <v>47.7</v>
      </c>
      <c r="K148" s="8"/>
      <c r="L148" s="17">
        <f>RANK(J148,J$11:J$210,0)</f>
        <v>138</v>
      </c>
      <c r="M148" s="18" t="str">
        <f>IF(J148&gt;=75,"Priority – Immediate Action",IF(J148&gt;=50,"High Potential – Schedule Meeting",IF(J148&gt;=30,"Medium – Nurture",IF(J148&gt;=15,"Low – Monitor","Deprioritise"))))</f>
        <v>Medium – Nurture</v>
      </c>
    </row>
    <row r="149" spans="2:13" ht="31" customHeight="1" x14ac:dyDescent="0.2">
      <c r="B149" s="5" t="s">
        <v>658</v>
      </c>
      <c r="C149" s="5" t="s">
        <v>857</v>
      </c>
      <c r="D149" s="5" t="s">
        <v>153</v>
      </c>
      <c r="E149" s="6">
        <v>3942000</v>
      </c>
      <c r="F149" s="5">
        <v>9</v>
      </c>
      <c r="G149" s="5">
        <v>35</v>
      </c>
      <c r="H149" s="5">
        <v>50</v>
      </c>
      <c r="I149" s="5">
        <v>8</v>
      </c>
      <c r="J149" s="19">
        <v>47.7</v>
      </c>
      <c r="K149" s="5"/>
      <c r="L149" s="20">
        <f>RANK(J149,J$11:J$210,0)</f>
        <v>138</v>
      </c>
      <c r="M149" s="21" t="str">
        <f>IF(J149&gt;=75,"Priority – Immediate Action",IF(J149&gt;=50,"High Potential – Schedule Meeting",IF(J149&gt;=30,"Medium – Nurture",IF(J149&gt;=15,"Low – Monitor","Deprioritise"))))</f>
        <v>Medium – Nurture</v>
      </c>
    </row>
    <row r="150" spans="2:13" ht="31" customHeight="1" x14ac:dyDescent="0.2">
      <c r="B150" s="5" t="s">
        <v>684</v>
      </c>
      <c r="C150" s="5" t="s">
        <v>852</v>
      </c>
      <c r="D150" s="5" t="s">
        <v>153</v>
      </c>
      <c r="E150" s="6">
        <v>3341000</v>
      </c>
      <c r="F150" s="5">
        <v>2</v>
      </c>
      <c r="G150" s="5">
        <v>35</v>
      </c>
      <c r="H150" s="5">
        <v>100</v>
      </c>
      <c r="I150" s="5">
        <v>56</v>
      </c>
      <c r="J150" s="19">
        <v>47.4</v>
      </c>
      <c r="K150" s="5"/>
      <c r="L150" s="20">
        <f>RANK(J150,J$11:J$210,0)</f>
        <v>140</v>
      </c>
      <c r="M150" s="21" t="str">
        <f>IF(J150&gt;=75,"Priority – Immediate Action",IF(J150&gt;=50,"High Potential – Schedule Meeting",IF(J150&gt;=30,"Medium – Nurture",IF(J150&gt;=15,"Low – Monitor","Deprioritise"))))</f>
        <v>Medium – Nurture</v>
      </c>
    </row>
    <row r="151" spans="2:13" ht="31" customHeight="1" x14ac:dyDescent="0.2">
      <c r="B151" s="8" t="s">
        <v>582</v>
      </c>
      <c r="C151" s="8" t="s">
        <v>824</v>
      </c>
      <c r="D151" s="8" t="s">
        <v>244</v>
      </c>
      <c r="E151" s="9">
        <v>36944000</v>
      </c>
      <c r="F151" s="8">
        <v>3</v>
      </c>
      <c r="G151" s="8">
        <v>75</v>
      </c>
      <c r="H151" s="8">
        <v>30</v>
      </c>
      <c r="I151" s="8">
        <v>24</v>
      </c>
      <c r="J151" s="16">
        <v>47.1</v>
      </c>
      <c r="K151" s="8"/>
      <c r="L151" s="17">
        <f>RANK(J151,J$11:J$210,0)</f>
        <v>141</v>
      </c>
      <c r="M151" s="18" t="str">
        <f>IF(J151&gt;=75,"Priority – Immediate Action",IF(J151&gt;=50,"High Potential – Schedule Meeting",IF(J151&gt;=30,"Medium – Nurture",IF(J151&gt;=15,"Low – Monitor","Deprioritise"))))</f>
        <v>Medium – Nurture</v>
      </c>
    </row>
    <row r="152" spans="2:13" ht="31" customHeight="1" x14ac:dyDescent="0.2">
      <c r="B152" s="5" t="s">
        <v>635</v>
      </c>
      <c r="C152" s="5" t="s">
        <v>824</v>
      </c>
      <c r="D152" s="5" t="s">
        <v>153</v>
      </c>
      <c r="E152" s="6">
        <v>3311000</v>
      </c>
      <c r="F152" s="5">
        <v>5</v>
      </c>
      <c r="G152" s="5">
        <v>35</v>
      </c>
      <c r="H152" s="5">
        <v>30</v>
      </c>
      <c r="I152" s="5">
        <v>96</v>
      </c>
      <c r="J152" s="19">
        <v>46.9</v>
      </c>
      <c r="K152" s="5"/>
      <c r="L152" s="20">
        <f>RANK(J152,J$11:J$210,0)</f>
        <v>142</v>
      </c>
      <c r="M152" s="21" t="str">
        <f>IF(J152&gt;=75,"Priority – Immediate Action",IF(J152&gt;=50,"High Potential – Schedule Meeting",IF(J152&gt;=30,"Medium – Nurture",IF(J152&gt;=15,"Low – Monitor","Deprioritise"))))</f>
        <v>Medium – Nurture</v>
      </c>
    </row>
    <row r="153" spans="2:13" ht="31" customHeight="1" x14ac:dyDescent="0.2">
      <c r="B153" s="5" t="s">
        <v>571</v>
      </c>
      <c r="C153" s="5" t="s">
        <v>819</v>
      </c>
      <c r="D153" s="5" t="s">
        <v>188</v>
      </c>
      <c r="E153" s="6">
        <v>8954000</v>
      </c>
      <c r="F153" s="5">
        <v>4</v>
      </c>
      <c r="G153" s="5">
        <v>55</v>
      </c>
      <c r="H153" s="5">
        <v>50</v>
      </c>
      <c r="I153" s="5">
        <v>32</v>
      </c>
      <c r="J153" s="19">
        <v>46.8</v>
      </c>
      <c r="K153" s="5"/>
      <c r="L153" s="20">
        <f>RANK(J153,J$11:J$210,0)</f>
        <v>143</v>
      </c>
      <c r="M153" s="21" t="str">
        <f>IF(J153&gt;=75,"Priority – Immediate Action",IF(J153&gt;=50,"High Potential – Schedule Meeting",IF(J153&gt;=30,"Medium – Nurture",IF(J153&gt;=15,"Low – Monitor","Deprioritise"))))</f>
        <v>Medium – Nurture</v>
      </c>
    </row>
    <row r="154" spans="2:13" ht="31" customHeight="1" x14ac:dyDescent="0.2">
      <c r="B154" s="5" t="s">
        <v>628</v>
      </c>
      <c r="C154" s="5" t="s">
        <v>844</v>
      </c>
      <c r="D154" s="5" t="s">
        <v>220</v>
      </c>
      <c r="E154" s="6">
        <v>1673000</v>
      </c>
      <c r="F154" s="5">
        <v>10</v>
      </c>
      <c r="G154" s="5">
        <v>15</v>
      </c>
      <c r="H154" s="5">
        <v>30</v>
      </c>
      <c r="I154" s="5">
        <v>64</v>
      </c>
      <c r="J154" s="19">
        <v>46.6</v>
      </c>
      <c r="K154" s="5"/>
      <c r="L154" s="20">
        <f>RANK(J154,J$11:J$210,0)</f>
        <v>144</v>
      </c>
      <c r="M154" s="21" t="str">
        <f>IF(J154&gt;=75,"Priority – Immediate Action",IF(J154&gt;=50,"High Potential – Schedule Meeting",IF(J154&gt;=30,"Medium – Nurture",IF(J154&gt;=15,"Low – Monitor","Deprioritise"))))</f>
        <v>Medium – Nurture</v>
      </c>
    </row>
    <row r="155" spans="2:13" ht="31" customHeight="1" x14ac:dyDescent="0.2">
      <c r="B155" s="8" t="s">
        <v>522</v>
      </c>
      <c r="C155" s="8" t="s">
        <v>757</v>
      </c>
      <c r="D155" s="8" t="s">
        <v>153</v>
      </c>
      <c r="E155" s="9">
        <v>4862000</v>
      </c>
      <c r="F155" s="8">
        <v>5</v>
      </c>
      <c r="G155" s="8">
        <v>35</v>
      </c>
      <c r="H155" s="8">
        <v>70</v>
      </c>
      <c r="I155" s="8">
        <v>40</v>
      </c>
      <c r="J155" s="16">
        <v>46.5</v>
      </c>
      <c r="K155" s="8"/>
      <c r="L155" s="17">
        <f>RANK(J155,J$11:J$210,0)</f>
        <v>145</v>
      </c>
      <c r="M155" s="18" t="str">
        <f>IF(J155&gt;=75,"Priority – Immediate Action",IF(J155&gt;=50,"High Potential – Schedule Meeting",IF(J155&gt;=30,"Medium – Nurture",IF(J155&gt;=15,"Low – Monitor","Deprioritise"))))</f>
        <v>Medium – Nurture</v>
      </c>
    </row>
    <row r="156" spans="2:13" ht="31" customHeight="1" x14ac:dyDescent="0.2">
      <c r="B156" s="8" t="s">
        <v>641</v>
      </c>
      <c r="C156" s="8" t="s">
        <v>847</v>
      </c>
      <c r="D156" s="8" t="s">
        <v>244</v>
      </c>
      <c r="E156" s="9">
        <v>12948000</v>
      </c>
      <c r="F156" s="8">
        <v>3</v>
      </c>
      <c r="G156" s="8">
        <v>75</v>
      </c>
      <c r="H156" s="8">
        <v>15</v>
      </c>
      <c r="I156" s="8">
        <v>40</v>
      </c>
      <c r="J156" s="16">
        <v>46.5</v>
      </c>
      <c r="K156" s="8"/>
      <c r="L156" s="17">
        <f>RANK(J156,J$11:J$210,0)</f>
        <v>145</v>
      </c>
      <c r="M156" s="18" t="str">
        <f>IF(J156&gt;=75,"Priority – Immediate Action",IF(J156&gt;=50,"High Potential – Schedule Meeting",IF(J156&gt;=30,"Medium – Nurture",IF(J156&gt;=15,"Low – Monitor","Deprioritise"))))</f>
        <v>Medium – Nurture</v>
      </c>
    </row>
    <row r="157" spans="2:13" ht="31" customHeight="1" x14ac:dyDescent="0.2">
      <c r="B157" s="8" t="s">
        <v>526</v>
      </c>
      <c r="C157" s="8" t="s">
        <v>801</v>
      </c>
      <c r="D157" s="8" t="s">
        <v>153</v>
      </c>
      <c r="E157" s="9">
        <v>4709000</v>
      </c>
      <c r="F157" s="8">
        <v>10</v>
      </c>
      <c r="G157" s="8">
        <v>35</v>
      </c>
      <c r="H157" s="8">
        <v>15</v>
      </c>
      <c r="I157" s="8">
        <v>24</v>
      </c>
      <c r="J157" s="16">
        <v>45.6</v>
      </c>
      <c r="K157" s="8"/>
      <c r="L157" s="17">
        <f>RANK(J157,J$11:J$210,0)</f>
        <v>147</v>
      </c>
      <c r="M157" s="18" t="str">
        <f>IF(J157&gt;=75,"Priority – Immediate Action",IF(J157&gt;=50,"High Potential – Schedule Meeting",IF(J157&gt;=30,"Medium – Nurture",IF(J157&gt;=15,"Low – Monitor","Deprioritise"))))</f>
        <v>Medium – Nurture</v>
      </c>
    </row>
    <row r="158" spans="2:13" ht="31" customHeight="1" x14ac:dyDescent="0.2">
      <c r="B158" s="8" t="s">
        <v>406</v>
      </c>
      <c r="C158" s="8" t="s">
        <v>754</v>
      </c>
      <c r="D158" s="8" t="s">
        <v>188</v>
      </c>
      <c r="E158" s="9">
        <v>9517000</v>
      </c>
      <c r="F158" s="8">
        <v>4</v>
      </c>
      <c r="G158" s="8">
        <v>55</v>
      </c>
      <c r="H158" s="8">
        <v>5</v>
      </c>
      <c r="I158" s="8">
        <v>80</v>
      </c>
      <c r="J158" s="16">
        <v>45</v>
      </c>
      <c r="K158" s="8"/>
      <c r="L158" s="17">
        <f>RANK(J158,J$11:J$210,0)</f>
        <v>148</v>
      </c>
      <c r="M158" s="18" t="str">
        <f>IF(J158&gt;=75,"Priority – Immediate Action",IF(J158&gt;=50,"High Potential – Schedule Meeting",IF(J158&gt;=30,"Medium – Nurture",IF(J158&gt;=15,"Low – Monitor","Deprioritise"))))</f>
        <v>Medium – Nurture</v>
      </c>
    </row>
    <row r="159" spans="2:13" ht="31" customHeight="1" x14ac:dyDescent="0.2">
      <c r="B159" s="5" t="s">
        <v>512</v>
      </c>
      <c r="C159" s="5" t="s">
        <v>795</v>
      </c>
      <c r="D159" s="5" t="s">
        <v>220</v>
      </c>
      <c r="E159" s="6">
        <v>1707000</v>
      </c>
      <c r="F159" s="5">
        <v>9</v>
      </c>
      <c r="G159" s="5">
        <v>15</v>
      </c>
      <c r="H159" s="5">
        <v>70</v>
      </c>
      <c r="I159" s="5">
        <v>16</v>
      </c>
      <c r="J159" s="19">
        <v>44.9</v>
      </c>
      <c r="K159" s="5"/>
      <c r="L159" s="20">
        <f>RANK(J159,J$11:J$210,0)</f>
        <v>149</v>
      </c>
      <c r="M159" s="21" t="str">
        <f>IF(J159&gt;=75,"Priority – Immediate Action",IF(J159&gt;=50,"High Potential – Schedule Meeting",IF(J159&gt;=30,"Medium – Nurture",IF(J159&gt;=15,"Low – Monitor","Deprioritise"))))</f>
        <v>Medium – Nurture</v>
      </c>
    </row>
    <row r="160" spans="2:13" ht="31" customHeight="1" x14ac:dyDescent="0.2">
      <c r="B160" s="8" t="s">
        <v>195</v>
      </c>
      <c r="C160" s="8" t="s">
        <v>707</v>
      </c>
      <c r="D160" s="8" t="s">
        <v>153</v>
      </c>
      <c r="E160" s="9">
        <v>3187000</v>
      </c>
      <c r="F160" s="8">
        <v>8</v>
      </c>
      <c r="G160" s="8">
        <v>35</v>
      </c>
      <c r="H160" s="8">
        <v>30</v>
      </c>
      <c r="I160" s="8">
        <v>32</v>
      </c>
      <c r="J160" s="16">
        <v>44.8</v>
      </c>
      <c r="K160" s="8"/>
      <c r="L160" s="17">
        <f>RANK(J160,J$11:J$210,0)</f>
        <v>150</v>
      </c>
      <c r="M160" s="18" t="str">
        <f>IF(J160&gt;=75,"Priority – Immediate Action",IF(J160&gt;=50,"High Potential – Schedule Meeting",IF(J160&gt;=30,"Medium – Nurture",IF(J160&gt;=15,"Low – Monitor","Deprioritise"))))</f>
        <v>Medium – Nurture</v>
      </c>
    </row>
    <row r="161" spans="2:13" ht="31" customHeight="1" x14ac:dyDescent="0.2">
      <c r="B161" s="5" t="s">
        <v>355</v>
      </c>
      <c r="C161" s="5" t="s">
        <v>737</v>
      </c>
      <c r="D161" s="5" t="s">
        <v>244</v>
      </c>
      <c r="E161" s="6">
        <v>14021000</v>
      </c>
      <c r="F161" s="5">
        <v>2</v>
      </c>
      <c r="G161" s="5">
        <v>75</v>
      </c>
      <c r="H161" s="5">
        <v>30</v>
      </c>
      <c r="I161" s="5">
        <v>24</v>
      </c>
      <c r="J161" s="19">
        <v>44.6</v>
      </c>
      <c r="K161" s="5"/>
      <c r="L161" s="20">
        <f>RANK(J161,J$11:J$210,0)</f>
        <v>151</v>
      </c>
      <c r="M161" s="21" t="str">
        <f>IF(J161&gt;=75,"Priority – Immediate Action",IF(J161&gt;=50,"High Potential – Schedule Meeting",IF(J161&gt;=30,"Medium – Nurture",IF(J161&gt;=15,"Low – Monitor","Deprioritise"))))</f>
        <v>Medium – Nurture</v>
      </c>
    </row>
    <row r="162" spans="2:13" ht="31" customHeight="1" x14ac:dyDescent="0.2">
      <c r="B162" s="8" t="s">
        <v>261</v>
      </c>
      <c r="C162" s="8" t="s">
        <v>715</v>
      </c>
      <c r="D162" s="8" t="s">
        <v>153</v>
      </c>
      <c r="E162" s="9">
        <v>3460000</v>
      </c>
      <c r="F162" s="8">
        <v>7</v>
      </c>
      <c r="G162" s="8">
        <v>35</v>
      </c>
      <c r="H162" s="8">
        <v>5</v>
      </c>
      <c r="I162" s="8">
        <v>80</v>
      </c>
      <c r="J162" s="16">
        <v>44.5</v>
      </c>
      <c r="K162" s="8"/>
      <c r="L162" s="17">
        <f>RANK(J162,J$11:J$210,0)</f>
        <v>152</v>
      </c>
      <c r="M162" s="18" t="str">
        <f>IF(J162&gt;=75,"Priority – Immediate Action",IF(J162&gt;=50,"High Potential – Schedule Meeting",IF(J162&gt;=30,"Medium – Nurture",IF(J162&gt;=15,"Low – Monitor","Deprioritise"))))</f>
        <v>Medium – Nurture</v>
      </c>
    </row>
    <row r="163" spans="2:13" ht="31" customHeight="1" x14ac:dyDescent="0.2">
      <c r="B163" s="5" t="s">
        <v>349</v>
      </c>
      <c r="C163" s="5" t="s">
        <v>735</v>
      </c>
      <c r="D163" s="5" t="s">
        <v>188</v>
      </c>
      <c r="E163" s="6">
        <v>6202000</v>
      </c>
      <c r="F163" s="5">
        <v>6</v>
      </c>
      <c r="G163" s="5">
        <v>55</v>
      </c>
      <c r="H163" s="5">
        <v>30</v>
      </c>
      <c r="I163" s="5">
        <v>8</v>
      </c>
      <c r="J163" s="19">
        <v>44.2</v>
      </c>
      <c r="K163" s="5"/>
      <c r="L163" s="20">
        <f>RANK(J163,J$11:J$210,0)</f>
        <v>153</v>
      </c>
      <c r="M163" s="21" t="str">
        <f>IF(J163&gt;=75,"Priority – Immediate Action",IF(J163&gt;=50,"High Potential – Schedule Meeting",IF(J163&gt;=30,"Medium – Nurture",IF(J163&gt;=15,"Low – Monitor","Deprioritise"))))</f>
        <v>Medium – Nurture</v>
      </c>
    </row>
    <row r="164" spans="2:13" ht="31" customHeight="1" x14ac:dyDescent="0.2">
      <c r="B164" s="5" t="s">
        <v>161</v>
      </c>
      <c r="C164" s="5" t="s">
        <v>704</v>
      </c>
      <c r="D164" s="5" t="s">
        <v>153</v>
      </c>
      <c r="E164" s="6">
        <v>3021000</v>
      </c>
      <c r="F164" s="5">
        <v>3</v>
      </c>
      <c r="G164" s="5">
        <v>35</v>
      </c>
      <c r="H164" s="5">
        <v>100</v>
      </c>
      <c r="I164" s="5">
        <v>16</v>
      </c>
      <c r="J164" s="19">
        <v>43.9</v>
      </c>
      <c r="K164" s="5"/>
      <c r="L164" s="20">
        <f>RANK(J164,J$11:J$210,0)</f>
        <v>154</v>
      </c>
      <c r="M164" s="21" t="str">
        <f>IF(J164&gt;=75,"Priority – Immediate Action",IF(J164&gt;=50,"High Potential – Schedule Meeting",IF(J164&gt;=30,"Medium – Nurture",IF(J164&gt;=15,"Low – Monitor","Deprioritise"))))</f>
        <v>Medium – Nurture</v>
      </c>
    </row>
    <row r="165" spans="2:13" ht="31" customHeight="1" x14ac:dyDescent="0.2">
      <c r="B165" s="8" t="s">
        <v>683</v>
      </c>
      <c r="C165" s="8" t="s">
        <v>868</v>
      </c>
      <c r="D165" s="8" t="s">
        <v>153</v>
      </c>
      <c r="E165" s="9">
        <v>4556000</v>
      </c>
      <c r="F165" s="8">
        <v>6</v>
      </c>
      <c r="G165" s="8">
        <v>35</v>
      </c>
      <c r="H165" s="8">
        <v>50</v>
      </c>
      <c r="I165" s="8">
        <v>32</v>
      </c>
      <c r="J165" s="16">
        <v>43.8</v>
      </c>
      <c r="K165" s="8"/>
      <c r="L165" s="17">
        <f>RANK(J165,J$11:J$210,0)</f>
        <v>155</v>
      </c>
      <c r="M165" s="18" t="str">
        <f>IF(J165&gt;=75,"Priority – Immediate Action",IF(J165&gt;=50,"High Potential – Schedule Meeting",IF(J165&gt;=30,"Medium – Nurture",IF(J165&gt;=15,"Low – Monitor","Deprioritise"))))</f>
        <v>Medium – Nurture</v>
      </c>
    </row>
    <row r="166" spans="2:13" ht="31" customHeight="1" x14ac:dyDescent="0.2">
      <c r="B166" s="5" t="s">
        <v>595</v>
      </c>
      <c r="C166" s="5" t="s">
        <v>830</v>
      </c>
      <c r="D166" s="5" t="s">
        <v>153</v>
      </c>
      <c r="E166" s="6">
        <v>4111000</v>
      </c>
      <c r="F166" s="5">
        <v>10</v>
      </c>
      <c r="G166" s="5">
        <v>35</v>
      </c>
      <c r="H166" s="5">
        <v>5</v>
      </c>
      <c r="I166" s="5">
        <v>24</v>
      </c>
      <c r="J166" s="19">
        <v>43.6</v>
      </c>
      <c r="K166" s="5"/>
      <c r="L166" s="20">
        <f>RANK(J166,J$11:J$210,0)</f>
        <v>156</v>
      </c>
      <c r="M166" s="21" t="str">
        <f>IF(J166&gt;=75,"Priority – Immediate Action",IF(J166&gt;=50,"High Potential – Schedule Meeting",IF(J166&gt;=30,"Medium – Nurture",IF(J166&gt;=15,"Low – Monitor","Deprioritise"))))</f>
        <v>Medium – Nurture</v>
      </c>
    </row>
    <row r="167" spans="2:13" ht="31" customHeight="1" x14ac:dyDescent="0.2">
      <c r="B167" s="5" t="s">
        <v>631</v>
      </c>
      <c r="C167" s="5" t="s">
        <v>845</v>
      </c>
      <c r="D167" s="5" t="s">
        <v>220</v>
      </c>
      <c r="E167" s="6">
        <v>542000</v>
      </c>
      <c r="F167" s="5">
        <v>9</v>
      </c>
      <c r="G167" s="5">
        <v>15</v>
      </c>
      <c r="H167" s="5">
        <v>15</v>
      </c>
      <c r="I167" s="5">
        <v>80</v>
      </c>
      <c r="J167" s="19">
        <v>43.5</v>
      </c>
      <c r="K167" s="5"/>
      <c r="L167" s="20">
        <f>RANK(J167,J$11:J$210,0)</f>
        <v>157</v>
      </c>
      <c r="M167" s="21" t="str">
        <f>IF(J167&gt;=75,"Priority – Immediate Action",IF(J167&gt;=50,"High Potential – Schedule Meeting",IF(J167&gt;=30,"Medium – Nurture",IF(J167&gt;=15,"Low – Monitor","Deprioritise"))))</f>
        <v>Medium – Nurture</v>
      </c>
    </row>
    <row r="168" spans="2:13" ht="31" customHeight="1" x14ac:dyDescent="0.2">
      <c r="B168" s="8" t="s">
        <v>498</v>
      </c>
      <c r="C168" s="8" t="s">
        <v>790</v>
      </c>
      <c r="D168" s="8" t="s">
        <v>188</v>
      </c>
      <c r="E168" s="9">
        <v>5243000</v>
      </c>
      <c r="F168" s="8">
        <v>3</v>
      </c>
      <c r="G168" s="8">
        <v>55</v>
      </c>
      <c r="H168" s="8">
        <v>15</v>
      </c>
      <c r="I168" s="8">
        <v>72</v>
      </c>
      <c r="J168" s="16">
        <v>43.3</v>
      </c>
      <c r="K168" s="8"/>
      <c r="L168" s="17">
        <f>RANK(J168,J$11:J$210,0)</f>
        <v>158</v>
      </c>
      <c r="M168" s="18" t="str">
        <f>IF(J168&gt;=75,"Priority – Immediate Action",IF(J168&gt;=50,"High Potential – Schedule Meeting",IF(J168&gt;=30,"Medium – Nurture",IF(J168&gt;=15,"Low – Monitor","Deprioritise"))))</f>
        <v>Medium – Nurture</v>
      </c>
    </row>
    <row r="169" spans="2:13" ht="31" customHeight="1" x14ac:dyDescent="0.2">
      <c r="B169" s="5" t="s">
        <v>368</v>
      </c>
      <c r="C169" s="5" t="s">
        <v>741</v>
      </c>
      <c r="D169" s="5" t="s">
        <v>153</v>
      </c>
      <c r="E169" s="6">
        <v>4801000</v>
      </c>
      <c r="F169" s="5">
        <v>6</v>
      </c>
      <c r="G169" s="5">
        <v>35</v>
      </c>
      <c r="H169" s="5">
        <v>5</v>
      </c>
      <c r="I169" s="5">
        <v>88</v>
      </c>
      <c r="J169" s="19">
        <v>43.2</v>
      </c>
      <c r="K169" s="5"/>
      <c r="L169" s="20">
        <f>RANK(J169,J$11:J$210,0)</f>
        <v>159</v>
      </c>
      <c r="M169" s="21" t="str">
        <f>IF(J169&gt;=75,"Priority – Immediate Action",IF(J169&gt;=50,"High Potential – Schedule Meeting",IF(J169&gt;=30,"Medium – Nurture",IF(J169&gt;=15,"Low – Monitor","Deprioritise"))))</f>
        <v>Medium – Nurture</v>
      </c>
    </row>
    <row r="170" spans="2:13" ht="31" customHeight="1" x14ac:dyDescent="0.2">
      <c r="B170" s="5" t="s">
        <v>648</v>
      </c>
      <c r="C170" s="5" t="s">
        <v>852</v>
      </c>
      <c r="D170" s="5" t="s">
        <v>153</v>
      </c>
      <c r="E170" s="6">
        <v>2379000</v>
      </c>
      <c r="F170" s="5">
        <v>6</v>
      </c>
      <c r="G170" s="5">
        <v>35</v>
      </c>
      <c r="H170" s="5">
        <v>5</v>
      </c>
      <c r="I170" s="5">
        <v>88</v>
      </c>
      <c r="J170" s="19">
        <v>43.2</v>
      </c>
      <c r="K170" s="5"/>
      <c r="L170" s="20">
        <f>RANK(J170,J$11:J$210,0)</f>
        <v>159</v>
      </c>
      <c r="M170" s="21" t="str">
        <f>IF(J170&gt;=75,"Priority – Immediate Action",IF(J170&gt;=50,"High Potential – Schedule Meeting",IF(J170&gt;=30,"Medium – Nurture",IF(J170&gt;=15,"Low – Monitor","Deprioritise"))))</f>
        <v>Medium – Nurture</v>
      </c>
    </row>
    <row r="171" spans="2:13" ht="31" customHeight="1" x14ac:dyDescent="0.2">
      <c r="B171" s="8" t="s">
        <v>399</v>
      </c>
      <c r="C171" s="8" t="s">
        <v>752</v>
      </c>
      <c r="D171" s="8" t="s">
        <v>188</v>
      </c>
      <c r="E171" s="9">
        <v>6728000</v>
      </c>
      <c r="F171" s="8">
        <v>6</v>
      </c>
      <c r="G171" s="8">
        <v>55</v>
      </c>
      <c r="H171" s="8">
        <v>0</v>
      </c>
      <c r="I171" s="8">
        <v>40</v>
      </c>
      <c r="J171" s="16">
        <v>43</v>
      </c>
      <c r="K171" s="8"/>
      <c r="L171" s="17">
        <f>RANK(J171,J$11:J$210,0)</f>
        <v>161</v>
      </c>
      <c r="M171" s="18" t="str">
        <f>IF(J171&gt;=75,"Priority – Immediate Action",IF(J171&gt;=50,"High Potential – Schedule Meeting",IF(J171&gt;=30,"Medium – Nurture",IF(J171&gt;=15,"Low – Monitor","Deprioritise"))))</f>
        <v>Medium – Nurture</v>
      </c>
    </row>
    <row r="172" spans="2:13" ht="31" customHeight="1" x14ac:dyDescent="0.2">
      <c r="B172" s="5" t="s">
        <v>413</v>
      </c>
      <c r="C172" s="5" t="s">
        <v>757</v>
      </c>
      <c r="D172" s="5" t="s">
        <v>188</v>
      </c>
      <c r="E172" s="6">
        <v>5583000</v>
      </c>
      <c r="F172" s="5">
        <v>5</v>
      </c>
      <c r="G172" s="5">
        <v>55</v>
      </c>
      <c r="H172" s="5">
        <v>30</v>
      </c>
      <c r="I172" s="5">
        <v>16</v>
      </c>
      <c r="J172" s="19">
        <v>42.9</v>
      </c>
      <c r="K172" s="5"/>
      <c r="L172" s="20">
        <f>RANK(J172,J$11:J$210,0)</f>
        <v>162</v>
      </c>
      <c r="M172" s="21" t="str">
        <f>IF(J172&gt;=75,"Priority – Immediate Action",IF(J172&gt;=50,"High Potential – Schedule Meeting",IF(J172&gt;=30,"Medium – Nurture",IF(J172&gt;=15,"Low – Monitor","Deprioritise"))))</f>
        <v>Medium – Nurture</v>
      </c>
    </row>
    <row r="173" spans="2:13" ht="31" customHeight="1" x14ac:dyDescent="0.2">
      <c r="B173" s="8" t="s">
        <v>596</v>
      </c>
      <c r="C173" s="8" t="s">
        <v>831</v>
      </c>
      <c r="D173" s="8" t="s">
        <v>153</v>
      </c>
      <c r="E173" s="9">
        <v>2307000</v>
      </c>
      <c r="F173" s="8">
        <v>4</v>
      </c>
      <c r="G173" s="8">
        <v>35</v>
      </c>
      <c r="H173" s="8">
        <v>50</v>
      </c>
      <c r="I173" s="8">
        <v>56</v>
      </c>
      <c r="J173" s="16">
        <v>42.4</v>
      </c>
      <c r="K173" s="8"/>
      <c r="L173" s="17">
        <f>RANK(J173,J$11:J$210,0)</f>
        <v>163</v>
      </c>
      <c r="M173" s="18" t="str">
        <f>IF(J173&gt;=75,"Priority – Immediate Action",IF(J173&gt;=50,"High Potential – Schedule Meeting",IF(J173&gt;=30,"Medium – Nurture",IF(J173&gt;=15,"Low – Monitor","Deprioritise"))))</f>
        <v>Medium – Nurture</v>
      </c>
    </row>
    <row r="174" spans="2:13" ht="31" customHeight="1" x14ac:dyDescent="0.2">
      <c r="B174" s="8" t="s">
        <v>535</v>
      </c>
      <c r="C174" s="8" t="s">
        <v>805</v>
      </c>
      <c r="D174" s="8" t="s">
        <v>153</v>
      </c>
      <c r="E174" s="9">
        <v>4651000</v>
      </c>
      <c r="F174" s="8">
        <v>9</v>
      </c>
      <c r="G174" s="8">
        <v>35</v>
      </c>
      <c r="H174" s="8">
        <v>15</v>
      </c>
      <c r="I174" s="8">
        <v>16</v>
      </c>
      <c r="J174" s="16">
        <v>41.9</v>
      </c>
      <c r="K174" s="8"/>
      <c r="L174" s="17">
        <f>RANK(J174,J$11:J$210,0)</f>
        <v>164</v>
      </c>
      <c r="M174" s="18" t="str">
        <f>IF(J174&gt;=75,"Priority – Immediate Action",IF(J174&gt;=50,"High Potential – Schedule Meeting",IF(J174&gt;=30,"Medium – Nurture",IF(J174&gt;=15,"Low – Monitor","Deprioritise"))))</f>
        <v>Medium – Nurture</v>
      </c>
    </row>
    <row r="175" spans="2:13" ht="31" customHeight="1" x14ac:dyDescent="0.2">
      <c r="B175" s="5" t="s">
        <v>674</v>
      </c>
      <c r="C175" s="5" t="s">
        <v>862</v>
      </c>
      <c r="D175" s="5" t="s">
        <v>153</v>
      </c>
      <c r="E175" s="6">
        <v>2059000</v>
      </c>
      <c r="F175" s="5">
        <v>9</v>
      </c>
      <c r="G175" s="5">
        <v>35</v>
      </c>
      <c r="H175" s="5">
        <v>15</v>
      </c>
      <c r="I175" s="5">
        <v>16</v>
      </c>
      <c r="J175" s="19">
        <v>41.9</v>
      </c>
      <c r="K175" s="5"/>
      <c r="L175" s="20">
        <f>RANK(J175,J$11:J$210,0)</f>
        <v>164</v>
      </c>
      <c r="M175" s="21" t="str">
        <f>IF(J175&gt;=75,"Priority – Immediate Action",IF(J175&gt;=50,"High Potential – Schedule Meeting",IF(J175&gt;=30,"Medium – Nurture",IF(J175&gt;=15,"Low – Monitor","Deprioritise"))))</f>
        <v>Medium – Nurture</v>
      </c>
    </row>
    <row r="176" spans="2:13" ht="31" customHeight="1" x14ac:dyDescent="0.2">
      <c r="B176" s="5" t="s">
        <v>654</v>
      </c>
      <c r="C176" s="5" t="s">
        <v>787</v>
      </c>
      <c r="D176" s="5" t="s">
        <v>153</v>
      </c>
      <c r="E176" s="6">
        <v>3210000</v>
      </c>
      <c r="F176" s="5">
        <v>5</v>
      </c>
      <c r="G176" s="5">
        <v>35</v>
      </c>
      <c r="H176" s="5">
        <v>50</v>
      </c>
      <c r="I176" s="5">
        <v>32</v>
      </c>
      <c r="J176" s="19">
        <v>41.3</v>
      </c>
      <c r="K176" s="5"/>
      <c r="L176" s="20">
        <f>RANK(J176,J$11:J$210,0)</f>
        <v>166</v>
      </c>
      <c r="M176" s="21" t="str">
        <f>IF(J176&gt;=75,"Priority – Immediate Action",IF(J176&gt;=50,"High Potential – Schedule Meeting",IF(J176&gt;=30,"Medium – Nurture",IF(J176&gt;=15,"Low – Monitor","Deprioritise"))))</f>
        <v>Medium – Nurture</v>
      </c>
    </row>
    <row r="177" spans="2:13" ht="31" customHeight="1" x14ac:dyDescent="0.2">
      <c r="B177" s="5" t="s">
        <v>390</v>
      </c>
      <c r="C177" s="5" t="s">
        <v>749</v>
      </c>
      <c r="D177" s="5" t="s">
        <v>153</v>
      </c>
      <c r="E177" s="6">
        <v>3230000</v>
      </c>
      <c r="F177" s="5">
        <v>8</v>
      </c>
      <c r="G177" s="5">
        <v>35</v>
      </c>
      <c r="H177" s="5">
        <v>5</v>
      </c>
      <c r="I177" s="5">
        <v>40</v>
      </c>
      <c r="J177" s="19">
        <v>41</v>
      </c>
      <c r="K177" s="5"/>
      <c r="L177" s="20">
        <f>RANK(J177,J$11:J$210,0)</f>
        <v>167</v>
      </c>
      <c r="M177" s="21" t="str">
        <f>IF(J177&gt;=75,"Priority – Immediate Action",IF(J177&gt;=50,"High Potential – Schedule Meeting",IF(J177&gt;=30,"Medium – Nurture",IF(J177&gt;=15,"Low – Monitor","Deprioritise"))))</f>
        <v>Medium – Nurture</v>
      </c>
    </row>
    <row r="178" spans="2:13" ht="31" customHeight="1" x14ac:dyDescent="0.2">
      <c r="B178" s="8" t="s">
        <v>559</v>
      </c>
      <c r="C178" s="8" t="s">
        <v>785</v>
      </c>
      <c r="D178" s="8" t="s">
        <v>188</v>
      </c>
      <c r="E178" s="9">
        <v>5281000</v>
      </c>
      <c r="F178" s="8">
        <v>3</v>
      </c>
      <c r="G178" s="8">
        <v>55</v>
      </c>
      <c r="H178" s="8">
        <v>15</v>
      </c>
      <c r="I178" s="8">
        <v>56</v>
      </c>
      <c r="J178" s="16">
        <v>40.9</v>
      </c>
      <c r="K178" s="8"/>
      <c r="L178" s="17">
        <f>RANK(J178,J$11:J$210,0)</f>
        <v>168</v>
      </c>
      <c r="M178" s="18" t="str">
        <f>IF(J178&gt;=75,"Priority – Immediate Action",IF(J178&gt;=50,"High Potential – Schedule Meeting",IF(J178&gt;=30,"Medium – Nurture",IF(J178&gt;=15,"Low – Monitor","Deprioritise"))))</f>
        <v>Medium – Nurture</v>
      </c>
    </row>
    <row r="179" spans="2:13" ht="31" customHeight="1" x14ac:dyDescent="0.2">
      <c r="B179" s="5" t="s">
        <v>563</v>
      </c>
      <c r="C179" s="5" t="s">
        <v>815</v>
      </c>
      <c r="D179" s="5" t="s">
        <v>153</v>
      </c>
      <c r="E179" s="6">
        <v>2246000</v>
      </c>
      <c r="F179" s="5">
        <v>7</v>
      </c>
      <c r="G179" s="5">
        <v>35</v>
      </c>
      <c r="H179" s="5">
        <v>5</v>
      </c>
      <c r="I179" s="5">
        <v>56</v>
      </c>
      <c r="J179" s="19">
        <v>40.9</v>
      </c>
      <c r="K179" s="5"/>
      <c r="L179" s="20">
        <f>RANK(J179,J$11:J$210,0)</f>
        <v>168</v>
      </c>
      <c r="M179" s="21" t="str">
        <f>IF(J179&gt;=75,"Priority – Immediate Action",IF(J179&gt;=50,"High Potential – Schedule Meeting",IF(J179&gt;=30,"Medium – Nurture",IF(J179&gt;=15,"Low – Monitor","Deprioritise"))))</f>
        <v>Medium – Nurture</v>
      </c>
    </row>
    <row r="180" spans="2:13" ht="31" customHeight="1" x14ac:dyDescent="0.2">
      <c r="B180" s="5" t="s">
        <v>280</v>
      </c>
      <c r="C180" s="5" t="s">
        <v>718</v>
      </c>
      <c r="D180" s="5" t="s">
        <v>188</v>
      </c>
      <c r="E180" s="6">
        <v>9936000</v>
      </c>
      <c r="F180" s="5">
        <v>6</v>
      </c>
      <c r="G180" s="5">
        <v>55</v>
      </c>
      <c r="H180" s="5">
        <v>5</v>
      </c>
      <c r="I180" s="5">
        <v>16</v>
      </c>
      <c r="J180" s="19">
        <v>40.4</v>
      </c>
      <c r="K180" s="5"/>
      <c r="L180" s="20">
        <f>RANK(J180,J$11:J$210,0)</f>
        <v>170</v>
      </c>
      <c r="M180" s="21" t="str">
        <f>IF(J180&gt;=75,"Priority – Immediate Action",IF(J180&gt;=50,"High Potential – Schedule Meeting",IF(J180&gt;=30,"Medium – Nurture",IF(J180&gt;=15,"Low – Monitor","Deprioritise"))))</f>
        <v>Medium – Nurture</v>
      </c>
    </row>
    <row r="181" spans="2:13" ht="31" customHeight="1" x14ac:dyDescent="0.2">
      <c r="B181" s="8" t="s">
        <v>680</v>
      </c>
      <c r="C181" s="8" t="s">
        <v>866</v>
      </c>
      <c r="D181" s="8" t="s">
        <v>188</v>
      </c>
      <c r="E181" s="9">
        <v>7954000</v>
      </c>
      <c r="F181" s="8">
        <v>4</v>
      </c>
      <c r="G181" s="8">
        <v>55</v>
      </c>
      <c r="H181" s="8">
        <v>5</v>
      </c>
      <c r="I181" s="8">
        <v>48</v>
      </c>
      <c r="J181" s="16">
        <v>40.200000000000003</v>
      </c>
      <c r="K181" s="8"/>
      <c r="L181" s="17">
        <f>RANK(J181,J$11:J$210,0)</f>
        <v>171</v>
      </c>
      <c r="M181" s="18" t="str">
        <f>IF(J181&gt;=75,"Priority – Immediate Action",IF(J181&gt;=50,"High Potential – Schedule Meeting",IF(J181&gt;=30,"Medium – Nurture",IF(J181&gt;=15,"Low – Monitor","Deprioritise"))))</f>
        <v>Medium – Nurture</v>
      </c>
    </row>
    <row r="182" spans="2:13" ht="31" customHeight="1" x14ac:dyDescent="0.2">
      <c r="B182" s="8" t="s">
        <v>345</v>
      </c>
      <c r="C182" s="8" t="s">
        <v>734</v>
      </c>
      <c r="D182" s="8" t="s">
        <v>153</v>
      </c>
      <c r="E182" s="9">
        <v>3009000</v>
      </c>
      <c r="F182" s="8">
        <v>6</v>
      </c>
      <c r="G182" s="8">
        <v>35</v>
      </c>
      <c r="H182" s="8">
        <v>30</v>
      </c>
      <c r="I182" s="8">
        <v>32</v>
      </c>
      <c r="J182" s="16">
        <v>39.799999999999997</v>
      </c>
      <c r="K182" s="8"/>
      <c r="L182" s="17">
        <f>RANK(J182,J$11:J$210,0)</f>
        <v>172</v>
      </c>
      <c r="M182" s="18" t="str">
        <f>IF(J182&gt;=75,"Priority – Immediate Action",IF(J182&gt;=50,"High Potential – Schedule Meeting",IF(J182&gt;=30,"Medium – Nurture",IF(J182&gt;=15,"Low – Monitor","Deprioritise"))))</f>
        <v>Medium – Nurture</v>
      </c>
    </row>
    <row r="183" spans="2:13" ht="31" customHeight="1" x14ac:dyDescent="0.2">
      <c r="B183" s="8" t="s">
        <v>568</v>
      </c>
      <c r="C183" s="8" t="s">
        <v>719</v>
      </c>
      <c r="D183" s="8" t="s">
        <v>220</v>
      </c>
      <c r="E183" s="9">
        <v>998000</v>
      </c>
      <c r="F183" s="8">
        <v>6</v>
      </c>
      <c r="G183" s="8">
        <v>15</v>
      </c>
      <c r="H183" s="8">
        <v>50</v>
      </c>
      <c r="I183" s="8">
        <v>56</v>
      </c>
      <c r="J183" s="16">
        <v>39.4</v>
      </c>
      <c r="K183" s="8"/>
      <c r="L183" s="17">
        <f>RANK(J183,J$11:J$210,0)</f>
        <v>173</v>
      </c>
      <c r="M183" s="18" t="str">
        <f>IF(J183&gt;=75,"Priority – Immediate Action",IF(J183&gt;=50,"High Potential – Schedule Meeting",IF(J183&gt;=30,"Medium – Nurture",IF(J183&gt;=15,"Low – Monitor","Deprioritise"))))</f>
        <v>Medium – Nurture</v>
      </c>
    </row>
    <row r="184" spans="2:13" ht="31" customHeight="1" x14ac:dyDescent="0.2">
      <c r="B184" s="5" t="s">
        <v>496</v>
      </c>
      <c r="C184" s="5" t="s">
        <v>789</v>
      </c>
      <c r="D184" s="5" t="s">
        <v>188</v>
      </c>
      <c r="E184" s="6">
        <v>9813000</v>
      </c>
      <c r="F184" s="5">
        <v>4</v>
      </c>
      <c r="G184" s="5">
        <v>55</v>
      </c>
      <c r="H184" s="5">
        <v>0</v>
      </c>
      <c r="I184" s="5">
        <v>48</v>
      </c>
      <c r="J184" s="19">
        <v>39.200000000000003</v>
      </c>
      <c r="K184" s="5"/>
      <c r="L184" s="20">
        <f>RANK(J184,J$11:J$210,0)</f>
        <v>174</v>
      </c>
      <c r="M184" s="21" t="str">
        <f>IF(J184&gt;=75,"Priority – Immediate Action",IF(J184&gt;=50,"High Potential – Schedule Meeting",IF(J184&gt;=30,"Medium – Nurture",IF(J184&gt;=15,"Low – Monitor","Deprioritise"))))</f>
        <v>Medium – Nurture</v>
      </c>
    </row>
    <row r="185" spans="2:13" ht="31" customHeight="1" x14ac:dyDescent="0.2">
      <c r="B185" s="8" t="s">
        <v>214</v>
      </c>
      <c r="C185" s="8" t="s">
        <v>709</v>
      </c>
      <c r="D185" s="8" t="s">
        <v>220</v>
      </c>
      <c r="E185" s="9">
        <v>1806000</v>
      </c>
      <c r="F185" s="8">
        <v>7</v>
      </c>
      <c r="G185" s="8">
        <v>15</v>
      </c>
      <c r="H185" s="8">
        <v>50</v>
      </c>
      <c r="I185" s="8">
        <v>32</v>
      </c>
      <c r="J185" s="16">
        <v>38.299999999999997</v>
      </c>
      <c r="K185" s="8"/>
      <c r="L185" s="17">
        <f>RANK(J185,J$11:J$210,0)</f>
        <v>175</v>
      </c>
      <c r="M185" s="18" t="str">
        <f>IF(J185&gt;=75,"Priority – Immediate Action",IF(J185&gt;=50,"High Potential – Schedule Meeting",IF(J185&gt;=30,"Medium – Nurture",IF(J185&gt;=15,"Low – Monitor","Deprioritise"))))</f>
        <v>Medium – Nurture</v>
      </c>
    </row>
    <row r="186" spans="2:13" ht="31" customHeight="1" x14ac:dyDescent="0.2">
      <c r="B186" s="5" t="s">
        <v>379</v>
      </c>
      <c r="C186" s="5" t="s">
        <v>745</v>
      </c>
      <c r="D186" s="5" t="s">
        <v>220</v>
      </c>
      <c r="E186" s="6">
        <v>1157000</v>
      </c>
      <c r="F186" s="5">
        <v>4</v>
      </c>
      <c r="G186" s="5">
        <v>15</v>
      </c>
      <c r="H186" s="5">
        <v>50</v>
      </c>
      <c r="I186" s="5">
        <v>80</v>
      </c>
      <c r="J186" s="19">
        <v>38</v>
      </c>
      <c r="K186" s="5"/>
      <c r="L186" s="20">
        <f>RANK(J186,J$11:J$210,0)</f>
        <v>176</v>
      </c>
      <c r="M186" s="21" t="str">
        <f>IF(J186&gt;=75,"Priority – Immediate Action",IF(J186&gt;=50,"High Potential – Schedule Meeting",IF(J186&gt;=30,"Medium – Nurture",IF(J186&gt;=15,"Low – Monitor","Deprioritise"))))</f>
        <v>Medium – Nurture</v>
      </c>
    </row>
    <row r="187" spans="2:13" ht="31" customHeight="1" x14ac:dyDescent="0.2">
      <c r="B187" s="8" t="s">
        <v>146</v>
      </c>
      <c r="C187" s="8" t="s">
        <v>703</v>
      </c>
      <c r="D187" s="8" t="s">
        <v>153</v>
      </c>
      <c r="E187" s="9">
        <v>4677000</v>
      </c>
      <c r="F187" s="8">
        <v>5</v>
      </c>
      <c r="G187" s="8">
        <v>35</v>
      </c>
      <c r="H187" s="8">
        <v>50</v>
      </c>
      <c r="I187" s="8">
        <v>8</v>
      </c>
      <c r="J187" s="16">
        <v>37.700000000000003</v>
      </c>
      <c r="K187" s="8"/>
      <c r="L187" s="17">
        <f>RANK(J187,J$11:J$210,0)</f>
        <v>177</v>
      </c>
      <c r="M187" s="18" t="str">
        <f>IF(J187&gt;=75,"Priority – Immediate Action",IF(J187&gt;=50,"High Potential – Schedule Meeting",IF(J187&gt;=30,"Medium – Nurture",IF(J187&gt;=15,"Low – Monitor","Deprioritise"))))</f>
        <v>Medium – Nurture</v>
      </c>
    </row>
    <row r="188" spans="2:13" ht="31" customHeight="1" x14ac:dyDescent="0.2">
      <c r="B188" s="5" t="s">
        <v>465</v>
      </c>
      <c r="C188" s="5" t="s">
        <v>775</v>
      </c>
      <c r="D188" s="5" t="s">
        <v>188</v>
      </c>
      <c r="E188" s="6">
        <v>7567000</v>
      </c>
      <c r="F188" s="5">
        <v>2</v>
      </c>
      <c r="G188" s="5">
        <v>55</v>
      </c>
      <c r="H188" s="5">
        <v>5</v>
      </c>
      <c r="I188" s="5">
        <v>64</v>
      </c>
      <c r="J188" s="19">
        <v>37.6</v>
      </c>
      <c r="K188" s="5"/>
      <c r="L188" s="20">
        <f>RANK(J188,J$11:J$210,0)</f>
        <v>178</v>
      </c>
      <c r="M188" s="21" t="str">
        <f>IF(J188&gt;=75,"Priority – Immediate Action",IF(J188&gt;=50,"High Potential – Schedule Meeting",IF(J188&gt;=30,"Medium – Nurture",IF(J188&gt;=15,"Low – Monitor","Deprioritise"))))</f>
        <v>Medium – Nurture</v>
      </c>
    </row>
    <row r="189" spans="2:13" ht="31" customHeight="1" x14ac:dyDescent="0.2">
      <c r="B189" s="8" t="s">
        <v>332</v>
      </c>
      <c r="C189" s="8" t="s">
        <v>703</v>
      </c>
      <c r="D189" s="8" t="s">
        <v>244</v>
      </c>
      <c r="E189" s="9">
        <v>45186000</v>
      </c>
      <c r="F189" s="8">
        <v>2</v>
      </c>
      <c r="G189" s="8">
        <v>75</v>
      </c>
      <c r="H189" s="8">
        <v>0</v>
      </c>
      <c r="I189" s="8">
        <v>16</v>
      </c>
      <c r="J189" s="16">
        <v>37.4</v>
      </c>
      <c r="K189" s="8"/>
      <c r="L189" s="17">
        <f>RANK(J189,J$11:J$210,0)</f>
        <v>179</v>
      </c>
      <c r="M189" s="18" t="str">
        <f>IF(J189&gt;=75,"Priority – Immediate Action",IF(J189&gt;=50,"High Potential – Schedule Meeting",IF(J189&gt;=30,"Medium – Nurture",IF(J189&gt;=15,"Low – Monitor","Deprioritise"))))</f>
        <v>Medium – Nurture</v>
      </c>
    </row>
    <row r="190" spans="2:13" ht="31" customHeight="1" x14ac:dyDescent="0.2">
      <c r="B190" s="5" t="s">
        <v>434</v>
      </c>
      <c r="C190" s="5" t="s">
        <v>708</v>
      </c>
      <c r="D190" s="5" t="s">
        <v>153</v>
      </c>
      <c r="E190" s="6">
        <v>3722000</v>
      </c>
      <c r="F190" s="5">
        <v>2</v>
      </c>
      <c r="G190" s="5">
        <v>35</v>
      </c>
      <c r="H190" s="5">
        <v>30</v>
      </c>
      <c r="I190" s="5">
        <v>80</v>
      </c>
      <c r="J190" s="19">
        <v>37</v>
      </c>
      <c r="K190" s="5"/>
      <c r="L190" s="20">
        <f>RANK(J190,J$11:J$210,0)</f>
        <v>180</v>
      </c>
      <c r="M190" s="21" t="str">
        <f>IF(J190&gt;=75,"Priority – Immediate Action",IF(J190&gt;=50,"High Potential – Schedule Meeting",IF(J190&gt;=30,"Medium – Nurture",IF(J190&gt;=15,"Low – Monitor","Deprioritise"))))</f>
        <v>Medium – Nurture</v>
      </c>
    </row>
    <row r="191" spans="2:13" ht="31" customHeight="1" x14ac:dyDescent="0.2">
      <c r="B191" s="8" t="s">
        <v>248</v>
      </c>
      <c r="C191" s="8" t="s">
        <v>713</v>
      </c>
      <c r="D191" s="8" t="s">
        <v>153</v>
      </c>
      <c r="E191" s="9">
        <v>4952000</v>
      </c>
      <c r="F191" s="8">
        <v>5</v>
      </c>
      <c r="G191" s="8">
        <v>35</v>
      </c>
      <c r="H191" s="8">
        <v>15</v>
      </c>
      <c r="I191" s="8">
        <v>48</v>
      </c>
      <c r="J191" s="16">
        <v>36.700000000000003</v>
      </c>
      <c r="K191" s="8"/>
      <c r="L191" s="17">
        <f>RANK(J191,J$11:J$210,0)</f>
        <v>181</v>
      </c>
      <c r="M191" s="18" t="str">
        <f>IF(J191&gt;=75,"Priority – Immediate Action",IF(J191&gt;=50,"High Potential – Schedule Meeting",IF(J191&gt;=30,"Medium – Nurture",IF(J191&gt;=15,"Low – Monitor","Deprioritise"))))</f>
        <v>Medium – Nurture</v>
      </c>
    </row>
    <row r="192" spans="2:13" ht="31" customHeight="1" x14ac:dyDescent="0.2">
      <c r="B192" s="8" t="s">
        <v>462</v>
      </c>
      <c r="C192" s="8" t="s">
        <v>774</v>
      </c>
      <c r="D192" s="8" t="s">
        <v>188</v>
      </c>
      <c r="E192" s="9">
        <v>6409000</v>
      </c>
      <c r="F192" s="8">
        <v>4</v>
      </c>
      <c r="G192" s="8">
        <v>55</v>
      </c>
      <c r="H192" s="8">
        <v>5</v>
      </c>
      <c r="I192" s="8">
        <v>24</v>
      </c>
      <c r="J192" s="16">
        <v>36.6</v>
      </c>
      <c r="K192" s="8"/>
      <c r="L192" s="17">
        <f>RANK(J192,J$11:J$210,0)</f>
        <v>182</v>
      </c>
      <c r="M192" s="18" t="str">
        <f>IF(J192&gt;=75,"Priority – Immediate Action",IF(J192&gt;=50,"High Potential – Schedule Meeting",IF(J192&gt;=30,"Medium – Nurture",IF(J192&gt;=15,"Low – Monitor","Deprioritise"))))</f>
        <v>Medium – Nurture</v>
      </c>
    </row>
    <row r="193" spans="2:13" ht="31" customHeight="1" x14ac:dyDescent="0.2">
      <c r="B193" s="8" t="s">
        <v>456</v>
      </c>
      <c r="C193" s="8" t="s">
        <v>771</v>
      </c>
      <c r="D193" s="8" t="s">
        <v>188</v>
      </c>
      <c r="E193" s="9">
        <v>8049000</v>
      </c>
      <c r="F193" s="8">
        <v>2</v>
      </c>
      <c r="G193" s="8">
        <v>55</v>
      </c>
      <c r="H193" s="8">
        <v>5</v>
      </c>
      <c r="I193" s="8">
        <v>56</v>
      </c>
      <c r="J193" s="16">
        <v>36.4</v>
      </c>
      <c r="K193" s="8"/>
      <c r="L193" s="17">
        <f>RANK(J193,J$11:J$210,0)</f>
        <v>183</v>
      </c>
      <c r="M193" s="18" t="str">
        <f>IF(J193&gt;=75,"Priority – Immediate Action",IF(J193&gt;=50,"High Potential – Schedule Meeting",IF(J193&gt;=30,"Medium – Nurture",IF(J193&gt;=15,"Low – Monitor","Deprioritise"))))</f>
        <v>Medium – Nurture</v>
      </c>
    </row>
    <row r="194" spans="2:13" ht="31" customHeight="1" x14ac:dyDescent="0.2">
      <c r="B194" s="5" t="s">
        <v>561</v>
      </c>
      <c r="C194" s="5" t="s">
        <v>813</v>
      </c>
      <c r="D194" s="5" t="s">
        <v>188</v>
      </c>
      <c r="E194" s="6">
        <v>5165000</v>
      </c>
      <c r="F194" s="5">
        <v>3</v>
      </c>
      <c r="G194" s="5">
        <v>55</v>
      </c>
      <c r="H194" s="5">
        <v>15</v>
      </c>
      <c r="I194" s="5">
        <v>24</v>
      </c>
      <c r="J194" s="19">
        <v>36.1</v>
      </c>
      <c r="K194" s="5"/>
      <c r="L194" s="20">
        <f>RANK(J194,J$11:J$210,0)</f>
        <v>184</v>
      </c>
      <c r="M194" s="21" t="str">
        <f>IF(J194&gt;=75,"Priority – Immediate Action",IF(J194&gt;=50,"High Potential – Schedule Meeting",IF(J194&gt;=30,"Medium – Nurture",IF(J194&gt;=15,"Low – Monitor","Deprioritise"))))</f>
        <v>Medium – Nurture</v>
      </c>
    </row>
    <row r="195" spans="2:13" ht="31" customHeight="1" x14ac:dyDescent="0.2">
      <c r="B195" s="5" t="s">
        <v>288</v>
      </c>
      <c r="C195" s="5" t="s">
        <v>720</v>
      </c>
      <c r="D195" s="5" t="s">
        <v>188</v>
      </c>
      <c r="E195" s="6">
        <v>9173000</v>
      </c>
      <c r="F195" s="5">
        <v>2</v>
      </c>
      <c r="G195" s="5">
        <v>55</v>
      </c>
      <c r="H195" s="5">
        <v>15</v>
      </c>
      <c r="I195" s="5">
        <v>40</v>
      </c>
      <c r="J195" s="19">
        <v>36</v>
      </c>
      <c r="K195" s="5"/>
      <c r="L195" s="20">
        <f>RANK(J195,J$11:J$210,0)</f>
        <v>185</v>
      </c>
      <c r="M195" s="21" t="str">
        <f>IF(J195&gt;=75,"Priority – Immediate Action",IF(J195&gt;=50,"High Potential – Schedule Meeting",IF(J195&gt;=30,"Medium – Nurture",IF(J195&gt;=15,"Low – Monitor","Deprioritise"))))</f>
        <v>Medium – Nurture</v>
      </c>
    </row>
    <row r="196" spans="2:13" ht="31" customHeight="1" x14ac:dyDescent="0.2">
      <c r="B196" s="8" t="s">
        <v>303</v>
      </c>
      <c r="C196" s="8" t="s">
        <v>723</v>
      </c>
      <c r="D196" s="8" t="s">
        <v>188</v>
      </c>
      <c r="E196" s="9">
        <v>7557000</v>
      </c>
      <c r="F196" s="8">
        <v>2</v>
      </c>
      <c r="G196" s="8">
        <v>55</v>
      </c>
      <c r="H196" s="8">
        <v>30</v>
      </c>
      <c r="I196" s="8">
        <v>8</v>
      </c>
      <c r="J196" s="16">
        <v>34.200000000000003</v>
      </c>
      <c r="K196" s="8"/>
      <c r="L196" s="17">
        <f>RANK(J196,J$11:J$210,0)</f>
        <v>186</v>
      </c>
      <c r="M196" s="18" t="str">
        <f>IF(J196&gt;=75,"Priority – Immediate Action",IF(J196&gt;=50,"High Potential – Schedule Meeting",IF(J196&gt;=30,"Medium – Nurture",IF(J196&gt;=15,"Low – Monitor","Deprioritise"))))</f>
        <v>Medium – Nurture</v>
      </c>
    </row>
    <row r="197" spans="2:13" ht="31" customHeight="1" x14ac:dyDescent="0.2">
      <c r="B197" s="8" t="s">
        <v>339</v>
      </c>
      <c r="C197" s="8" t="s">
        <v>732</v>
      </c>
      <c r="D197" s="8" t="s">
        <v>220</v>
      </c>
      <c r="E197" s="9">
        <v>797000</v>
      </c>
      <c r="F197" s="8">
        <v>2</v>
      </c>
      <c r="G197" s="8">
        <v>15</v>
      </c>
      <c r="H197" s="8">
        <v>50</v>
      </c>
      <c r="I197" s="8">
        <v>88</v>
      </c>
      <c r="J197" s="16">
        <v>34.200000000000003</v>
      </c>
      <c r="K197" s="8"/>
      <c r="L197" s="17">
        <f>RANK(J197,J$11:J$210,0)</f>
        <v>186</v>
      </c>
      <c r="M197" s="18" t="str">
        <f>IF(J197&gt;=75,"Priority – Immediate Action",IF(J197&gt;=50,"High Potential – Schedule Meeting",IF(J197&gt;=30,"Medium – Nurture",IF(J197&gt;=15,"Low – Monitor","Deprioritise"))))</f>
        <v>Medium – Nurture</v>
      </c>
    </row>
    <row r="198" spans="2:13" ht="31" customHeight="1" x14ac:dyDescent="0.2">
      <c r="B198" s="8" t="s">
        <v>529</v>
      </c>
      <c r="C198" s="8" t="s">
        <v>803</v>
      </c>
      <c r="D198" s="8" t="s">
        <v>220</v>
      </c>
      <c r="E198" s="9">
        <v>1208000</v>
      </c>
      <c r="F198" s="8">
        <v>7</v>
      </c>
      <c r="G198" s="8">
        <v>15</v>
      </c>
      <c r="H198" s="8">
        <v>30</v>
      </c>
      <c r="I198" s="8">
        <v>24</v>
      </c>
      <c r="J198" s="16">
        <v>33.1</v>
      </c>
      <c r="K198" s="8"/>
      <c r="L198" s="17">
        <f>RANK(J198,J$11:J$210,0)</f>
        <v>188</v>
      </c>
      <c r="M198" s="18" t="str">
        <f>IF(J198&gt;=75,"Priority – Immediate Action",IF(J198&gt;=50,"High Potential – Schedule Meeting",IF(J198&gt;=30,"Medium – Nurture",IF(J198&gt;=15,"Low – Monitor","Deprioritise"))))</f>
        <v>Medium – Nurture</v>
      </c>
    </row>
    <row r="199" spans="2:13" ht="31" customHeight="1" x14ac:dyDescent="0.2">
      <c r="B199" s="5" t="s">
        <v>552</v>
      </c>
      <c r="C199" s="5" t="s">
        <v>810</v>
      </c>
      <c r="D199" s="5" t="s">
        <v>188</v>
      </c>
      <c r="E199" s="6">
        <v>9584000</v>
      </c>
      <c r="F199" s="5">
        <v>2</v>
      </c>
      <c r="G199" s="5">
        <v>55</v>
      </c>
      <c r="H199" s="5">
        <v>15</v>
      </c>
      <c r="I199" s="5">
        <v>16</v>
      </c>
      <c r="J199" s="19">
        <v>32.4</v>
      </c>
      <c r="K199" s="5"/>
      <c r="L199" s="20">
        <f>RANK(J199,J$11:J$210,0)</f>
        <v>189</v>
      </c>
      <c r="M199" s="21" t="str">
        <f>IF(J199&gt;=75,"Priority – Immediate Action",IF(J199&gt;=50,"High Potential – Schedule Meeting",IF(J199&gt;=30,"Medium – Nurture",IF(J199&gt;=15,"Low – Monitor","Deprioritise"))))</f>
        <v>Medium – Nurture</v>
      </c>
    </row>
    <row r="200" spans="2:13" ht="31" customHeight="1" x14ac:dyDescent="0.2">
      <c r="B200" s="5" t="s">
        <v>569</v>
      </c>
      <c r="C200" s="5" t="s">
        <v>817</v>
      </c>
      <c r="D200" s="5" t="s">
        <v>220</v>
      </c>
      <c r="E200" s="6">
        <v>1673000</v>
      </c>
      <c r="F200" s="5">
        <v>3</v>
      </c>
      <c r="G200" s="5">
        <v>15</v>
      </c>
      <c r="H200" s="5">
        <v>50</v>
      </c>
      <c r="I200" s="5">
        <v>56</v>
      </c>
      <c r="J200" s="19">
        <v>31.9</v>
      </c>
      <c r="K200" s="5"/>
      <c r="L200" s="20">
        <f>RANK(J200,J$11:J$210,0)</f>
        <v>190</v>
      </c>
      <c r="M200" s="21" t="str">
        <f>IF(J200&gt;=75,"Priority – Immediate Action",IF(J200&gt;=50,"High Potential – Schedule Meeting",IF(J200&gt;=30,"Medium – Nurture",IF(J200&gt;=15,"Low – Monitor","Deprioritise"))))</f>
        <v>Medium – Nurture</v>
      </c>
    </row>
    <row r="201" spans="2:13" ht="31" customHeight="1" x14ac:dyDescent="0.2">
      <c r="B201" s="8" t="s">
        <v>325</v>
      </c>
      <c r="C201" s="8" t="s">
        <v>729</v>
      </c>
      <c r="D201" s="8" t="s">
        <v>153</v>
      </c>
      <c r="E201" s="9">
        <v>3168000</v>
      </c>
      <c r="F201" s="8">
        <v>6</v>
      </c>
      <c r="G201" s="8">
        <v>35</v>
      </c>
      <c r="H201" s="8">
        <v>5</v>
      </c>
      <c r="I201" s="8">
        <v>8</v>
      </c>
      <c r="J201" s="16">
        <v>31.2</v>
      </c>
      <c r="K201" s="8"/>
      <c r="L201" s="17">
        <f>RANK(J201,J$11:J$210,0)</f>
        <v>191</v>
      </c>
      <c r="M201" s="18" t="str">
        <f>IF(J201&gt;=75,"Priority – Immediate Action",IF(J201&gt;=50,"High Potential – Schedule Meeting",IF(J201&gt;=30,"Medium – Nurture",IF(J201&gt;=15,"Low – Monitor","Deprioritise"))))</f>
        <v>Medium – Nurture</v>
      </c>
    </row>
    <row r="202" spans="2:13" ht="31" customHeight="1" x14ac:dyDescent="0.2">
      <c r="B202" s="8" t="s">
        <v>621</v>
      </c>
      <c r="C202" s="8" t="s">
        <v>842</v>
      </c>
      <c r="D202" s="8" t="s">
        <v>153</v>
      </c>
      <c r="E202" s="9">
        <v>2750000</v>
      </c>
      <c r="F202" s="8">
        <v>5</v>
      </c>
      <c r="G202" s="8">
        <v>35</v>
      </c>
      <c r="H202" s="8">
        <v>15</v>
      </c>
      <c r="I202" s="8">
        <v>8</v>
      </c>
      <c r="J202" s="16">
        <v>30.7</v>
      </c>
      <c r="K202" s="8"/>
      <c r="L202" s="17">
        <f>RANK(J202,J$11:J$210,0)</f>
        <v>192</v>
      </c>
      <c r="M202" s="18" t="str">
        <f>IF(J202&gt;=75,"Priority – Immediate Action",IF(J202&gt;=50,"High Potential – Schedule Meeting",IF(J202&gt;=30,"Medium – Nurture",IF(J202&gt;=15,"Low – Monitor","Deprioritise"))))</f>
        <v>Medium – Nurture</v>
      </c>
    </row>
    <row r="203" spans="2:13" ht="31" customHeight="1" x14ac:dyDescent="0.2">
      <c r="B203" s="5" t="s">
        <v>574</v>
      </c>
      <c r="C203" s="5" t="s">
        <v>821</v>
      </c>
      <c r="D203" s="5" t="s">
        <v>188</v>
      </c>
      <c r="E203" s="6">
        <v>6742000</v>
      </c>
      <c r="F203" s="5">
        <v>2</v>
      </c>
      <c r="G203" s="5">
        <v>55</v>
      </c>
      <c r="H203" s="5">
        <v>5</v>
      </c>
      <c r="I203" s="5">
        <v>16</v>
      </c>
      <c r="J203" s="19">
        <v>30.4</v>
      </c>
      <c r="K203" s="5"/>
      <c r="L203" s="20">
        <f>RANK(J203,J$11:J$210,0)</f>
        <v>193</v>
      </c>
      <c r="M203" s="21" t="str">
        <f>IF(J203&gt;=75,"Priority – Immediate Action",IF(J203&gt;=50,"High Potential – Schedule Meeting",IF(J203&gt;=30,"Medium – Nurture",IF(J203&gt;=15,"Low – Monitor","Deprioritise"))))</f>
        <v>Medium – Nurture</v>
      </c>
    </row>
    <row r="204" spans="2:13" ht="31" customHeight="1" x14ac:dyDescent="0.2">
      <c r="B204" s="8" t="s">
        <v>585</v>
      </c>
      <c r="C204" s="8" t="s">
        <v>825</v>
      </c>
      <c r="D204" s="8" t="s">
        <v>153</v>
      </c>
      <c r="E204" s="9">
        <v>3227000</v>
      </c>
      <c r="F204" s="8">
        <v>2</v>
      </c>
      <c r="G204" s="8">
        <v>35</v>
      </c>
      <c r="H204" s="8">
        <v>30</v>
      </c>
      <c r="I204" s="8">
        <v>24</v>
      </c>
      <c r="J204" s="16">
        <v>28.6</v>
      </c>
      <c r="K204" s="8"/>
      <c r="L204" s="17">
        <f>RANK(J204,J$11:J$210,0)</f>
        <v>194</v>
      </c>
      <c r="M204" s="18" t="str">
        <f>IF(J204&gt;=75,"Priority – Immediate Action",IF(J204&gt;=50,"High Potential – Schedule Meeting",IF(J204&gt;=30,"Medium – Nurture",IF(J204&gt;=15,"Low – Monitor","Deprioritise"))))</f>
        <v>Low – Monitor</v>
      </c>
    </row>
    <row r="205" spans="2:13" ht="31" customHeight="1" x14ac:dyDescent="0.2">
      <c r="B205" s="8" t="s">
        <v>505</v>
      </c>
      <c r="C205" s="8" t="s">
        <v>792</v>
      </c>
      <c r="D205" s="8" t="s">
        <v>153</v>
      </c>
      <c r="E205" s="9">
        <v>3141000</v>
      </c>
      <c r="F205" s="8">
        <v>2</v>
      </c>
      <c r="G205" s="8">
        <v>35</v>
      </c>
      <c r="H205" s="8">
        <v>30</v>
      </c>
      <c r="I205" s="8">
        <v>16</v>
      </c>
      <c r="J205" s="16">
        <v>27.4</v>
      </c>
      <c r="K205" s="8"/>
      <c r="L205" s="17">
        <f>RANK(J205,J$11:J$210,0)</f>
        <v>195</v>
      </c>
      <c r="M205" s="18" t="str">
        <f>IF(J205&gt;=75,"Priority – Immediate Action",IF(J205&gt;=50,"High Potential – Schedule Meeting",IF(J205&gt;=30,"Medium – Nurture",IF(J205&gt;=15,"Low – Monitor","Deprioritise"))))</f>
        <v>Low – Monitor</v>
      </c>
    </row>
    <row r="206" spans="2:13" ht="31" customHeight="1" x14ac:dyDescent="0.2">
      <c r="B206" s="8" t="s">
        <v>174</v>
      </c>
      <c r="C206" s="8" t="s">
        <v>705</v>
      </c>
      <c r="D206" s="8" t="s">
        <v>153</v>
      </c>
      <c r="E206" s="9">
        <v>3085000</v>
      </c>
      <c r="F206" s="8">
        <v>3</v>
      </c>
      <c r="G206" s="8">
        <v>35</v>
      </c>
      <c r="H206" s="8">
        <v>5</v>
      </c>
      <c r="I206" s="8">
        <v>32</v>
      </c>
      <c r="J206" s="16">
        <v>27.3</v>
      </c>
      <c r="K206" s="8"/>
      <c r="L206" s="17">
        <f>RANK(J206,J$11:J$210,0)</f>
        <v>196</v>
      </c>
      <c r="M206" s="18" t="str">
        <f>IF(J206&gt;=75,"Priority – Immediate Action",IF(J206&gt;=50,"High Potential – Schedule Meeting",IF(J206&gt;=30,"Medium – Nurture",IF(J206&gt;=15,"Low – Monitor","Deprioritise"))))</f>
        <v>Low – Monitor</v>
      </c>
    </row>
    <row r="207" spans="2:13" ht="31" customHeight="1" x14ac:dyDescent="0.2">
      <c r="B207" s="8" t="s">
        <v>370</v>
      </c>
      <c r="C207" s="8" t="s">
        <v>742</v>
      </c>
      <c r="D207" s="8" t="s">
        <v>220</v>
      </c>
      <c r="E207" s="9">
        <v>1251000</v>
      </c>
      <c r="F207" s="8">
        <v>7</v>
      </c>
      <c r="G207" s="8">
        <v>15</v>
      </c>
      <c r="H207" s="8">
        <v>5</v>
      </c>
      <c r="I207" s="8">
        <v>8</v>
      </c>
      <c r="J207" s="16">
        <v>25.7</v>
      </c>
      <c r="K207" s="8"/>
      <c r="L207" s="17">
        <f>RANK(J207,J$11:J$210,0)</f>
        <v>197</v>
      </c>
      <c r="M207" s="18" t="str">
        <f>IF(J207&gt;=75,"Priority – Immediate Action",IF(J207&gt;=50,"High Potential – Schedule Meeting",IF(J207&gt;=30,"Medium – Nurture",IF(J207&gt;=15,"Low – Monitor","Deprioritise"))))</f>
        <v>Low – Monitor</v>
      </c>
    </row>
    <row r="208" spans="2:13" ht="31" customHeight="1" x14ac:dyDescent="0.2">
      <c r="B208" s="8" t="s">
        <v>632</v>
      </c>
      <c r="C208" s="8" t="s">
        <v>716</v>
      </c>
      <c r="D208" s="8" t="s">
        <v>153</v>
      </c>
      <c r="E208" s="9">
        <v>3022000</v>
      </c>
      <c r="F208" s="8">
        <v>3</v>
      </c>
      <c r="G208" s="8">
        <v>35</v>
      </c>
      <c r="H208" s="8">
        <v>0</v>
      </c>
      <c r="I208" s="8">
        <v>24</v>
      </c>
      <c r="J208" s="16">
        <v>25.1</v>
      </c>
      <c r="K208" s="8"/>
      <c r="L208" s="17">
        <f>RANK(J208,J$11:J$210,0)</f>
        <v>198</v>
      </c>
      <c r="M208" s="18" t="str">
        <f>IF(J208&gt;=75,"Priority – Immediate Action",IF(J208&gt;=50,"High Potential – Schedule Meeting",IF(J208&gt;=30,"Medium – Nurture",IF(J208&gt;=15,"Low – Monitor","Deprioritise"))))</f>
        <v>Low – Monitor</v>
      </c>
    </row>
    <row r="209" spans="2:13" ht="31" customHeight="1" x14ac:dyDescent="0.2">
      <c r="B209" s="5" t="s">
        <v>676</v>
      </c>
      <c r="C209" s="5" t="s">
        <v>863</v>
      </c>
      <c r="D209" s="5" t="s">
        <v>220</v>
      </c>
      <c r="E209" s="6">
        <v>1532000</v>
      </c>
      <c r="F209" s="5">
        <v>3</v>
      </c>
      <c r="G209" s="5">
        <v>15</v>
      </c>
      <c r="H209" s="5">
        <v>15</v>
      </c>
      <c r="I209" s="5">
        <v>8</v>
      </c>
      <c r="J209" s="19">
        <v>17.7</v>
      </c>
      <c r="K209" s="5"/>
      <c r="L209" s="20">
        <f>RANK(J209,J$11:J$210,0)</f>
        <v>199</v>
      </c>
      <c r="M209" s="21" t="str">
        <f>IF(J209&gt;=75,"Priority – Immediate Action",IF(J209&gt;=50,"High Potential – Schedule Meeting",IF(J209&gt;=30,"Medium – Nurture",IF(J209&gt;=15,"Low – Monitor","Deprioritise"))))</f>
        <v>Low – Monitor</v>
      </c>
    </row>
    <row r="210" spans="2:13" ht="31" customHeight="1" x14ac:dyDescent="0.2">
      <c r="B210" s="5" t="s">
        <v>623</v>
      </c>
      <c r="C210" s="5" t="s">
        <v>843</v>
      </c>
      <c r="D210" s="5" t="s">
        <v>220</v>
      </c>
      <c r="E210" s="6">
        <v>1165000</v>
      </c>
      <c r="F210" s="5">
        <v>2</v>
      </c>
      <c r="G210" s="5">
        <v>15</v>
      </c>
      <c r="H210" s="5">
        <v>5</v>
      </c>
      <c r="I210" s="5">
        <v>8</v>
      </c>
      <c r="J210" s="19">
        <v>13.2</v>
      </c>
      <c r="K210" s="5"/>
      <c r="L210" s="20">
        <f>RANK(J210,J$11:J$210,0)</f>
        <v>200</v>
      </c>
      <c r="M210" s="21" t="str">
        <f>IF(J210&gt;=75,"Priority – Immediate Action",IF(J210&gt;=50,"High Potential – Schedule Meeting",IF(J210&gt;=30,"Medium – Nurture",IF(J210&gt;=15,"Low – Monitor","Deprioritise"))))</f>
        <v>Deprioritise</v>
      </c>
    </row>
  </sheetData>
  <autoFilter ref="B10:M210" xr:uid="{00000000-0001-0000-0300-000000000000}">
    <sortState xmlns:xlrd2="http://schemas.microsoft.com/office/spreadsheetml/2017/richdata2" ref="B11:M210">
      <sortCondition descending="1" ref="J10:J210"/>
    </sortState>
  </autoFilter>
  <mergeCells count="2">
    <mergeCell ref="F2:H2"/>
    <mergeCell ref="B2:D2"/>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21"/>
  <sheetViews>
    <sheetView showGridLines="0" topLeftCell="A6" workbookViewId="0">
      <selection activeCell="G12" activeCellId="1" sqref="B12:B20 G12:G20"/>
    </sheetView>
  </sheetViews>
  <sheetFormatPr baseColWidth="10" defaultColWidth="8.83203125" defaultRowHeight="15" x14ac:dyDescent="0.2"/>
  <cols>
    <col min="1" max="1" width="3" customWidth="1"/>
    <col min="2" max="2" width="16" customWidth="1"/>
    <col min="3" max="3" width="8" customWidth="1"/>
    <col min="4" max="4" width="10" customWidth="1"/>
    <col min="5" max="5" width="22" customWidth="1"/>
    <col min="6" max="6" width="14" customWidth="1"/>
    <col min="7" max="8" width="20" customWidth="1"/>
    <col min="9" max="10" width="14" customWidth="1"/>
    <col min="11" max="11" width="22" customWidth="1"/>
    <col min="12" max="12" width="8" customWidth="1"/>
    <col min="13" max="14" width="18" customWidth="1"/>
    <col min="15" max="16" width="10" customWidth="1"/>
    <col min="17" max="19" width="14" customWidth="1"/>
  </cols>
  <sheetData>
    <row r="1" spans="2:19" ht="35" customHeight="1" x14ac:dyDescent="0.2">
      <c r="B1" s="73" t="s">
        <v>869</v>
      </c>
      <c r="C1" s="53"/>
      <c r="D1" s="53"/>
      <c r="E1" s="53"/>
      <c r="F1" s="53"/>
      <c r="G1" s="53"/>
      <c r="H1" s="53"/>
      <c r="I1" s="53"/>
      <c r="J1" s="53"/>
      <c r="K1" s="53"/>
      <c r="L1" s="53"/>
      <c r="M1" s="53"/>
      <c r="N1" s="53"/>
      <c r="O1" s="53"/>
      <c r="P1" s="53"/>
      <c r="Q1" s="53"/>
      <c r="R1" s="53"/>
    </row>
    <row r="2" spans="2:19" ht="18" customHeight="1" x14ac:dyDescent="0.2">
      <c r="B2" s="55" t="s">
        <v>870</v>
      </c>
      <c r="C2" s="53"/>
      <c r="D2" s="53"/>
      <c r="E2" s="53"/>
      <c r="F2" s="53"/>
      <c r="G2" s="53"/>
      <c r="H2" s="53"/>
      <c r="I2" s="53"/>
      <c r="J2" s="53"/>
      <c r="K2" s="53"/>
      <c r="L2" s="53"/>
      <c r="M2" s="53"/>
      <c r="N2" s="53"/>
      <c r="O2" s="53"/>
      <c r="P2" s="53"/>
      <c r="Q2" s="53"/>
      <c r="R2" s="53"/>
    </row>
    <row r="3" spans="2:19" ht="5" customHeight="1" x14ac:dyDescent="0.2">
      <c r="B3" s="2"/>
      <c r="C3" s="2"/>
      <c r="D3" s="2"/>
      <c r="E3" s="2"/>
      <c r="F3" s="2"/>
      <c r="G3" s="2"/>
      <c r="H3" s="2"/>
      <c r="I3" s="2"/>
      <c r="J3" s="2"/>
      <c r="K3" s="2"/>
      <c r="L3" s="2"/>
      <c r="M3" s="2"/>
      <c r="N3" s="2"/>
      <c r="O3" s="2"/>
      <c r="P3" s="2"/>
      <c r="Q3" s="2"/>
      <c r="R3" s="2"/>
    </row>
    <row r="5" spans="2:19" ht="12" customHeight="1" x14ac:dyDescent="0.2"/>
    <row r="6" spans="2:19" ht="32" customHeight="1" x14ac:dyDescent="0.2">
      <c r="B6" s="72" t="s">
        <v>871</v>
      </c>
      <c r="C6" s="53"/>
      <c r="D6" s="53"/>
      <c r="E6" s="72" t="s">
        <v>872</v>
      </c>
      <c r="F6" s="53"/>
      <c r="G6" s="53"/>
      <c r="H6" s="72" t="s">
        <v>873</v>
      </c>
      <c r="I6" s="53"/>
      <c r="J6" s="53"/>
      <c r="K6" s="72" t="s">
        <v>874</v>
      </c>
      <c r="L6" s="53"/>
      <c r="M6" s="53"/>
      <c r="N6" s="72" t="s">
        <v>875</v>
      </c>
      <c r="O6" s="53"/>
      <c r="P6" s="53"/>
      <c r="Q6" s="72" t="s">
        <v>876</v>
      </c>
      <c r="R6" s="53"/>
      <c r="S6" s="53"/>
    </row>
    <row r="7" spans="2:19" ht="28" customHeight="1" x14ac:dyDescent="0.2">
      <c r="B7" s="71" t="s">
        <v>877</v>
      </c>
      <c r="C7" s="53"/>
      <c r="D7" s="53"/>
      <c r="E7" s="71" t="s">
        <v>878</v>
      </c>
      <c r="F7" s="53"/>
      <c r="G7" s="53"/>
      <c r="H7" s="71" t="s">
        <v>879</v>
      </c>
      <c r="I7" s="53"/>
      <c r="J7" s="53"/>
      <c r="K7" s="71" t="s">
        <v>880</v>
      </c>
      <c r="L7" s="53"/>
      <c r="M7" s="53"/>
      <c r="N7" s="71" t="s">
        <v>881</v>
      </c>
      <c r="O7" s="53"/>
      <c r="P7" s="53"/>
      <c r="Q7" s="71" t="s">
        <v>882</v>
      </c>
      <c r="R7" s="53"/>
      <c r="S7" s="53"/>
    </row>
    <row r="8" spans="2:19" ht="22" customHeight="1" x14ac:dyDescent="0.2">
      <c r="B8" s="70" t="s">
        <v>883</v>
      </c>
      <c r="C8" s="53"/>
      <c r="D8" s="53"/>
      <c r="E8" s="70" t="s">
        <v>884</v>
      </c>
      <c r="F8" s="53"/>
      <c r="G8" s="53"/>
      <c r="H8" s="70" t="s">
        <v>885</v>
      </c>
      <c r="I8" s="53"/>
      <c r="J8" s="53"/>
      <c r="K8" s="70" t="s">
        <v>886</v>
      </c>
      <c r="L8" s="53"/>
      <c r="M8" s="53"/>
      <c r="N8" s="70" t="s">
        <v>887</v>
      </c>
      <c r="O8" s="53"/>
      <c r="P8" s="53"/>
      <c r="Q8" s="70" t="s">
        <v>888</v>
      </c>
      <c r="R8" s="53"/>
      <c r="S8" s="53"/>
    </row>
    <row r="9" spans="2:19" ht="8" customHeight="1" x14ac:dyDescent="0.2"/>
    <row r="11" spans="2:19" ht="24" customHeight="1" x14ac:dyDescent="0.2">
      <c r="B11" s="69" t="s">
        <v>889</v>
      </c>
      <c r="C11" s="53"/>
      <c r="D11" s="53"/>
      <c r="E11" s="53"/>
      <c r="F11" s="53"/>
      <c r="G11" s="53"/>
      <c r="H11" s="53"/>
      <c r="I11" s="53"/>
      <c r="K11" s="69" t="s">
        <v>890</v>
      </c>
      <c r="L11" s="53"/>
      <c r="M11" s="53"/>
      <c r="N11" s="53"/>
      <c r="O11" s="53"/>
      <c r="P11" s="53"/>
      <c r="Q11" s="53"/>
      <c r="R11" s="53"/>
    </row>
    <row r="12" spans="2:19" x14ac:dyDescent="0.2">
      <c r="B12" s="22" t="s">
        <v>891</v>
      </c>
      <c r="C12" s="22" t="s">
        <v>892</v>
      </c>
      <c r="D12" s="22" t="s">
        <v>893</v>
      </c>
      <c r="E12" s="22" t="s">
        <v>894</v>
      </c>
      <c r="F12" s="22" t="s">
        <v>895</v>
      </c>
      <c r="G12" s="22" t="s">
        <v>896</v>
      </c>
      <c r="H12" s="22" t="s">
        <v>897</v>
      </c>
      <c r="K12" s="22" t="s">
        <v>134</v>
      </c>
      <c r="L12" s="22" t="s">
        <v>892</v>
      </c>
      <c r="M12" s="22" t="s">
        <v>898</v>
      </c>
      <c r="N12" s="22" t="s">
        <v>899</v>
      </c>
      <c r="O12" s="22" t="s">
        <v>900</v>
      </c>
      <c r="P12" s="22" t="s">
        <v>901</v>
      </c>
      <c r="Q12" s="78" t="s">
        <v>993</v>
      </c>
    </row>
    <row r="13" spans="2:19" x14ac:dyDescent="0.2">
      <c r="B13" s="8" t="s">
        <v>265</v>
      </c>
      <c r="C13" s="23">
        <v>28</v>
      </c>
      <c r="D13" s="24">
        <v>0.14000000000000001</v>
      </c>
      <c r="E13" s="25">
        <v>8200000</v>
      </c>
      <c r="F13" s="26">
        <v>0.05</v>
      </c>
      <c r="G13" s="25">
        <v>11480000</v>
      </c>
      <c r="H13" s="23" t="s">
        <v>902</v>
      </c>
      <c r="K13" s="8" t="s">
        <v>228</v>
      </c>
      <c r="L13" s="23">
        <v>20</v>
      </c>
      <c r="M13" s="25">
        <v>280000000</v>
      </c>
      <c r="N13" s="25">
        <v>5600000000</v>
      </c>
      <c r="O13" s="23" t="s">
        <v>903</v>
      </c>
      <c r="P13" s="23" t="s">
        <v>904</v>
      </c>
    </row>
    <row r="14" spans="2:19" x14ac:dyDescent="0.2">
      <c r="B14" s="5" t="s">
        <v>193</v>
      </c>
      <c r="C14" s="27">
        <v>35</v>
      </c>
      <c r="D14" s="28">
        <v>0.17499999999999999</v>
      </c>
      <c r="E14" s="29">
        <v>12500000</v>
      </c>
      <c r="F14" s="30">
        <v>0.15</v>
      </c>
      <c r="G14" s="29">
        <v>65625000</v>
      </c>
      <c r="H14" s="27" t="s">
        <v>905</v>
      </c>
      <c r="K14" s="5" t="s">
        <v>244</v>
      </c>
      <c r="L14" s="27">
        <v>60</v>
      </c>
      <c r="M14" s="29">
        <v>52000000</v>
      </c>
      <c r="N14" s="29">
        <v>3120000000</v>
      </c>
      <c r="O14" s="27" t="s">
        <v>906</v>
      </c>
      <c r="P14" s="27" t="s">
        <v>907</v>
      </c>
    </row>
    <row r="15" spans="2:19" x14ac:dyDescent="0.2">
      <c r="B15" s="8" t="s">
        <v>205</v>
      </c>
      <c r="C15" s="23">
        <v>42</v>
      </c>
      <c r="D15" s="24">
        <v>0.21</v>
      </c>
      <c r="E15" s="25">
        <v>18000000</v>
      </c>
      <c r="F15" s="26">
        <v>0.3</v>
      </c>
      <c r="G15" s="25">
        <v>226800000</v>
      </c>
      <c r="H15" s="23" t="s">
        <v>908</v>
      </c>
      <c r="K15" s="8" t="s">
        <v>188</v>
      </c>
      <c r="L15" s="23">
        <v>50</v>
      </c>
      <c r="M15" s="25">
        <v>18000000</v>
      </c>
      <c r="N15" s="25">
        <v>900000000</v>
      </c>
      <c r="O15" s="23" t="s">
        <v>909</v>
      </c>
      <c r="P15" s="23" t="s">
        <v>910</v>
      </c>
    </row>
    <row r="16" spans="2:19" x14ac:dyDescent="0.2">
      <c r="B16" s="5" t="s">
        <v>159</v>
      </c>
      <c r="C16" s="27">
        <v>22</v>
      </c>
      <c r="D16" s="28">
        <v>0.11</v>
      </c>
      <c r="E16" s="29">
        <v>25000000</v>
      </c>
      <c r="F16" s="30">
        <v>0.5</v>
      </c>
      <c r="G16" s="29">
        <v>275000000</v>
      </c>
      <c r="H16" s="27" t="s">
        <v>911</v>
      </c>
      <c r="K16" s="5" t="s">
        <v>153</v>
      </c>
      <c r="L16" s="27">
        <v>50</v>
      </c>
      <c r="M16" s="29">
        <v>6500000</v>
      </c>
      <c r="N16" s="29">
        <v>325000000</v>
      </c>
      <c r="O16" s="27" t="s">
        <v>912</v>
      </c>
      <c r="P16" s="27" t="s">
        <v>913</v>
      </c>
    </row>
    <row r="17" spans="2:16" ht="26" x14ac:dyDescent="0.2">
      <c r="B17" s="8" t="s">
        <v>272</v>
      </c>
      <c r="C17" s="23">
        <v>15</v>
      </c>
      <c r="D17" s="24">
        <v>7.4999999999999997E-2</v>
      </c>
      <c r="E17" s="25">
        <v>38000000</v>
      </c>
      <c r="F17" s="26">
        <v>0.7</v>
      </c>
      <c r="G17" s="25">
        <v>399000000</v>
      </c>
      <c r="H17" s="23" t="s">
        <v>914</v>
      </c>
      <c r="K17" s="8" t="s">
        <v>220</v>
      </c>
      <c r="L17" s="23">
        <v>20</v>
      </c>
      <c r="M17" s="25">
        <v>1200000</v>
      </c>
      <c r="N17" s="25">
        <v>24000000</v>
      </c>
      <c r="O17" s="23" t="s">
        <v>915</v>
      </c>
      <c r="P17" s="23" t="s">
        <v>916</v>
      </c>
    </row>
    <row r="18" spans="2:16" x14ac:dyDescent="0.2">
      <c r="B18" s="5" t="s">
        <v>172</v>
      </c>
      <c r="C18" s="27">
        <v>29</v>
      </c>
      <c r="D18" s="28">
        <v>0.14499999999999999</v>
      </c>
      <c r="E18" s="29">
        <v>42000000</v>
      </c>
      <c r="F18" s="30">
        <v>1</v>
      </c>
      <c r="G18" s="29">
        <v>1218000000</v>
      </c>
      <c r="H18" s="27" t="s">
        <v>917</v>
      </c>
    </row>
    <row r="19" spans="2:16" x14ac:dyDescent="0.2">
      <c r="B19" s="8" t="s">
        <v>183</v>
      </c>
      <c r="C19" s="23">
        <v>18</v>
      </c>
      <c r="D19" s="24">
        <v>0.09</v>
      </c>
      <c r="E19" s="25">
        <v>9000000</v>
      </c>
      <c r="F19" s="26">
        <v>0.1</v>
      </c>
      <c r="G19" s="25">
        <v>16200000</v>
      </c>
      <c r="H19" s="23" t="s">
        <v>918</v>
      </c>
    </row>
    <row r="20" spans="2:16" x14ac:dyDescent="0.2">
      <c r="B20" s="5" t="s">
        <v>336</v>
      </c>
      <c r="C20" s="27">
        <v>11</v>
      </c>
      <c r="D20" s="28">
        <v>5.5E-2</v>
      </c>
      <c r="E20" s="29">
        <v>0</v>
      </c>
      <c r="F20" s="30">
        <v>0</v>
      </c>
      <c r="G20" s="29">
        <v>0</v>
      </c>
      <c r="H20" s="27" t="s">
        <v>919</v>
      </c>
    </row>
    <row r="21" spans="2:16" x14ac:dyDescent="0.2">
      <c r="B21" s="31" t="s">
        <v>920</v>
      </c>
      <c r="C21" s="31">
        <f>SUM(C13:C20)</f>
        <v>200</v>
      </c>
      <c r="D21" s="31"/>
      <c r="E21" s="32">
        <f>AVERAGE(E13:E20)</f>
        <v>19087500</v>
      </c>
      <c r="F21" s="31"/>
      <c r="G21" s="32">
        <f>SUM(G13:G20)</f>
        <v>2212105000</v>
      </c>
      <c r="H21" s="31"/>
    </row>
  </sheetData>
  <mergeCells count="22">
    <mergeCell ref="B1:R1"/>
    <mergeCell ref="K6:M6"/>
    <mergeCell ref="H8:J8"/>
    <mergeCell ref="Q7:S7"/>
    <mergeCell ref="B7:D7"/>
    <mergeCell ref="N7:P7"/>
    <mergeCell ref="E8:G8"/>
    <mergeCell ref="Q8:S8"/>
    <mergeCell ref="H6:J6"/>
    <mergeCell ref="B11:I11"/>
    <mergeCell ref="K11:R11"/>
    <mergeCell ref="B2:R2"/>
    <mergeCell ref="E7:G7"/>
    <mergeCell ref="B6:D6"/>
    <mergeCell ref="N6:P6"/>
    <mergeCell ref="K7:M7"/>
    <mergeCell ref="B8:D8"/>
    <mergeCell ref="N8:P8"/>
    <mergeCell ref="H7:J7"/>
    <mergeCell ref="E6:G6"/>
    <mergeCell ref="Q6:S6"/>
    <mergeCell ref="K8:M8"/>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32"/>
  <sheetViews>
    <sheetView showGridLines="0" topLeftCell="A7" zoomScale="85" zoomScaleNormal="150" workbookViewId="0">
      <selection activeCell="P39" sqref="P39"/>
    </sheetView>
  </sheetViews>
  <sheetFormatPr baseColWidth="10" defaultColWidth="8.83203125" defaultRowHeight="15" x14ac:dyDescent="0.2"/>
  <cols>
    <col min="1" max="1" width="3" customWidth="1"/>
    <col min="2" max="2" width="22" customWidth="1"/>
    <col min="3" max="6" width="12" customWidth="1"/>
    <col min="8" max="8" width="22" customWidth="1"/>
    <col min="9" max="9" width="10" customWidth="1"/>
    <col min="10" max="10" width="18" customWidth="1"/>
    <col min="11" max="11" width="16" customWidth="1"/>
    <col min="12" max="12" width="14" customWidth="1"/>
  </cols>
  <sheetData>
    <row r="1" spans="2:14" ht="32" customHeight="1" x14ac:dyDescent="0.2">
      <c r="B1" s="75" t="s">
        <v>921</v>
      </c>
      <c r="C1" s="53"/>
      <c r="D1" s="53"/>
      <c r="E1" s="53"/>
      <c r="F1" s="53"/>
      <c r="G1" s="53"/>
      <c r="H1" s="53"/>
      <c r="I1" s="53"/>
      <c r="J1" s="53"/>
      <c r="K1" s="53"/>
      <c r="L1" s="53"/>
      <c r="M1" s="53"/>
      <c r="N1" s="53"/>
    </row>
    <row r="2" spans="2:14" ht="5" customHeight="1" x14ac:dyDescent="0.2">
      <c r="B2" s="2"/>
      <c r="C2" s="2"/>
      <c r="D2" s="2"/>
      <c r="E2" s="2"/>
      <c r="F2" s="2"/>
      <c r="G2" s="2"/>
      <c r="H2" s="2"/>
      <c r="I2" s="2"/>
      <c r="J2" s="2"/>
      <c r="K2" s="2"/>
      <c r="L2" s="2"/>
      <c r="M2" s="2"/>
      <c r="N2" s="2"/>
    </row>
    <row r="4" spans="2:14" x14ac:dyDescent="0.2">
      <c r="B4" s="74" t="s">
        <v>922</v>
      </c>
      <c r="C4" s="53"/>
      <c r="D4" s="53"/>
      <c r="E4" s="53"/>
      <c r="F4" s="53"/>
      <c r="H4" s="74" t="s">
        <v>923</v>
      </c>
      <c r="I4" s="53"/>
      <c r="J4" s="53"/>
      <c r="K4" s="53"/>
      <c r="L4" s="53"/>
      <c r="M4" s="53"/>
    </row>
    <row r="5" spans="2:14" x14ac:dyDescent="0.2">
      <c r="B5" s="31" t="s">
        <v>135</v>
      </c>
      <c r="C5" s="31" t="s">
        <v>924</v>
      </c>
      <c r="D5" s="31" t="s">
        <v>925</v>
      </c>
      <c r="E5" s="31" t="s">
        <v>926</v>
      </c>
      <c r="F5" s="31" t="s">
        <v>900</v>
      </c>
      <c r="H5" s="31" t="s">
        <v>132</v>
      </c>
      <c r="I5" s="31" t="s">
        <v>924</v>
      </c>
      <c r="J5" s="31" t="s">
        <v>899</v>
      </c>
      <c r="K5" s="31" t="s">
        <v>898</v>
      </c>
      <c r="L5" s="31" t="s">
        <v>927</v>
      </c>
    </row>
    <row r="6" spans="2:14" x14ac:dyDescent="0.2">
      <c r="B6" s="5" t="s">
        <v>258</v>
      </c>
      <c r="C6" s="27">
        <v>54</v>
      </c>
      <c r="D6" s="28">
        <v>0.27</v>
      </c>
      <c r="E6" s="27">
        <v>72.3</v>
      </c>
      <c r="F6" s="28">
        <v>0.24</v>
      </c>
      <c r="H6" s="5" t="s">
        <v>251</v>
      </c>
      <c r="I6" s="27">
        <v>40</v>
      </c>
      <c r="J6" s="29">
        <v>820000000</v>
      </c>
      <c r="K6" s="29">
        <v>20500000</v>
      </c>
      <c r="L6" s="27">
        <v>88</v>
      </c>
    </row>
    <row r="7" spans="2:14" x14ac:dyDescent="0.2">
      <c r="B7" s="8" t="s">
        <v>179</v>
      </c>
      <c r="C7" s="23">
        <v>38</v>
      </c>
      <c r="D7" s="24">
        <v>0.19</v>
      </c>
      <c r="E7" s="23">
        <v>68.5</v>
      </c>
      <c r="F7" s="24">
        <v>0.21</v>
      </c>
      <c r="H7" s="8" t="s">
        <v>166</v>
      </c>
      <c r="I7" s="23">
        <v>28</v>
      </c>
      <c r="J7" s="25">
        <v>650000000</v>
      </c>
      <c r="K7" s="25">
        <v>23200000</v>
      </c>
      <c r="L7" s="23">
        <v>85</v>
      </c>
    </row>
    <row r="8" spans="2:14" x14ac:dyDescent="0.2">
      <c r="B8" s="5" t="s">
        <v>295</v>
      </c>
      <c r="C8" s="27">
        <v>30</v>
      </c>
      <c r="D8" s="28">
        <v>0.15</v>
      </c>
      <c r="E8" s="27">
        <v>61.2</v>
      </c>
      <c r="F8" s="28">
        <v>0.17</v>
      </c>
      <c r="H8" s="5" t="s">
        <v>277</v>
      </c>
      <c r="I8" s="27">
        <v>24</v>
      </c>
      <c r="J8" s="29">
        <v>480000000</v>
      </c>
      <c r="K8" s="29">
        <v>20000000</v>
      </c>
      <c r="L8" s="27">
        <v>79</v>
      </c>
    </row>
    <row r="9" spans="2:14" x14ac:dyDescent="0.2">
      <c r="B9" s="8" t="s">
        <v>167</v>
      </c>
      <c r="C9" s="23">
        <v>28</v>
      </c>
      <c r="D9" s="24">
        <v>0.14000000000000001</v>
      </c>
      <c r="E9" s="23">
        <v>58.7</v>
      </c>
      <c r="F9" s="24">
        <v>0.15</v>
      </c>
      <c r="H9" s="8" t="s">
        <v>200</v>
      </c>
      <c r="I9" s="23">
        <v>20</v>
      </c>
      <c r="J9" s="25">
        <v>310000000</v>
      </c>
      <c r="K9" s="25">
        <v>15500000</v>
      </c>
      <c r="L9" s="23">
        <v>72</v>
      </c>
    </row>
    <row r="10" spans="2:14" x14ac:dyDescent="0.2">
      <c r="B10" s="5" t="s">
        <v>154</v>
      </c>
      <c r="C10" s="27">
        <v>22</v>
      </c>
      <c r="D10" s="28">
        <v>0.11</v>
      </c>
      <c r="E10" s="27">
        <v>49.3</v>
      </c>
      <c r="F10" s="28">
        <v>0.1</v>
      </c>
      <c r="H10" s="5" t="s">
        <v>152</v>
      </c>
      <c r="I10" s="27">
        <v>22</v>
      </c>
      <c r="J10" s="29">
        <v>290000000</v>
      </c>
      <c r="K10" s="29">
        <v>13200000</v>
      </c>
      <c r="L10" s="27">
        <v>68</v>
      </c>
    </row>
    <row r="11" spans="2:14" x14ac:dyDescent="0.2">
      <c r="B11" s="8" t="s">
        <v>221</v>
      </c>
      <c r="C11" s="23">
        <v>15</v>
      </c>
      <c r="D11" s="24">
        <v>7.4999999999999997E-2</v>
      </c>
      <c r="E11" s="23">
        <v>44.1</v>
      </c>
      <c r="F11" s="24">
        <v>0.08</v>
      </c>
      <c r="H11" s="8" t="s">
        <v>236</v>
      </c>
      <c r="I11" s="23">
        <v>18</v>
      </c>
      <c r="J11" s="25">
        <v>220000000</v>
      </c>
      <c r="K11" s="25">
        <v>12200000</v>
      </c>
      <c r="L11" s="23">
        <v>61</v>
      </c>
    </row>
    <row r="12" spans="2:14" x14ac:dyDescent="0.2">
      <c r="B12" s="5" t="s">
        <v>201</v>
      </c>
      <c r="C12" s="27">
        <v>8</v>
      </c>
      <c r="D12" s="28">
        <v>0.04</v>
      </c>
      <c r="E12" s="27">
        <v>55.8</v>
      </c>
      <c r="F12" s="28">
        <v>0.13</v>
      </c>
      <c r="H12" s="5" t="s">
        <v>219</v>
      </c>
      <c r="I12" s="27">
        <v>16</v>
      </c>
      <c r="J12" s="29">
        <v>190000000</v>
      </c>
      <c r="K12" s="29">
        <v>11900000</v>
      </c>
      <c r="L12" s="27">
        <v>58</v>
      </c>
    </row>
    <row r="13" spans="2:14" x14ac:dyDescent="0.2">
      <c r="B13" s="8" t="s">
        <v>269</v>
      </c>
      <c r="C13" s="23">
        <v>5</v>
      </c>
      <c r="D13" s="24">
        <v>2.5000000000000001E-2</v>
      </c>
      <c r="E13" s="23">
        <v>31.2</v>
      </c>
      <c r="F13" s="24">
        <v>0.04</v>
      </c>
      <c r="H13" s="8" t="s">
        <v>211</v>
      </c>
      <c r="I13" s="23">
        <v>14</v>
      </c>
      <c r="J13" s="25">
        <v>150000000</v>
      </c>
      <c r="K13" s="25">
        <v>10700000</v>
      </c>
      <c r="L13" s="23">
        <v>52</v>
      </c>
    </row>
    <row r="14" spans="2:14" x14ac:dyDescent="0.2">
      <c r="H14" s="5" t="s">
        <v>316</v>
      </c>
      <c r="I14" s="27">
        <v>10</v>
      </c>
      <c r="J14" s="29">
        <v>120000000</v>
      </c>
      <c r="K14" s="29">
        <v>12000000</v>
      </c>
      <c r="L14" s="27">
        <v>48</v>
      </c>
    </row>
    <row r="15" spans="2:14" x14ac:dyDescent="0.2">
      <c r="H15" s="8" t="s">
        <v>178</v>
      </c>
      <c r="I15" s="23">
        <v>8</v>
      </c>
      <c r="J15" s="25">
        <v>90000000</v>
      </c>
      <c r="K15" s="25">
        <v>11250000</v>
      </c>
      <c r="L15" s="23">
        <v>43</v>
      </c>
    </row>
    <row r="18" spans="2:6" x14ac:dyDescent="0.2">
      <c r="B18" s="74" t="s">
        <v>928</v>
      </c>
      <c r="C18" s="53"/>
      <c r="D18" s="53"/>
      <c r="E18" s="53"/>
      <c r="F18" s="53"/>
    </row>
    <row r="19" spans="2:6" x14ac:dyDescent="0.2">
      <c r="B19" s="31" t="s">
        <v>929</v>
      </c>
      <c r="C19" s="31" t="s">
        <v>930</v>
      </c>
      <c r="D19" s="31" t="s">
        <v>931</v>
      </c>
      <c r="E19" s="31" t="s">
        <v>932</v>
      </c>
      <c r="F19" s="31" t="s">
        <v>933</v>
      </c>
    </row>
    <row r="20" spans="2:6" x14ac:dyDescent="0.2">
      <c r="B20" s="27" t="s">
        <v>934</v>
      </c>
      <c r="C20" s="27">
        <v>19</v>
      </c>
      <c r="D20" s="27">
        <v>62</v>
      </c>
      <c r="E20" s="27">
        <v>13</v>
      </c>
      <c r="F20" s="27">
        <v>2</v>
      </c>
    </row>
    <row r="21" spans="2:6" x14ac:dyDescent="0.2">
      <c r="B21" s="23" t="s">
        <v>935</v>
      </c>
      <c r="C21" s="23">
        <v>24</v>
      </c>
      <c r="D21" s="23">
        <v>51</v>
      </c>
      <c r="E21" s="23">
        <v>10</v>
      </c>
      <c r="F21" s="23">
        <v>1</v>
      </c>
    </row>
    <row r="22" spans="2:6" x14ac:dyDescent="0.2">
      <c r="B22" s="27" t="s">
        <v>936</v>
      </c>
      <c r="C22" s="27">
        <v>17</v>
      </c>
      <c r="D22" s="27">
        <v>59</v>
      </c>
      <c r="E22" s="27">
        <v>10</v>
      </c>
      <c r="F22" s="27">
        <v>5</v>
      </c>
    </row>
    <row r="23" spans="2:6" x14ac:dyDescent="0.2">
      <c r="B23" s="23" t="s">
        <v>937</v>
      </c>
      <c r="C23" s="23">
        <v>25</v>
      </c>
      <c r="D23" s="23">
        <v>75</v>
      </c>
      <c r="E23" s="23">
        <v>15</v>
      </c>
      <c r="F23" s="23">
        <v>3</v>
      </c>
    </row>
    <row r="24" spans="2:6" x14ac:dyDescent="0.2">
      <c r="B24" s="27" t="s">
        <v>938</v>
      </c>
      <c r="C24" s="27">
        <v>24</v>
      </c>
      <c r="D24" s="27">
        <v>37</v>
      </c>
      <c r="E24" s="27">
        <v>6</v>
      </c>
      <c r="F24" s="27">
        <v>2</v>
      </c>
    </row>
    <row r="25" spans="2:6" x14ac:dyDescent="0.2">
      <c r="B25" s="23" t="s">
        <v>939</v>
      </c>
      <c r="C25" s="23">
        <v>10</v>
      </c>
      <c r="D25" s="23">
        <v>51</v>
      </c>
      <c r="E25" s="23">
        <v>10</v>
      </c>
      <c r="F25" s="23">
        <v>3</v>
      </c>
    </row>
    <row r="26" spans="2:6" x14ac:dyDescent="0.2">
      <c r="B26" s="27" t="s">
        <v>940</v>
      </c>
      <c r="C26" s="27">
        <v>27</v>
      </c>
      <c r="D26" s="27">
        <v>63</v>
      </c>
      <c r="E26" s="27">
        <v>10</v>
      </c>
      <c r="F26" s="27">
        <v>1</v>
      </c>
    </row>
    <row r="27" spans="2:6" x14ac:dyDescent="0.2">
      <c r="B27" s="23" t="s">
        <v>941</v>
      </c>
      <c r="C27" s="23">
        <v>11</v>
      </c>
      <c r="D27" s="23">
        <v>40</v>
      </c>
      <c r="E27" s="23">
        <v>12</v>
      </c>
      <c r="F27" s="23">
        <v>2</v>
      </c>
    </row>
    <row r="28" spans="2:6" x14ac:dyDescent="0.2">
      <c r="B28" s="27" t="s">
        <v>942</v>
      </c>
      <c r="C28" s="27">
        <v>23</v>
      </c>
      <c r="D28" s="27">
        <v>36</v>
      </c>
      <c r="E28" s="27">
        <v>9</v>
      </c>
      <c r="F28" s="27">
        <v>5</v>
      </c>
    </row>
    <row r="29" spans="2:6" x14ac:dyDescent="0.2">
      <c r="B29" s="23" t="s">
        <v>943</v>
      </c>
      <c r="C29" s="23">
        <v>16</v>
      </c>
      <c r="D29" s="23">
        <v>42</v>
      </c>
      <c r="E29" s="23">
        <v>6</v>
      </c>
      <c r="F29" s="23">
        <v>4</v>
      </c>
    </row>
    <row r="30" spans="2:6" x14ac:dyDescent="0.2">
      <c r="B30" s="27" t="s">
        <v>944</v>
      </c>
      <c r="C30" s="27">
        <v>16</v>
      </c>
      <c r="D30" s="27">
        <v>59</v>
      </c>
      <c r="E30" s="27">
        <v>18</v>
      </c>
      <c r="F30" s="27">
        <v>2</v>
      </c>
    </row>
    <row r="31" spans="2:6" x14ac:dyDescent="0.2">
      <c r="B31" s="23" t="s">
        <v>945</v>
      </c>
      <c r="C31" s="23">
        <v>20</v>
      </c>
      <c r="D31" s="23">
        <v>36</v>
      </c>
      <c r="E31" s="23">
        <v>17</v>
      </c>
      <c r="F31" s="23">
        <v>4</v>
      </c>
    </row>
    <row r="32" spans="2:6" x14ac:dyDescent="0.2">
      <c r="B32" s="31" t="s">
        <v>946</v>
      </c>
      <c r="C32" s="31">
        <f>SUM(C20:C31)</f>
        <v>232</v>
      </c>
      <c r="D32" s="31">
        <f>SUM(D20:D31)</f>
        <v>611</v>
      </c>
      <c r="E32" s="31">
        <f>SUM(E20:E31)</f>
        <v>136</v>
      </c>
      <c r="F32" s="31">
        <f>SUM(F20:F31)</f>
        <v>34</v>
      </c>
    </row>
  </sheetData>
  <mergeCells count="4">
    <mergeCell ref="B4:F4"/>
    <mergeCell ref="B1:N1"/>
    <mergeCell ref="H4:M4"/>
    <mergeCell ref="B18:F18"/>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25"/>
  <sheetViews>
    <sheetView showGridLines="0" workbookViewId="0"/>
  </sheetViews>
  <sheetFormatPr baseColWidth="10" defaultColWidth="8.83203125" defaultRowHeight="15" x14ac:dyDescent="0.2"/>
  <cols>
    <col min="1" max="1" width="3" customWidth="1"/>
    <col min="2" max="2" width="28" customWidth="1"/>
    <col min="3" max="3" width="50" customWidth="1"/>
    <col min="4" max="4" width="20" customWidth="1"/>
  </cols>
  <sheetData>
    <row r="1" spans="2:4" ht="30" customHeight="1" x14ac:dyDescent="0.2">
      <c r="B1" s="77" t="s">
        <v>947</v>
      </c>
      <c r="C1" s="53"/>
      <c r="D1" s="53"/>
    </row>
    <row r="2" spans="2:4" ht="5" customHeight="1" x14ac:dyDescent="0.2">
      <c r="B2" s="2"/>
      <c r="C2" s="2"/>
      <c r="D2" s="2"/>
    </row>
    <row r="4" spans="2:4" ht="22" customHeight="1" x14ac:dyDescent="0.2">
      <c r="B4" s="76" t="s">
        <v>948</v>
      </c>
      <c r="C4" s="60"/>
      <c r="D4" s="61"/>
    </row>
    <row r="5" spans="2:4" ht="22" customHeight="1" x14ac:dyDescent="0.2">
      <c r="B5" s="33" t="s">
        <v>949</v>
      </c>
      <c r="C5" s="8" t="s">
        <v>950</v>
      </c>
      <c r="D5" s="34" t="s">
        <v>951</v>
      </c>
    </row>
    <row r="6" spans="2:4" ht="22" customHeight="1" x14ac:dyDescent="0.2">
      <c r="B6" s="35" t="s">
        <v>952</v>
      </c>
      <c r="C6" s="5" t="s">
        <v>953</v>
      </c>
      <c r="D6" s="36" t="s">
        <v>954</v>
      </c>
    </row>
    <row r="7" spans="2:4" ht="22" customHeight="1" x14ac:dyDescent="0.2">
      <c r="B7" s="33" t="s">
        <v>955</v>
      </c>
      <c r="C7" s="8" t="s">
        <v>956</v>
      </c>
      <c r="D7" s="34" t="s">
        <v>957</v>
      </c>
    </row>
    <row r="8" spans="2:4" ht="22" customHeight="1" x14ac:dyDescent="0.2">
      <c r="B8" s="35" t="s">
        <v>958</v>
      </c>
      <c r="C8" s="5" t="s">
        <v>909</v>
      </c>
      <c r="D8" s="36" t="s">
        <v>959</v>
      </c>
    </row>
    <row r="9" spans="2:4" ht="22" customHeight="1" x14ac:dyDescent="0.2">
      <c r="B9" s="33"/>
      <c r="C9" s="8"/>
      <c r="D9" s="34"/>
    </row>
    <row r="10" spans="2:4" ht="22" customHeight="1" x14ac:dyDescent="0.2">
      <c r="B10" s="76" t="s">
        <v>960</v>
      </c>
      <c r="C10" s="60"/>
      <c r="D10" s="61"/>
    </row>
    <row r="11" spans="2:4" ht="22" customHeight="1" x14ac:dyDescent="0.2">
      <c r="B11" s="33" t="s">
        <v>961</v>
      </c>
      <c r="C11" s="8" t="s">
        <v>962</v>
      </c>
      <c r="D11" s="34" t="s">
        <v>963</v>
      </c>
    </row>
    <row r="12" spans="2:4" ht="22" customHeight="1" x14ac:dyDescent="0.2">
      <c r="B12" s="35" t="s">
        <v>964</v>
      </c>
      <c r="C12" s="5" t="s">
        <v>965</v>
      </c>
      <c r="D12" s="36" t="s">
        <v>966</v>
      </c>
    </row>
    <row r="13" spans="2:4" ht="22" customHeight="1" x14ac:dyDescent="0.2">
      <c r="B13" s="33" t="s">
        <v>967</v>
      </c>
      <c r="C13" s="8" t="s">
        <v>968</v>
      </c>
      <c r="D13" s="34" t="s">
        <v>969</v>
      </c>
    </row>
    <row r="14" spans="2:4" ht="22" customHeight="1" x14ac:dyDescent="0.2">
      <c r="B14" s="35" t="s">
        <v>970</v>
      </c>
      <c r="C14" s="5" t="s">
        <v>971</v>
      </c>
      <c r="D14" s="36" t="s">
        <v>972</v>
      </c>
    </row>
    <row r="15" spans="2:4" ht="22" customHeight="1" x14ac:dyDescent="0.2">
      <c r="B15" s="33" t="s">
        <v>973</v>
      </c>
      <c r="C15" s="8" t="s">
        <v>974</v>
      </c>
      <c r="D15" s="34" t="s">
        <v>975</v>
      </c>
    </row>
    <row r="16" spans="2:4" ht="22" customHeight="1" x14ac:dyDescent="0.2">
      <c r="B16" s="35"/>
      <c r="C16" s="5"/>
      <c r="D16" s="36"/>
    </row>
    <row r="17" spans="2:4" ht="22" customHeight="1" x14ac:dyDescent="0.2">
      <c r="B17" s="76" t="s">
        <v>976</v>
      </c>
      <c r="C17" s="60"/>
      <c r="D17" s="61"/>
    </row>
    <row r="18" spans="2:4" ht="22" customHeight="1" x14ac:dyDescent="0.2">
      <c r="B18" s="35" t="s">
        <v>977</v>
      </c>
      <c r="C18" s="5" t="s">
        <v>978</v>
      </c>
      <c r="D18" s="36" t="s">
        <v>979</v>
      </c>
    </row>
    <row r="19" spans="2:4" ht="22" customHeight="1" x14ac:dyDescent="0.2">
      <c r="B19" s="33" t="s">
        <v>980</v>
      </c>
      <c r="C19" s="8" t="s">
        <v>981</v>
      </c>
      <c r="D19" s="34" t="s">
        <v>982</v>
      </c>
    </row>
    <row r="20" spans="2:4" ht="22" customHeight="1" x14ac:dyDescent="0.2">
      <c r="B20" s="35" t="s">
        <v>983</v>
      </c>
      <c r="C20" s="5" t="s">
        <v>984</v>
      </c>
      <c r="D20" s="36" t="s">
        <v>985</v>
      </c>
    </row>
    <row r="21" spans="2:4" ht="22" customHeight="1" x14ac:dyDescent="0.2">
      <c r="B21" s="33" t="s">
        <v>900</v>
      </c>
      <c r="C21" s="8" t="s">
        <v>986</v>
      </c>
      <c r="D21" s="34" t="s">
        <v>987</v>
      </c>
    </row>
    <row r="22" spans="2:4" ht="22" customHeight="1" x14ac:dyDescent="0.2">
      <c r="B22" s="35" t="s">
        <v>988</v>
      </c>
      <c r="C22" s="5" t="s">
        <v>989</v>
      </c>
      <c r="D22" s="36" t="s">
        <v>990</v>
      </c>
    </row>
    <row r="23" spans="2:4" ht="22" customHeight="1" x14ac:dyDescent="0.2">
      <c r="B23" s="33"/>
      <c r="C23" s="8"/>
      <c r="D23" s="34"/>
    </row>
    <row r="24" spans="2:4" ht="22" customHeight="1" x14ac:dyDescent="0.2">
      <c r="B24" s="76" t="s">
        <v>991</v>
      </c>
      <c r="C24" s="60"/>
      <c r="D24" s="61"/>
    </row>
    <row r="25" spans="2:4" ht="22" customHeight="1" x14ac:dyDescent="0.2">
      <c r="B25" s="33"/>
      <c r="C25" s="8" t="s">
        <v>992</v>
      </c>
      <c r="D25" s="34"/>
    </row>
  </sheetData>
  <mergeCells count="5">
    <mergeCell ref="B10:D10"/>
    <mergeCell ref="B1:D1"/>
    <mergeCell ref="B4:D4"/>
    <mergeCell ref="B17:D17"/>
    <mergeCell ref="B24:D2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D403A-D1DA-1D4D-82A1-8CA0CAF5FA2F}">
  <dimension ref="A1:F201"/>
  <sheetViews>
    <sheetView zoomScale="226" workbookViewId="0">
      <selection activeCell="F25" sqref="F25"/>
    </sheetView>
  </sheetViews>
  <sheetFormatPr baseColWidth="10" defaultRowHeight="15" x14ac:dyDescent="0.2"/>
  <cols>
    <col min="1" max="1" width="16" customWidth="1"/>
    <col min="2" max="2" width="15" customWidth="1"/>
    <col min="5" max="5" width="12.1640625" bestFit="1" customWidth="1"/>
    <col min="6" max="6" width="22.33203125" bestFit="1" customWidth="1"/>
  </cols>
  <sheetData>
    <row r="1" spans="1:6" ht="30" x14ac:dyDescent="0.2">
      <c r="A1" s="4" t="s">
        <v>142</v>
      </c>
      <c r="B1" s="4" t="s">
        <v>138</v>
      </c>
    </row>
    <row r="2" spans="1:6" x14ac:dyDescent="0.2">
      <c r="A2" s="5" t="s">
        <v>159</v>
      </c>
      <c r="B2" s="5">
        <v>1</v>
      </c>
      <c r="E2" s="82" t="s">
        <v>1000</v>
      </c>
    </row>
    <row r="3" spans="1:6" x14ac:dyDescent="0.2">
      <c r="A3" s="8" t="s">
        <v>172</v>
      </c>
      <c r="B3" s="8">
        <v>2</v>
      </c>
      <c r="E3" s="81" t="s">
        <v>998</v>
      </c>
      <c r="F3" t="s">
        <v>997</v>
      </c>
    </row>
    <row r="4" spans="1:6" x14ac:dyDescent="0.2">
      <c r="A4" s="5" t="s">
        <v>183</v>
      </c>
      <c r="B4" s="5">
        <v>4</v>
      </c>
      <c r="E4" s="79" t="s">
        <v>205</v>
      </c>
      <c r="F4" s="80">
        <v>6.4722222222222223</v>
      </c>
    </row>
    <row r="5" spans="1:6" x14ac:dyDescent="0.2">
      <c r="A5" s="8" t="s">
        <v>193</v>
      </c>
      <c r="B5" s="8">
        <v>5</v>
      </c>
      <c r="E5" s="79" t="s">
        <v>265</v>
      </c>
      <c r="F5" s="80">
        <v>6.4375</v>
      </c>
    </row>
    <row r="6" spans="1:6" x14ac:dyDescent="0.2">
      <c r="A6" s="5" t="s">
        <v>205</v>
      </c>
      <c r="B6" s="5">
        <v>4</v>
      </c>
      <c r="E6" s="79" t="s">
        <v>336</v>
      </c>
      <c r="F6" s="80">
        <v>4.5</v>
      </c>
    </row>
    <row r="7" spans="1:6" x14ac:dyDescent="0.2">
      <c r="A7" s="8" t="s">
        <v>172</v>
      </c>
      <c r="B7" s="8">
        <v>1</v>
      </c>
      <c r="E7" s="79" t="s">
        <v>272</v>
      </c>
      <c r="F7" s="80">
        <v>6.5789473684210522</v>
      </c>
    </row>
    <row r="8" spans="1:6" x14ac:dyDescent="0.2">
      <c r="A8" s="5" t="s">
        <v>159</v>
      </c>
      <c r="B8" s="5">
        <v>4</v>
      </c>
      <c r="E8" s="79" t="s">
        <v>183</v>
      </c>
      <c r="F8" s="80">
        <v>6.6470588235294121</v>
      </c>
    </row>
    <row r="9" spans="1:6" x14ac:dyDescent="0.2">
      <c r="A9" s="8" t="s">
        <v>183</v>
      </c>
      <c r="B9" s="8">
        <v>2</v>
      </c>
      <c r="E9" s="85" t="s">
        <v>159</v>
      </c>
      <c r="F9" s="86">
        <v>6.8048780487804876</v>
      </c>
    </row>
    <row r="10" spans="1:6" x14ac:dyDescent="0.2">
      <c r="A10" s="5" t="s">
        <v>159</v>
      </c>
      <c r="B10" s="5">
        <v>6</v>
      </c>
      <c r="E10" s="79" t="s">
        <v>193</v>
      </c>
      <c r="F10" s="80">
        <v>6.6363636363636367</v>
      </c>
    </row>
    <row r="11" spans="1:6" x14ac:dyDescent="0.2">
      <c r="A11" s="8" t="s">
        <v>172</v>
      </c>
      <c r="B11" s="8">
        <v>10</v>
      </c>
      <c r="E11" s="85" t="s">
        <v>172</v>
      </c>
      <c r="F11" s="86">
        <v>6.6</v>
      </c>
    </row>
    <row r="12" spans="1:6" x14ac:dyDescent="0.2">
      <c r="A12" s="5" t="s">
        <v>193</v>
      </c>
      <c r="B12" s="5">
        <v>6</v>
      </c>
      <c r="E12" s="79" t="s">
        <v>999</v>
      </c>
      <c r="F12" s="80"/>
    </row>
    <row r="13" spans="1:6" x14ac:dyDescent="0.2">
      <c r="A13" s="8" t="s">
        <v>183</v>
      </c>
      <c r="B13" s="8">
        <v>7</v>
      </c>
      <c r="E13" s="79" t="s">
        <v>996</v>
      </c>
      <c r="F13" s="80">
        <v>6.53</v>
      </c>
    </row>
    <row r="14" spans="1:6" x14ac:dyDescent="0.2">
      <c r="A14" s="5" t="s">
        <v>265</v>
      </c>
      <c r="B14" s="5">
        <v>10</v>
      </c>
    </row>
    <row r="15" spans="1:6" x14ac:dyDescent="0.2">
      <c r="A15" s="8" t="s">
        <v>272</v>
      </c>
      <c r="B15" s="8">
        <v>10</v>
      </c>
    </row>
    <row r="16" spans="1:6" x14ac:dyDescent="0.2">
      <c r="A16" s="5" t="s">
        <v>159</v>
      </c>
      <c r="B16" s="5">
        <v>10</v>
      </c>
    </row>
    <row r="17" spans="1:2" x14ac:dyDescent="0.2">
      <c r="A17" s="8" t="s">
        <v>183</v>
      </c>
      <c r="B17" s="8">
        <v>2</v>
      </c>
    </row>
    <row r="18" spans="1:2" x14ac:dyDescent="0.2">
      <c r="A18" s="5" t="s">
        <v>172</v>
      </c>
      <c r="B18" s="5">
        <v>5</v>
      </c>
    </row>
    <row r="19" spans="1:2" x14ac:dyDescent="0.2">
      <c r="A19" s="8" t="s">
        <v>193</v>
      </c>
      <c r="B19" s="8">
        <v>5</v>
      </c>
    </row>
    <row r="20" spans="1:2" x14ac:dyDescent="0.2">
      <c r="A20" s="5" t="s">
        <v>183</v>
      </c>
      <c r="B20" s="5">
        <v>3</v>
      </c>
    </row>
    <row r="21" spans="1:2" x14ac:dyDescent="0.2">
      <c r="A21" s="8" t="s">
        <v>183</v>
      </c>
      <c r="B21" s="8">
        <v>11</v>
      </c>
    </row>
    <row r="22" spans="1:2" x14ac:dyDescent="0.2">
      <c r="A22" s="5" t="s">
        <v>205</v>
      </c>
      <c r="B22" s="5">
        <v>1</v>
      </c>
    </row>
    <row r="23" spans="1:2" x14ac:dyDescent="0.2">
      <c r="A23" s="8" t="s">
        <v>159</v>
      </c>
      <c r="B23" s="8">
        <v>7</v>
      </c>
    </row>
    <row r="24" spans="1:2" x14ac:dyDescent="0.2">
      <c r="A24" s="5" t="s">
        <v>272</v>
      </c>
      <c r="B24" s="5">
        <v>11</v>
      </c>
    </row>
    <row r="25" spans="1:2" x14ac:dyDescent="0.2">
      <c r="A25" s="8" t="s">
        <v>172</v>
      </c>
      <c r="B25" s="8">
        <v>4</v>
      </c>
    </row>
    <row r="26" spans="1:2" x14ac:dyDescent="0.2">
      <c r="A26" s="5" t="s">
        <v>159</v>
      </c>
      <c r="B26" s="5">
        <v>9</v>
      </c>
    </row>
    <row r="27" spans="1:2" x14ac:dyDescent="0.2">
      <c r="A27" s="8" t="s">
        <v>205</v>
      </c>
      <c r="B27" s="8">
        <v>2</v>
      </c>
    </row>
    <row r="28" spans="1:2" x14ac:dyDescent="0.2">
      <c r="A28" s="5" t="s">
        <v>183</v>
      </c>
      <c r="B28" s="5">
        <v>1</v>
      </c>
    </row>
    <row r="29" spans="1:2" x14ac:dyDescent="0.2">
      <c r="A29" s="8" t="s">
        <v>265</v>
      </c>
      <c r="B29" s="8">
        <v>10</v>
      </c>
    </row>
    <row r="30" spans="1:2" x14ac:dyDescent="0.2">
      <c r="A30" s="5" t="s">
        <v>336</v>
      </c>
      <c r="B30" s="5">
        <v>2</v>
      </c>
    </row>
    <row r="31" spans="1:2" x14ac:dyDescent="0.2">
      <c r="A31" s="8" t="s">
        <v>159</v>
      </c>
      <c r="B31" s="8">
        <v>12</v>
      </c>
    </row>
    <row r="32" spans="1:2" x14ac:dyDescent="0.2">
      <c r="A32" s="5" t="s">
        <v>159</v>
      </c>
      <c r="B32" s="5">
        <v>11</v>
      </c>
    </row>
    <row r="33" spans="1:2" x14ac:dyDescent="0.2">
      <c r="A33" s="8" t="s">
        <v>205</v>
      </c>
      <c r="B33" s="8">
        <v>8</v>
      </c>
    </row>
    <row r="34" spans="1:2" x14ac:dyDescent="0.2">
      <c r="A34" s="5" t="s">
        <v>205</v>
      </c>
      <c r="B34" s="5">
        <v>4</v>
      </c>
    </row>
    <row r="35" spans="1:2" x14ac:dyDescent="0.2">
      <c r="A35" s="8" t="s">
        <v>205</v>
      </c>
      <c r="B35" s="8">
        <v>1</v>
      </c>
    </row>
    <row r="36" spans="1:2" x14ac:dyDescent="0.2">
      <c r="A36" s="5" t="s">
        <v>272</v>
      </c>
      <c r="B36" s="5">
        <v>2</v>
      </c>
    </row>
    <row r="37" spans="1:2" x14ac:dyDescent="0.2">
      <c r="A37" s="8" t="s">
        <v>205</v>
      </c>
      <c r="B37" s="8">
        <v>3</v>
      </c>
    </row>
    <row r="38" spans="1:2" x14ac:dyDescent="0.2">
      <c r="A38" s="5" t="s">
        <v>159</v>
      </c>
      <c r="B38" s="5">
        <v>8</v>
      </c>
    </row>
    <row r="39" spans="1:2" x14ac:dyDescent="0.2">
      <c r="A39" s="8" t="s">
        <v>159</v>
      </c>
      <c r="B39" s="8">
        <v>8</v>
      </c>
    </row>
    <row r="40" spans="1:2" x14ac:dyDescent="0.2">
      <c r="A40" s="5" t="s">
        <v>193</v>
      </c>
      <c r="B40" s="5">
        <v>12</v>
      </c>
    </row>
    <row r="41" spans="1:2" x14ac:dyDescent="0.2">
      <c r="A41" s="8" t="s">
        <v>265</v>
      </c>
      <c r="B41" s="8">
        <v>11</v>
      </c>
    </row>
    <row r="42" spans="1:2" x14ac:dyDescent="0.2">
      <c r="A42" s="5" t="s">
        <v>265</v>
      </c>
      <c r="B42" s="5">
        <v>1</v>
      </c>
    </row>
    <row r="43" spans="1:2" x14ac:dyDescent="0.2">
      <c r="A43" s="8" t="s">
        <v>205</v>
      </c>
      <c r="B43" s="8">
        <v>11</v>
      </c>
    </row>
    <row r="44" spans="1:2" x14ac:dyDescent="0.2">
      <c r="A44" s="5" t="s">
        <v>205</v>
      </c>
      <c r="B44" s="5">
        <v>7</v>
      </c>
    </row>
    <row r="45" spans="1:2" x14ac:dyDescent="0.2">
      <c r="A45" s="8" t="s">
        <v>159</v>
      </c>
      <c r="B45" s="8">
        <v>10</v>
      </c>
    </row>
    <row r="46" spans="1:2" x14ac:dyDescent="0.2">
      <c r="A46" s="5" t="s">
        <v>183</v>
      </c>
      <c r="B46" s="5">
        <v>9</v>
      </c>
    </row>
    <row r="47" spans="1:2" x14ac:dyDescent="0.2">
      <c r="A47" s="8" t="s">
        <v>205</v>
      </c>
      <c r="B47" s="8">
        <v>8</v>
      </c>
    </row>
    <row r="48" spans="1:2" x14ac:dyDescent="0.2">
      <c r="A48" s="5" t="s">
        <v>159</v>
      </c>
      <c r="B48" s="5">
        <v>8</v>
      </c>
    </row>
    <row r="49" spans="1:2" x14ac:dyDescent="0.2">
      <c r="A49" s="8" t="s">
        <v>183</v>
      </c>
      <c r="B49" s="8">
        <v>5</v>
      </c>
    </row>
    <row r="50" spans="1:2" x14ac:dyDescent="0.2">
      <c r="A50" s="5" t="s">
        <v>272</v>
      </c>
      <c r="B50" s="5">
        <v>11</v>
      </c>
    </row>
    <row r="51" spans="1:2" x14ac:dyDescent="0.2">
      <c r="A51" s="8" t="s">
        <v>193</v>
      </c>
      <c r="B51" s="8">
        <v>7</v>
      </c>
    </row>
    <row r="52" spans="1:2" x14ac:dyDescent="0.2">
      <c r="A52" s="5" t="s">
        <v>336</v>
      </c>
      <c r="B52" s="5">
        <v>5</v>
      </c>
    </row>
    <row r="53" spans="1:2" x14ac:dyDescent="0.2">
      <c r="A53" s="8" t="s">
        <v>172</v>
      </c>
      <c r="B53" s="8">
        <v>11</v>
      </c>
    </row>
    <row r="54" spans="1:2" x14ac:dyDescent="0.2">
      <c r="A54" s="5" t="s">
        <v>183</v>
      </c>
      <c r="B54" s="5">
        <v>10</v>
      </c>
    </row>
    <row r="55" spans="1:2" x14ac:dyDescent="0.2">
      <c r="A55" s="8" t="s">
        <v>172</v>
      </c>
      <c r="B55" s="8">
        <v>2</v>
      </c>
    </row>
    <row r="56" spans="1:2" x14ac:dyDescent="0.2">
      <c r="A56" s="5" t="s">
        <v>159</v>
      </c>
      <c r="B56" s="5">
        <v>11</v>
      </c>
    </row>
    <row r="57" spans="1:2" x14ac:dyDescent="0.2">
      <c r="A57" s="8" t="s">
        <v>205</v>
      </c>
      <c r="B57" s="8">
        <v>2</v>
      </c>
    </row>
    <row r="58" spans="1:2" x14ac:dyDescent="0.2">
      <c r="A58" s="5" t="s">
        <v>336</v>
      </c>
      <c r="B58" s="5">
        <v>8</v>
      </c>
    </row>
    <row r="59" spans="1:2" x14ac:dyDescent="0.2">
      <c r="A59" s="8" t="s">
        <v>159</v>
      </c>
      <c r="B59" s="8">
        <v>3</v>
      </c>
    </row>
    <row r="60" spans="1:2" x14ac:dyDescent="0.2">
      <c r="A60" s="5" t="s">
        <v>193</v>
      </c>
      <c r="B60" s="5">
        <v>6</v>
      </c>
    </row>
    <row r="61" spans="1:2" x14ac:dyDescent="0.2">
      <c r="A61" s="8" t="s">
        <v>265</v>
      </c>
      <c r="B61" s="8">
        <v>11</v>
      </c>
    </row>
    <row r="62" spans="1:2" x14ac:dyDescent="0.2">
      <c r="A62" s="5" t="s">
        <v>183</v>
      </c>
      <c r="B62" s="5">
        <v>8</v>
      </c>
    </row>
    <row r="63" spans="1:2" x14ac:dyDescent="0.2">
      <c r="A63" s="8" t="s">
        <v>172</v>
      </c>
      <c r="B63" s="8">
        <v>3</v>
      </c>
    </row>
    <row r="64" spans="1:2" x14ac:dyDescent="0.2">
      <c r="A64" s="5" t="s">
        <v>159</v>
      </c>
      <c r="B64" s="5">
        <v>10</v>
      </c>
    </row>
    <row r="65" spans="1:2" x14ac:dyDescent="0.2">
      <c r="A65" s="8" t="s">
        <v>205</v>
      </c>
      <c r="B65" s="8">
        <v>10</v>
      </c>
    </row>
    <row r="66" spans="1:2" x14ac:dyDescent="0.2">
      <c r="A66" s="5" t="s">
        <v>193</v>
      </c>
      <c r="B66" s="5">
        <v>7</v>
      </c>
    </row>
    <row r="67" spans="1:2" x14ac:dyDescent="0.2">
      <c r="A67" s="8" t="s">
        <v>205</v>
      </c>
      <c r="B67" s="8">
        <v>5</v>
      </c>
    </row>
    <row r="68" spans="1:2" x14ac:dyDescent="0.2">
      <c r="A68" s="5" t="s">
        <v>272</v>
      </c>
      <c r="B68" s="5">
        <v>6</v>
      </c>
    </row>
    <row r="69" spans="1:2" x14ac:dyDescent="0.2">
      <c r="A69" s="8" t="s">
        <v>193</v>
      </c>
      <c r="B69" s="8">
        <v>10</v>
      </c>
    </row>
    <row r="70" spans="1:2" x14ac:dyDescent="0.2">
      <c r="A70" s="5" t="s">
        <v>265</v>
      </c>
      <c r="B70" s="5">
        <v>6</v>
      </c>
    </row>
    <row r="71" spans="1:2" x14ac:dyDescent="0.2">
      <c r="A71" s="8" t="s">
        <v>159</v>
      </c>
      <c r="B71" s="8">
        <v>11</v>
      </c>
    </row>
    <row r="72" spans="1:2" x14ac:dyDescent="0.2">
      <c r="A72" s="5" t="s">
        <v>265</v>
      </c>
      <c r="B72" s="5">
        <v>5</v>
      </c>
    </row>
    <row r="73" spans="1:2" x14ac:dyDescent="0.2">
      <c r="A73" s="8" t="s">
        <v>172</v>
      </c>
      <c r="B73" s="8">
        <v>3</v>
      </c>
    </row>
    <row r="74" spans="1:2" x14ac:dyDescent="0.2">
      <c r="A74" s="5" t="s">
        <v>265</v>
      </c>
      <c r="B74" s="5">
        <v>7</v>
      </c>
    </row>
    <row r="75" spans="1:2" x14ac:dyDescent="0.2">
      <c r="A75" s="8" t="s">
        <v>272</v>
      </c>
      <c r="B75" s="8">
        <v>9</v>
      </c>
    </row>
    <row r="76" spans="1:2" x14ac:dyDescent="0.2">
      <c r="A76" s="5" t="s">
        <v>159</v>
      </c>
      <c r="B76" s="5">
        <v>3</v>
      </c>
    </row>
    <row r="77" spans="1:2" x14ac:dyDescent="0.2">
      <c r="A77" s="8" t="s">
        <v>172</v>
      </c>
      <c r="B77" s="8">
        <v>6</v>
      </c>
    </row>
    <row r="78" spans="1:2" x14ac:dyDescent="0.2">
      <c r="A78" s="5" t="s">
        <v>265</v>
      </c>
      <c r="B78" s="5">
        <v>3</v>
      </c>
    </row>
    <row r="79" spans="1:2" x14ac:dyDescent="0.2">
      <c r="A79" s="8" t="s">
        <v>265</v>
      </c>
      <c r="B79" s="8">
        <v>8</v>
      </c>
    </row>
    <row r="80" spans="1:2" x14ac:dyDescent="0.2">
      <c r="A80" s="5" t="s">
        <v>183</v>
      </c>
      <c r="B80" s="5">
        <v>12</v>
      </c>
    </row>
    <row r="81" spans="1:2" x14ac:dyDescent="0.2">
      <c r="A81" s="8" t="s">
        <v>272</v>
      </c>
      <c r="B81" s="8">
        <v>8</v>
      </c>
    </row>
    <row r="82" spans="1:2" x14ac:dyDescent="0.2">
      <c r="A82" s="5" t="s">
        <v>272</v>
      </c>
      <c r="B82" s="5">
        <v>11</v>
      </c>
    </row>
    <row r="83" spans="1:2" x14ac:dyDescent="0.2">
      <c r="A83" s="8" t="s">
        <v>265</v>
      </c>
      <c r="B83" s="8">
        <v>3</v>
      </c>
    </row>
    <row r="84" spans="1:2" x14ac:dyDescent="0.2">
      <c r="A84" s="5" t="s">
        <v>172</v>
      </c>
      <c r="B84" s="5">
        <v>1</v>
      </c>
    </row>
    <row r="85" spans="1:2" x14ac:dyDescent="0.2">
      <c r="A85" s="8" t="s">
        <v>205</v>
      </c>
      <c r="B85" s="8">
        <v>7</v>
      </c>
    </row>
    <row r="86" spans="1:2" x14ac:dyDescent="0.2">
      <c r="A86" s="5" t="s">
        <v>205</v>
      </c>
      <c r="B86" s="5">
        <v>11</v>
      </c>
    </row>
    <row r="87" spans="1:2" x14ac:dyDescent="0.2">
      <c r="A87" s="8" t="s">
        <v>172</v>
      </c>
      <c r="B87" s="8">
        <v>8</v>
      </c>
    </row>
    <row r="88" spans="1:2" x14ac:dyDescent="0.2">
      <c r="A88" s="5" t="s">
        <v>193</v>
      </c>
      <c r="B88" s="5">
        <v>8</v>
      </c>
    </row>
    <row r="89" spans="1:2" x14ac:dyDescent="0.2">
      <c r="A89" s="8" t="s">
        <v>193</v>
      </c>
      <c r="B89" s="8">
        <v>12</v>
      </c>
    </row>
    <row r="90" spans="1:2" x14ac:dyDescent="0.2">
      <c r="A90" s="5" t="s">
        <v>172</v>
      </c>
      <c r="B90" s="5">
        <v>12</v>
      </c>
    </row>
    <row r="91" spans="1:2" x14ac:dyDescent="0.2">
      <c r="A91" s="8" t="s">
        <v>205</v>
      </c>
      <c r="B91" s="8">
        <v>1</v>
      </c>
    </row>
    <row r="92" spans="1:2" x14ac:dyDescent="0.2">
      <c r="A92" s="5" t="s">
        <v>159</v>
      </c>
      <c r="B92" s="5">
        <v>9</v>
      </c>
    </row>
    <row r="93" spans="1:2" x14ac:dyDescent="0.2">
      <c r="A93" s="8" t="s">
        <v>193</v>
      </c>
      <c r="B93" s="8">
        <v>11</v>
      </c>
    </row>
    <row r="94" spans="1:2" x14ac:dyDescent="0.2">
      <c r="A94" s="5" t="s">
        <v>205</v>
      </c>
      <c r="B94" s="5">
        <v>3</v>
      </c>
    </row>
    <row r="95" spans="1:2" x14ac:dyDescent="0.2">
      <c r="A95" s="8" t="s">
        <v>336</v>
      </c>
      <c r="B95" s="8">
        <v>6</v>
      </c>
    </row>
    <row r="96" spans="1:2" x14ac:dyDescent="0.2">
      <c r="A96" s="5" t="s">
        <v>193</v>
      </c>
      <c r="B96" s="5">
        <v>9</v>
      </c>
    </row>
    <row r="97" spans="1:2" x14ac:dyDescent="0.2">
      <c r="A97" s="8" t="s">
        <v>205</v>
      </c>
      <c r="B97" s="8">
        <v>10</v>
      </c>
    </row>
    <row r="98" spans="1:2" x14ac:dyDescent="0.2">
      <c r="A98" s="5" t="s">
        <v>193</v>
      </c>
      <c r="B98" s="5">
        <v>3</v>
      </c>
    </row>
    <row r="99" spans="1:2" x14ac:dyDescent="0.2">
      <c r="A99" s="8" t="s">
        <v>336</v>
      </c>
      <c r="B99" s="8">
        <v>5</v>
      </c>
    </row>
    <row r="100" spans="1:2" x14ac:dyDescent="0.2">
      <c r="A100" s="5" t="s">
        <v>205</v>
      </c>
      <c r="B100" s="5">
        <v>2</v>
      </c>
    </row>
    <row r="101" spans="1:2" x14ac:dyDescent="0.2">
      <c r="A101" s="8" t="s">
        <v>159</v>
      </c>
      <c r="B101" s="8">
        <v>3</v>
      </c>
    </row>
    <row r="102" spans="1:2" x14ac:dyDescent="0.2">
      <c r="A102" s="5" t="s">
        <v>205</v>
      </c>
      <c r="B102" s="5">
        <v>12</v>
      </c>
    </row>
    <row r="103" spans="1:2" x14ac:dyDescent="0.2">
      <c r="A103" s="8" t="s">
        <v>272</v>
      </c>
      <c r="B103" s="8">
        <v>2</v>
      </c>
    </row>
    <row r="104" spans="1:2" x14ac:dyDescent="0.2">
      <c r="A104" s="5" t="s">
        <v>193</v>
      </c>
      <c r="B104" s="5">
        <v>2</v>
      </c>
    </row>
    <row r="105" spans="1:2" x14ac:dyDescent="0.2">
      <c r="A105" s="8" t="s">
        <v>183</v>
      </c>
      <c r="B105" s="8">
        <v>9</v>
      </c>
    </row>
    <row r="106" spans="1:2" x14ac:dyDescent="0.2">
      <c r="A106" s="5" t="s">
        <v>205</v>
      </c>
      <c r="B106" s="5">
        <v>11</v>
      </c>
    </row>
    <row r="107" spans="1:2" x14ac:dyDescent="0.2">
      <c r="A107" s="8" t="s">
        <v>272</v>
      </c>
      <c r="B107" s="8">
        <v>7</v>
      </c>
    </row>
    <row r="108" spans="1:2" x14ac:dyDescent="0.2">
      <c r="A108" s="5" t="s">
        <v>272</v>
      </c>
      <c r="B108" s="5">
        <v>5</v>
      </c>
    </row>
    <row r="109" spans="1:2" x14ac:dyDescent="0.2">
      <c r="A109" s="8" t="s">
        <v>172</v>
      </c>
      <c r="B109" s="8">
        <v>12</v>
      </c>
    </row>
    <row r="110" spans="1:2" x14ac:dyDescent="0.2">
      <c r="A110" s="5" t="s">
        <v>193</v>
      </c>
      <c r="B110" s="5">
        <v>3</v>
      </c>
    </row>
    <row r="111" spans="1:2" x14ac:dyDescent="0.2">
      <c r="A111" s="8" t="s">
        <v>172</v>
      </c>
      <c r="B111" s="8">
        <v>5</v>
      </c>
    </row>
    <row r="112" spans="1:2" x14ac:dyDescent="0.2">
      <c r="A112" s="5" t="s">
        <v>205</v>
      </c>
      <c r="B112" s="5">
        <v>3</v>
      </c>
    </row>
    <row r="113" spans="1:2" x14ac:dyDescent="0.2">
      <c r="A113" s="8" t="s">
        <v>172</v>
      </c>
      <c r="B113" s="8">
        <v>8</v>
      </c>
    </row>
    <row r="114" spans="1:2" x14ac:dyDescent="0.2">
      <c r="A114" s="5" t="s">
        <v>193</v>
      </c>
      <c r="B114" s="5">
        <v>2</v>
      </c>
    </row>
    <row r="115" spans="1:2" x14ac:dyDescent="0.2">
      <c r="A115" s="8" t="s">
        <v>205</v>
      </c>
      <c r="B115" s="8">
        <v>5</v>
      </c>
    </row>
    <row r="116" spans="1:2" x14ac:dyDescent="0.2">
      <c r="A116" s="5" t="s">
        <v>193</v>
      </c>
      <c r="B116" s="5">
        <v>7</v>
      </c>
    </row>
    <row r="117" spans="1:2" x14ac:dyDescent="0.2">
      <c r="A117" s="8" t="s">
        <v>159</v>
      </c>
      <c r="B117" s="8">
        <v>2</v>
      </c>
    </row>
    <row r="118" spans="1:2" x14ac:dyDescent="0.2">
      <c r="A118" s="5" t="s">
        <v>272</v>
      </c>
      <c r="B118" s="5">
        <v>4</v>
      </c>
    </row>
    <row r="119" spans="1:2" x14ac:dyDescent="0.2">
      <c r="A119" s="8" t="s">
        <v>205</v>
      </c>
      <c r="B119" s="8">
        <v>12</v>
      </c>
    </row>
    <row r="120" spans="1:2" x14ac:dyDescent="0.2">
      <c r="A120" s="5" t="s">
        <v>205</v>
      </c>
      <c r="B120" s="5">
        <v>4</v>
      </c>
    </row>
    <row r="121" spans="1:2" x14ac:dyDescent="0.2">
      <c r="A121" s="8" t="s">
        <v>193</v>
      </c>
      <c r="B121" s="8">
        <v>2</v>
      </c>
    </row>
    <row r="122" spans="1:2" x14ac:dyDescent="0.2">
      <c r="A122" s="5" t="s">
        <v>159</v>
      </c>
      <c r="B122" s="5">
        <v>9</v>
      </c>
    </row>
    <row r="123" spans="1:2" x14ac:dyDescent="0.2">
      <c r="A123" s="8" t="s">
        <v>159</v>
      </c>
      <c r="B123" s="8">
        <v>7</v>
      </c>
    </row>
    <row r="124" spans="1:2" x14ac:dyDescent="0.2">
      <c r="A124" s="5" t="s">
        <v>193</v>
      </c>
      <c r="B124" s="5">
        <v>7</v>
      </c>
    </row>
    <row r="125" spans="1:2" x14ac:dyDescent="0.2">
      <c r="A125" s="8" t="s">
        <v>193</v>
      </c>
      <c r="B125" s="8">
        <v>3</v>
      </c>
    </row>
    <row r="126" spans="1:2" x14ac:dyDescent="0.2">
      <c r="A126" s="5" t="s">
        <v>159</v>
      </c>
      <c r="B126" s="5">
        <v>6</v>
      </c>
    </row>
    <row r="127" spans="1:2" x14ac:dyDescent="0.2">
      <c r="A127" s="8" t="s">
        <v>265</v>
      </c>
      <c r="B127" s="8">
        <v>7</v>
      </c>
    </row>
    <row r="128" spans="1:2" x14ac:dyDescent="0.2">
      <c r="A128" s="5" t="s">
        <v>205</v>
      </c>
      <c r="B128" s="5">
        <v>10</v>
      </c>
    </row>
    <row r="129" spans="1:2" x14ac:dyDescent="0.2">
      <c r="A129" s="8" t="s">
        <v>172</v>
      </c>
      <c r="B129" s="8">
        <v>5</v>
      </c>
    </row>
    <row r="130" spans="1:2" x14ac:dyDescent="0.2">
      <c r="A130" s="5" t="s">
        <v>159</v>
      </c>
      <c r="B130" s="5">
        <v>7</v>
      </c>
    </row>
    <row r="131" spans="1:2" x14ac:dyDescent="0.2">
      <c r="A131" s="8" t="s">
        <v>159</v>
      </c>
      <c r="B131" s="8">
        <v>7</v>
      </c>
    </row>
    <row r="132" spans="1:2" x14ac:dyDescent="0.2">
      <c r="A132" s="5" t="s">
        <v>272</v>
      </c>
      <c r="B132" s="5">
        <v>5</v>
      </c>
    </row>
    <row r="133" spans="1:2" x14ac:dyDescent="0.2">
      <c r="A133" s="8" t="s">
        <v>159</v>
      </c>
      <c r="B133" s="8">
        <v>4</v>
      </c>
    </row>
    <row r="134" spans="1:2" x14ac:dyDescent="0.2">
      <c r="A134" s="5" t="s">
        <v>159</v>
      </c>
      <c r="B134" s="5">
        <v>8</v>
      </c>
    </row>
    <row r="135" spans="1:2" x14ac:dyDescent="0.2">
      <c r="A135" s="8" t="s">
        <v>265</v>
      </c>
      <c r="B135" s="8">
        <v>2</v>
      </c>
    </row>
    <row r="136" spans="1:2" x14ac:dyDescent="0.2">
      <c r="A136" s="5" t="s">
        <v>272</v>
      </c>
      <c r="B136" s="5">
        <v>11</v>
      </c>
    </row>
    <row r="137" spans="1:2" x14ac:dyDescent="0.2">
      <c r="A137" s="8" t="s">
        <v>159</v>
      </c>
      <c r="B137" s="8">
        <v>8</v>
      </c>
    </row>
    <row r="138" spans="1:2" x14ac:dyDescent="0.2">
      <c r="A138" s="5" t="s">
        <v>205</v>
      </c>
      <c r="B138" s="5">
        <v>3</v>
      </c>
    </row>
    <row r="139" spans="1:2" x14ac:dyDescent="0.2">
      <c r="A139" s="8" t="s">
        <v>172</v>
      </c>
      <c r="B139" s="8">
        <v>5</v>
      </c>
    </row>
    <row r="140" spans="1:2" x14ac:dyDescent="0.2">
      <c r="A140" s="5" t="s">
        <v>205</v>
      </c>
      <c r="B140" s="5">
        <v>3</v>
      </c>
    </row>
    <row r="141" spans="1:2" x14ac:dyDescent="0.2">
      <c r="A141" s="8" t="s">
        <v>336</v>
      </c>
      <c r="B141" s="8">
        <v>1</v>
      </c>
    </row>
    <row r="142" spans="1:2" x14ac:dyDescent="0.2">
      <c r="A142" s="5" t="s">
        <v>172</v>
      </c>
      <c r="B142" s="5">
        <v>12</v>
      </c>
    </row>
    <row r="143" spans="1:2" x14ac:dyDescent="0.2">
      <c r="A143" s="8" t="s">
        <v>193</v>
      </c>
      <c r="B143" s="8">
        <v>5</v>
      </c>
    </row>
    <row r="144" spans="1:2" x14ac:dyDescent="0.2">
      <c r="A144" s="5" t="s">
        <v>205</v>
      </c>
      <c r="B144" s="5">
        <v>5</v>
      </c>
    </row>
    <row r="145" spans="1:2" x14ac:dyDescent="0.2">
      <c r="A145" s="8" t="s">
        <v>159</v>
      </c>
      <c r="B145" s="8">
        <v>5</v>
      </c>
    </row>
    <row r="146" spans="1:2" x14ac:dyDescent="0.2">
      <c r="A146" s="5" t="s">
        <v>272</v>
      </c>
      <c r="B146" s="5">
        <v>5</v>
      </c>
    </row>
    <row r="147" spans="1:2" x14ac:dyDescent="0.2">
      <c r="A147" s="8" t="s">
        <v>265</v>
      </c>
      <c r="B147" s="8">
        <v>3</v>
      </c>
    </row>
    <row r="148" spans="1:2" x14ac:dyDescent="0.2">
      <c r="A148" s="5" t="s">
        <v>159</v>
      </c>
      <c r="B148" s="5">
        <v>7</v>
      </c>
    </row>
    <row r="149" spans="1:2" x14ac:dyDescent="0.2">
      <c r="A149" s="8" t="s">
        <v>205</v>
      </c>
      <c r="B149" s="8">
        <v>12</v>
      </c>
    </row>
    <row r="150" spans="1:2" x14ac:dyDescent="0.2">
      <c r="A150" s="5" t="s">
        <v>159</v>
      </c>
      <c r="B150" s="5">
        <v>9</v>
      </c>
    </row>
    <row r="151" spans="1:2" x14ac:dyDescent="0.2">
      <c r="A151" s="8" t="s">
        <v>172</v>
      </c>
      <c r="B151" s="8">
        <v>10</v>
      </c>
    </row>
    <row r="152" spans="1:2" x14ac:dyDescent="0.2">
      <c r="A152" s="5" t="s">
        <v>205</v>
      </c>
      <c r="B152" s="5">
        <v>11</v>
      </c>
    </row>
    <row r="153" spans="1:2" x14ac:dyDescent="0.2">
      <c r="A153" s="8" t="s">
        <v>193</v>
      </c>
      <c r="B153" s="8">
        <v>10</v>
      </c>
    </row>
    <row r="154" spans="1:2" x14ac:dyDescent="0.2">
      <c r="A154" s="5" t="s">
        <v>205</v>
      </c>
      <c r="B154" s="5">
        <v>7</v>
      </c>
    </row>
    <row r="155" spans="1:2" x14ac:dyDescent="0.2">
      <c r="A155" s="8" t="s">
        <v>193</v>
      </c>
      <c r="B155" s="8">
        <v>12</v>
      </c>
    </row>
    <row r="156" spans="1:2" x14ac:dyDescent="0.2">
      <c r="A156" s="5" t="s">
        <v>193</v>
      </c>
      <c r="B156" s="5">
        <v>6</v>
      </c>
    </row>
    <row r="157" spans="1:2" x14ac:dyDescent="0.2">
      <c r="A157" s="8" t="s">
        <v>159</v>
      </c>
      <c r="B157" s="8">
        <v>5</v>
      </c>
    </row>
    <row r="158" spans="1:2" x14ac:dyDescent="0.2">
      <c r="A158" s="5" t="s">
        <v>193</v>
      </c>
      <c r="B158" s="5">
        <v>11</v>
      </c>
    </row>
    <row r="159" spans="1:2" x14ac:dyDescent="0.2">
      <c r="A159" s="8" t="s">
        <v>159</v>
      </c>
      <c r="B159" s="8">
        <v>9</v>
      </c>
    </row>
    <row r="160" spans="1:2" x14ac:dyDescent="0.2">
      <c r="A160" s="5" t="s">
        <v>193</v>
      </c>
      <c r="B160" s="5">
        <v>10</v>
      </c>
    </row>
    <row r="161" spans="1:2" x14ac:dyDescent="0.2">
      <c r="A161" s="8" t="s">
        <v>336</v>
      </c>
      <c r="B161" s="8">
        <v>6</v>
      </c>
    </row>
    <row r="162" spans="1:2" x14ac:dyDescent="0.2">
      <c r="A162" s="5" t="s">
        <v>193</v>
      </c>
      <c r="B162" s="5">
        <v>1</v>
      </c>
    </row>
    <row r="163" spans="1:2" x14ac:dyDescent="0.2">
      <c r="A163" s="8" t="s">
        <v>183</v>
      </c>
      <c r="B163" s="8">
        <v>1</v>
      </c>
    </row>
    <row r="164" spans="1:2" x14ac:dyDescent="0.2">
      <c r="A164" s="5" t="s">
        <v>265</v>
      </c>
      <c r="B164" s="5">
        <v>5</v>
      </c>
    </row>
    <row r="165" spans="1:2" x14ac:dyDescent="0.2">
      <c r="A165" s="8" t="s">
        <v>205</v>
      </c>
      <c r="B165" s="8">
        <v>8</v>
      </c>
    </row>
    <row r="166" spans="1:2" x14ac:dyDescent="0.2">
      <c r="A166" s="5" t="s">
        <v>172</v>
      </c>
      <c r="B166" s="5">
        <v>11</v>
      </c>
    </row>
    <row r="167" spans="1:2" x14ac:dyDescent="0.2">
      <c r="A167" s="8" t="s">
        <v>193</v>
      </c>
      <c r="B167" s="8">
        <v>10</v>
      </c>
    </row>
    <row r="168" spans="1:2" x14ac:dyDescent="0.2">
      <c r="A168" s="5" t="s">
        <v>336</v>
      </c>
      <c r="B168" s="5">
        <v>3</v>
      </c>
    </row>
    <row r="169" spans="1:2" x14ac:dyDescent="0.2">
      <c r="A169" s="8" t="s">
        <v>205</v>
      </c>
      <c r="B169" s="8">
        <v>12</v>
      </c>
    </row>
    <row r="170" spans="1:2" x14ac:dyDescent="0.2">
      <c r="A170" s="5" t="s">
        <v>193</v>
      </c>
      <c r="B170" s="5">
        <v>8</v>
      </c>
    </row>
    <row r="171" spans="1:2" x14ac:dyDescent="0.2">
      <c r="A171" s="8" t="s">
        <v>159</v>
      </c>
      <c r="B171" s="8">
        <v>12</v>
      </c>
    </row>
    <row r="172" spans="1:2" x14ac:dyDescent="0.2">
      <c r="A172" s="5" t="s">
        <v>193</v>
      </c>
      <c r="B172" s="5">
        <v>5</v>
      </c>
    </row>
    <row r="173" spans="1:2" x14ac:dyDescent="0.2">
      <c r="A173" s="8" t="s">
        <v>272</v>
      </c>
      <c r="B173" s="8">
        <v>4</v>
      </c>
    </row>
    <row r="174" spans="1:2" x14ac:dyDescent="0.2">
      <c r="A174" s="5" t="s">
        <v>159</v>
      </c>
      <c r="B174" s="5">
        <v>4</v>
      </c>
    </row>
    <row r="175" spans="1:2" x14ac:dyDescent="0.2">
      <c r="A175" s="8" t="s">
        <v>172</v>
      </c>
      <c r="B175" s="8">
        <v>8</v>
      </c>
    </row>
    <row r="176" spans="1:2" x14ac:dyDescent="0.2">
      <c r="A176" s="5" t="s">
        <v>205</v>
      </c>
      <c r="B176" s="5">
        <v>4</v>
      </c>
    </row>
    <row r="177" spans="1:2" x14ac:dyDescent="0.2">
      <c r="A177" s="8" t="s">
        <v>183</v>
      </c>
      <c r="B177" s="8">
        <v>11</v>
      </c>
    </row>
    <row r="178" spans="1:2" x14ac:dyDescent="0.2">
      <c r="A178" s="5" t="s">
        <v>172</v>
      </c>
      <c r="B178" s="5">
        <v>10</v>
      </c>
    </row>
    <row r="179" spans="1:2" x14ac:dyDescent="0.2">
      <c r="A179" s="8" t="s">
        <v>183</v>
      </c>
      <c r="B179" s="8">
        <v>12</v>
      </c>
    </row>
    <row r="180" spans="1:2" x14ac:dyDescent="0.2">
      <c r="A180" s="5" t="s">
        <v>193</v>
      </c>
      <c r="B180" s="5">
        <v>11</v>
      </c>
    </row>
    <row r="181" spans="1:2" x14ac:dyDescent="0.2">
      <c r="A181" s="8" t="s">
        <v>159</v>
      </c>
      <c r="B181" s="8">
        <v>4</v>
      </c>
    </row>
    <row r="182" spans="1:2" x14ac:dyDescent="0.2">
      <c r="A182" s="5" t="s">
        <v>172</v>
      </c>
      <c r="B182" s="5">
        <v>9</v>
      </c>
    </row>
    <row r="183" spans="1:2" x14ac:dyDescent="0.2">
      <c r="A183" s="8" t="s">
        <v>159</v>
      </c>
      <c r="B183" s="8">
        <v>1</v>
      </c>
    </row>
    <row r="184" spans="1:2" x14ac:dyDescent="0.2">
      <c r="A184" s="5" t="s">
        <v>159</v>
      </c>
      <c r="B184" s="5">
        <v>2</v>
      </c>
    </row>
    <row r="185" spans="1:2" x14ac:dyDescent="0.2">
      <c r="A185" s="8" t="s">
        <v>272</v>
      </c>
      <c r="B185" s="8">
        <v>4</v>
      </c>
    </row>
    <row r="186" spans="1:2" x14ac:dyDescent="0.2">
      <c r="A186" s="5" t="s">
        <v>172</v>
      </c>
      <c r="B186" s="5">
        <v>9</v>
      </c>
    </row>
    <row r="187" spans="1:2" x14ac:dyDescent="0.2">
      <c r="A187" s="8" t="s">
        <v>172</v>
      </c>
      <c r="B187" s="8">
        <v>6</v>
      </c>
    </row>
    <row r="188" spans="1:2" x14ac:dyDescent="0.2">
      <c r="A188" s="5" t="s">
        <v>205</v>
      </c>
      <c r="B188" s="5">
        <v>11</v>
      </c>
    </row>
    <row r="189" spans="1:2" x14ac:dyDescent="0.2">
      <c r="A189" s="8" t="s">
        <v>159</v>
      </c>
      <c r="B189" s="8">
        <v>3</v>
      </c>
    </row>
    <row r="190" spans="1:2" x14ac:dyDescent="0.2">
      <c r="A190" s="5" t="s">
        <v>172</v>
      </c>
      <c r="B190" s="5">
        <v>4</v>
      </c>
    </row>
    <row r="191" spans="1:2" x14ac:dyDescent="0.2">
      <c r="A191" s="8" t="s">
        <v>272</v>
      </c>
      <c r="B191" s="8">
        <v>1</v>
      </c>
    </row>
    <row r="192" spans="1:2" x14ac:dyDescent="0.2">
      <c r="A192" s="5" t="s">
        <v>272</v>
      </c>
      <c r="B192" s="5">
        <v>9</v>
      </c>
    </row>
    <row r="193" spans="1:2" x14ac:dyDescent="0.2">
      <c r="A193" s="8" t="s">
        <v>193</v>
      </c>
      <c r="B193" s="8">
        <v>2</v>
      </c>
    </row>
    <row r="194" spans="1:2" x14ac:dyDescent="0.2">
      <c r="A194" s="5" t="s">
        <v>172</v>
      </c>
      <c r="B194" s="5">
        <v>2</v>
      </c>
    </row>
    <row r="195" spans="1:2" x14ac:dyDescent="0.2">
      <c r="A195" s="8" t="s">
        <v>193</v>
      </c>
      <c r="B195" s="8">
        <v>1</v>
      </c>
    </row>
    <row r="196" spans="1:2" x14ac:dyDescent="0.2">
      <c r="A196" s="5" t="s">
        <v>265</v>
      </c>
      <c r="B196" s="5">
        <v>11</v>
      </c>
    </row>
    <row r="197" spans="1:2" x14ac:dyDescent="0.2">
      <c r="A197" s="8" t="s">
        <v>172</v>
      </c>
      <c r="B197" s="8">
        <v>7</v>
      </c>
    </row>
    <row r="198" spans="1:2" x14ac:dyDescent="0.2">
      <c r="A198" s="5" t="s">
        <v>183</v>
      </c>
      <c r="B198" s="5">
        <v>6</v>
      </c>
    </row>
    <row r="199" spans="1:2" x14ac:dyDescent="0.2">
      <c r="A199" s="8" t="s">
        <v>159</v>
      </c>
      <c r="B199" s="8">
        <v>12</v>
      </c>
    </row>
    <row r="200" spans="1:2" x14ac:dyDescent="0.2">
      <c r="A200" s="5" t="s">
        <v>159</v>
      </c>
      <c r="B200" s="5">
        <v>4</v>
      </c>
    </row>
    <row r="201" spans="1:2" x14ac:dyDescent="0.2">
      <c r="A201" s="8" t="s">
        <v>172</v>
      </c>
      <c r="B201" s="8">
        <v>7</v>
      </c>
    </row>
  </sheetData>
  <autoFilter ref="A1:B201" xr:uid="{8E3D403A-D1DA-1D4D-82A1-8CA0CAF5FA2F}"/>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71B69-85F8-1F4B-A72D-BB74C892C561}">
  <dimension ref="A1:H9"/>
  <sheetViews>
    <sheetView workbookViewId="0">
      <selection activeCell="C12" sqref="C12"/>
    </sheetView>
  </sheetViews>
  <sheetFormatPr baseColWidth="10" defaultRowHeight="15" x14ac:dyDescent="0.2"/>
  <cols>
    <col min="1" max="1" width="23" bestFit="1" customWidth="1"/>
    <col min="2" max="7" width="12.1640625" bestFit="1" customWidth="1"/>
    <col min="8" max="8" width="10" bestFit="1" customWidth="1"/>
  </cols>
  <sheetData>
    <row r="1" spans="1:8" ht="17" x14ac:dyDescent="0.2">
      <c r="A1" s="83" t="s">
        <v>68</v>
      </c>
    </row>
    <row r="2" spans="1:8" x14ac:dyDescent="0.2">
      <c r="A2" s="81" t="s">
        <v>995</v>
      </c>
      <c r="B2" s="81" t="s">
        <v>130</v>
      </c>
    </row>
    <row r="3" spans="1:8" x14ac:dyDescent="0.2">
      <c r="A3" s="81" t="s">
        <v>994</v>
      </c>
      <c r="B3" t="s">
        <v>150</v>
      </c>
      <c r="C3" t="s">
        <v>209</v>
      </c>
      <c r="D3" t="s">
        <v>234</v>
      </c>
      <c r="E3" t="s">
        <v>198</v>
      </c>
      <c r="F3" t="s">
        <v>227</v>
      </c>
      <c r="G3" t="s">
        <v>217</v>
      </c>
      <c r="H3" t="s">
        <v>996</v>
      </c>
    </row>
    <row r="4" spans="1:8" x14ac:dyDescent="0.2">
      <c r="A4" t="s">
        <v>188</v>
      </c>
      <c r="B4" s="80">
        <v>40</v>
      </c>
      <c r="C4" s="80">
        <v>15</v>
      </c>
      <c r="D4" s="80">
        <v>8</v>
      </c>
      <c r="E4" s="80">
        <v>4</v>
      </c>
      <c r="F4" s="80"/>
      <c r="G4" s="80">
        <v>2</v>
      </c>
      <c r="H4" s="80">
        <v>69</v>
      </c>
    </row>
    <row r="5" spans="1:8" x14ac:dyDescent="0.2">
      <c r="A5" t="s">
        <v>244</v>
      </c>
      <c r="B5" s="80">
        <v>23</v>
      </c>
      <c r="C5" s="80">
        <v>12</v>
      </c>
      <c r="D5" s="80">
        <v>6</v>
      </c>
      <c r="E5" s="80">
        <v>4</v>
      </c>
      <c r="F5" s="80">
        <v>5</v>
      </c>
      <c r="G5" s="80">
        <v>4</v>
      </c>
      <c r="H5" s="80">
        <v>54</v>
      </c>
    </row>
    <row r="6" spans="1:8" x14ac:dyDescent="0.2">
      <c r="A6" t="s">
        <v>153</v>
      </c>
      <c r="B6" s="80">
        <v>19</v>
      </c>
      <c r="C6" s="80">
        <v>6</v>
      </c>
      <c r="D6" s="80">
        <v>6</v>
      </c>
      <c r="E6" s="80">
        <v>6</v>
      </c>
      <c r="F6" s="80">
        <v>3</v>
      </c>
      <c r="G6" s="80">
        <v>4</v>
      </c>
      <c r="H6" s="80">
        <v>44</v>
      </c>
    </row>
    <row r="7" spans="1:8" x14ac:dyDescent="0.2">
      <c r="A7" t="s">
        <v>228</v>
      </c>
      <c r="B7" s="80">
        <v>6</v>
      </c>
      <c r="C7" s="80">
        <v>3</v>
      </c>
      <c r="D7" s="80">
        <v>5</v>
      </c>
      <c r="E7" s="80">
        <v>2</v>
      </c>
      <c r="F7" s="80">
        <v>2</v>
      </c>
      <c r="G7" s="80"/>
      <c r="H7" s="80">
        <v>18</v>
      </c>
    </row>
    <row r="8" spans="1:8" x14ac:dyDescent="0.2">
      <c r="A8" t="s">
        <v>220</v>
      </c>
      <c r="B8" s="80">
        <v>7</v>
      </c>
      <c r="C8" s="80">
        <v>3</v>
      </c>
      <c r="D8" s="80">
        <v>3</v>
      </c>
      <c r="E8" s="80"/>
      <c r="F8" s="80">
        <v>1</v>
      </c>
      <c r="G8" s="80">
        <v>1</v>
      </c>
      <c r="H8" s="80">
        <v>15</v>
      </c>
    </row>
    <row r="9" spans="1:8" x14ac:dyDescent="0.2">
      <c r="A9" t="s">
        <v>996</v>
      </c>
      <c r="B9" s="80">
        <v>95</v>
      </c>
      <c r="C9" s="80">
        <v>39</v>
      </c>
      <c r="D9" s="80">
        <v>28</v>
      </c>
      <c r="E9" s="80">
        <v>16</v>
      </c>
      <c r="F9" s="80">
        <v>11</v>
      </c>
      <c r="G9" s="80">
        <v>11</v>
      </c>
      <c r="H9" s="80">
        <v>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9FFE2-9023-9F4B-8C15-B572798D1479}">
  <dimension ref="A1:F11"/>
  <sheetViews>
    <sheetView zoomScale="150" workbookViewId="0">
      <selection activeCell="A12" sqref="A12"/>
    </sheetView>
  </sheetViews>
  <sheetFormatPr baseColWidth="10" defaultRowHeight="15" x14ac:dyDescent="0.2"/>
  <cols>
    <col min="1" max="1" width="28.6640625" bestFit="1" customWidth="1"/>
    <col min="2" max="5" width="12.1640625" bestFit="1" customWidth="1"/>
    <col min="6" max="6" width="11.83203125" bestFit="1" customWidth="1"/>
  </cols>
  <sheetData>
    <row r="1" spans="1:6" ht="17" x14ac:dyDescent="0.2">
      <c r="A1" s="89" t="s">
        <v>63</v>
      </c>
    </row>
    <row r="2" spans="1:6" x14ac:dyDescent="0.2">
      <c r="A2" s="81" t="s">
        <v>1001</v>
      </c>
      <c r="B2" s="81" t="s">
        <v>141</v>
      </c>
    </row>
    <row r="3" spans="1:6" x14ac:dyDescent="0.2">
      <c r="A3" s="81" t="s">
        <v>994</v>
      </c>
      <c r="B3" s="90" t="s">
        <v>204</v>
      </c>
      <c r="C3" t="s">
        <v>158</v>
      </c>
      <c r="D3" t="s">
        <v>171</v>
      </c>
      <c r="E3" t="s">
        <v>192</v>
      </c>
      <c r="F3" t="s">
        <v>996</v>
      </c>
    </row>
    <row r="4" spans="1:6" x14ac:dyDescent="0.2">
      <c r="A4" t="s">
        <v>228</v>
      </c>
      <c r="B4" s="91">
        <v>294432500</v>
      </c>
      <c r="C4" s="88">
        <v>265183600</v>
      </c>
      <c r="D4" s="88">
        <v>224377250</v>
      </c>
      <c r="E4" s="88">
        <v>381454000</v>
      </c>
      <c r="F4" s="88">
        <v>275574500</v>
      </c>
    </row>
    <row r="5" spans="1:6" x14ac:dyDescent="0.2">
      <c r="A5" t="s">
        <v>244</v>
      </c>
      <c r="B5" s="91">
        <v>28605222.222222224</v>
      </c>
      <c r="C5" s="88">
        <v>27444615.384615384</v>
      </c>
      <c r="D5" s="88">
        <v>30842000</v>
      </c>
      <c r="E5" s="88">
        <v>28872352.94117647</v>
      </c>
      <c r="F5" s="88">
        <v>28658444.444444444</v>
      </c>
    </row>
    <row r="6" spans="1:6" x14ac:dyDescent="0.2">
      <c r="A6" t="s">
        <v>188</v>
      </c>
      <c r="B6" s="91">
        <v>7993818.1818181816</v>
      </c>
      <c r="C6" s="88">
        <v>8011062.5</v>
      </c>
      <c r="D6" s="88">
        <v>7419466.666666667</v>
      </c>
      <c r="E6" s="88">
        <v>7961666.666666667</v>
      </c>
      <c r="F6" s="88">
        <v>7860376.8115942031</v>
      </c>
    </row>
    <row r="7" spans="1:6" x14ac:dyDescent="0.2">
      <c r="A7" t="s">
        <v>153</v>
      </c>
      <c r="B7" s="91">
        <v>3214444.4444444445</v>
      </c>
      <c r="C7" s="88">
        <v>3656000</v>
      </c>
      <c r="D7" s="88">
        <v>3225555.5555555555</v>
      </c>
      <c r="E7" s="88">
        <v>3372000</v>
      </c>
      <c r="F7" s="88">
        <v>3406636.3636363638</v>
      </c>
    </row>
    <row r="8" spans="1:6" x14ac:dyDescent="0.2">
      <c r="A8" t="s">
        <v>220</v>
      </c>
      <c r="B8" s="91">
        <v>1370000</v>
      </c>
      <c r="C8" s="88">
        <v>1365200</v>
      </c>
      <c r="D8" s="88">
        <v>1090875</v>
      </c>
      <c r="E8" s="88"/>
      <c r="F8" s="88">
        <v>1219533.3333333333</v>
      </c>
    </row>
    <row r="9" spans="1:6" x14ac:dyDescent="0.2">
      <c r="A9" t="s">
        <v>996</v>
      </c>
      <c r="B9" s="91">
        <v>62290750</v>
      </c>
      <c r="C9" s="88">
        <v>34676685.185185187</v>
      </c>
      <c r="D9" s="88">
        <v>29324047.619047619</v>
      </c>
      <c r="E9" s="88">
        <v>20077517.857142858</v>
      </c>
      <c r="F9" s="88">
        <v>36092240</v>
      </c>
    </row>
    <row r="11" spans="1:6" x14ac:dyDescent="0.2">
      <c r="A11" s="82" t="s">
        <v>1002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Cover</vt:lpstr>
      <vt:lpstr>Analysis Brief</vt:lpstr>
      <vt:lpstr>Prospect Data</vt:lpstr>
      <vt:lpstr>Scoring Model</vt:lpstr>
      <vt:lpstr>Pipeline Dashboard</vt:lpstr>
      <vt:lpstr>Segment Analysis</vt:lpstr>
      <vt:lpstr>Assumptions &amp; Notes</vt:lpstr>
      <vt:lpstr>Average calc + written finding</vt:lpstr>
      <vt:lpstr>Geographic Summary table</vt:lpstr>
      <vt:lpstr>Avg Net worth vs Risk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Owami Omphile Monaheng</cp:lastModifiedBy>
  <dcterms:created xsi:type="dcterms:W3CDTF">2026-04-07T21:00:41Z</dcterms:created>
  <dcterms:modified xsi:type="dcterms:W3CDTF">2026-04-09T02:46:04Z</dcterms:modified>
</cp:coreProperties>
</file>