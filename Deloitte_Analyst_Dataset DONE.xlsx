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hidePivotFieldList="1"/>
  <mc:AlternateContent xmlns:mc="http://schemas.openxmlformats.org/markup-compatibility/2006">
    <mc:Choice Requires="x15">
      <x15ac:absPath xmlns:x15ac="http://schemas.microsoft.com/office/spreadsheetml/2010/11/ac" url="/Users/Owami/Downloads/"/>
    </mc:Choice>
  </mc:AlternateContent>
  <xr:revisionPtr revIDLastSave="0" documentId="8_{D4501BBC-5E8E-0A42-8832-008D479DFCE7}" xr6:coauthVersionLast="47" xr6:coauthVersionMax="47" xr10:uidLastSave="{00000000-0000-0000-0000-000000000000}"/>
  <bookViews>
    <workbookView xWindow="0" yWindow="500" windowWidth="28800" windowHeight="17500" tabRatio="500" activeTab="1" xr2:uid="{00000000-000D-0000-FFFF-FFFF00000000}"/>
  </bookViews>
  <sheets>
    <sheet name="Analysis Tasks" sheetId="6" r:id="rId1"/>
    <sheet name="Store Performance" sheetId="1" r:id="rId2"/>
    <sheet name="Customer Analytics" sheetId="2" r:id="rId3"/>
    <sheet name="Operations Data" sheetId="3" r:id="rId4"/>
    <sheet name="Market Analysis" sheetId="4" r:id="rId5"/>
    <sheet name="Product Categories" sheetId="5" r:id="rId6"/>
    <sheet name="Forecasting" sheetId="9" r:id="rId7"/>
  </sheets>
  <definedNames>
    <definedName name="_xlchart.v1.0" hidden="1">'Operations Data'!$B$1</definedName>
    <definedName name="_xlchart.v1.1" hidden="1">'Operations Data'!$B$2:$B$11</definedName>
    <definedName name="_xlchart.v1.10" hidden="1">'Operations Data'!$J$1</definedName>
    <definedName name="_xlchart.v1.11" hidden="1">'Operations Data'!$J$2:$J$11</definedName>
    <definedName name="_xlchart.v1.12" hidden="1">'Operations Data'!$B$1</definedName>
    <definedName name="_xlchart.v1.13" hidden="1">'Operations Data'!$B$2:$B$11</definedName>
    <definedName name="_xlchart.v1.14" hidden="1">'Operations Data'!$C$1</definedName>
    <definedName name="_xlchart.v1.15" hidden="1">'Operations Data'!$C$2:$C$11</definedName>
    <definedName name="_xlchart.v1.16" hidden="1">'Operations Data'!$J$1</definedName>
    <definedName name="_xlchart.v1.17" hidden="1">'Operations Data'!$J$2:$J$11</definedName>
    <definedName name="_xlchart.v1.18" hidden="1">'Operations Data'!$B$1</definedName>
    <definedName name="_xlchart.v1.19" hidden="1">'Operations Data'!$B$2:$B$11</definedName>
    <definedName name="_xlchart.v1.2" hidden="1">'Operations Data'!$C$1</definedName>
    <definedName name="_xlchart.v1.20" hidden="1">'Operations Data'!$C$1</definedName>
    <definedName name="_xlchart.v1.21" hidden="1">'Operations Data'!$C$2:$C$11</definedName>
    <definedName name="_xlchart.v1.22" hidden="1">'Operations Data'!$J$1</definedName>
    <definedName name="_xlchart.v1.23" hidden="1">'Operations Data'!$J$2:$J$11</definedName>
    <definedName name="_xlchart.v1.24" hidden="1">'Operations Data'!$B$1</definedName>
    <definedName name="_xlchart.v1.25" hidden="1">'Operations Data'!$B$2:$B$11</definedName>
    <definedName name="_xlchart.v1.26" hidden="1">'Operations Data'!$C$1</definedName>
    <definedName name="_xlchart.v1.27" hidden="1">'Operations Data'!$C$2:$C$11</definedName>
    <definedName name="_xlchart.v1.28" hidden="1">'Operations Data'!$J$1</definedName>
    <definedName name="_xlchart.v1.29" hidden="1">'Operations Data'!$J$2:$J$11</definedName>
    <definedName name="_xlchart.v1.3" hidden="1">'Operations Data'!$C$2:$C$11</definedName>
    <definedName name="_xlchart.v1.30" hidden="1">'Operations Data'!$B$1</definedName>
    <definedName name="_xlchart.v1.31" hidden="1">'Operations Data'!$B$2:$B$11</definedName>
    <definedName name="_xlchart.v1.32" hidden="1">'Operations Data'!$C$1</definedName>
    <definedName name="_xlchart.v1.33" hidden="1">'Operations Data'!$C$2:$C$11</definedName>
    <definedName name="_xlchart.v1.34" hidden="1">'Operations Data'!$J$1</definedName>
    <definedName name="_xlchart.v1.35" hidden="1">'Operations Data'!$J$2:$J$11</definedName>
    <definedName name="_xlchart.v1.4" hidden="1">'Operations Data'!$J$1</definedName>
    <definedName name="_xlchart.v1.5" hidden="1">'Operations Data'!$J$2:$J$11</definedName>
    <definedName name="_xlchart.v1.6" hidden="1">'Operations Data'!$B$1</definedName>
    <definedName name="_xlchart.v1.7" hidden="1">'Operations Data'!$B$2:$B$11</definedName>
    <definedName name="_xlchart.v1.8" hidden="1">'Operations Data'!$C$1</definedName>
    <definedName name="_xlchart.v1.9" hidden="1">'Operations Data'!$C$2:$C$11</definedName>
  </definedNames>
  <calcPr calcId="191029" iterateDelta="1E-4"/>
  <pivotCaches>
    <pivotCache cacheId="62" r:id="rId8"/>
    <pivotCache cacheId="7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9" l="1"/>
  <c r="K7" i="9"/>
  <c r="L7" i="9" s="1"/>
  <c r="J7" i="9"/>
  <c r="M6" i="9"/>
  <c r="K6" i="9"/>
  <c r="L6" i="9" s="1"/>
  <c r="J6" i="9"/>
  <c r="M5" i="9"/>
  <c r="K5" i="9"/>
  <c r="L5" i="9" s="1"/>
  <c r="J5" i="9"/>
  <c r="M4" i="9"/>
  <c r="K4" i="9"/>
  <c r="L4" i="9" s="1"/>
  <c r="J4" i="9"/>
  <c r="M3" i="9"/>
  <c r="K3" i="9"/>
  <c r="L3" i="9" s="1"/>
  <c r="J3" i="9"/>
  <c r="M2" i="9"/>
  <c r="K2" i="9"/>
  <c r="L2" i="9" s="1"/>
  <c r="J2" i="9"/>
  <c r="H12" i="3"/>
  <c r="M7" i="5"/>
  <c r="K7" i="5"/>
  <c r="L7" i="5" s="1"/>
  <c r="J7" i="5"/>
  <c r="M6" i="5"/>
  <c r="L6" i="5"/>
  <c r="K6" i="5"/>
  <c r="J6" i="5"/>
  <c r="M5" i="5"/>
  <c r="L5" i="5"/>
  <c r="K5" i="5"/>
  <c r="J5" i="5"/>
  <c r="M4" i="5"/>
  <c r="L4" i="5"/>
  <c r="K4" i="5"/>
  <c r="J4" i="5"/>
  <c r="M3" i="5"/>
  <c r="L3" i="5"/>
  <c r="K3" i="5"/>
  <c r="J3" i="5"/>
  <c r="M2" i="5"/>
  <c r="L2" i="5"/>
  <c r="K2" i="5"/>
  <c r="J2" i="5"/>
  <c r="E7" i="4"/>
  <c r="E6" i="4"/>
  <c r="E5" i="4"/>
  <c r="E4" i="4"/>
  <c r="E3" i="4"/>
  <c r="E2" i="4"/>
  <c r="J11" i="3"/>
  <c r="F11" i="3"/>
  <c r="D11" i="3"/>
  <c r="J10" i="3"/>
  <c r="F10" i="3"/>
  <c r="D10" i="3"/>
  <c r="J9" i="3"/>
  <c r="F9" i="3"/>
  <c r="D9" i="3"/>
  <c r="J8" i="3"/>
  <c r="F8" i="3"/>
  <c r="D8" i="3"/>
  <c r="J7" i="3"/>
  <c r="F7" i="3"/>
  <c r="D7" i="3"/>
  <c r="J6" i="3"/>
  <c r="F6" i="3"/>
  <c r="D6" i="3"/>
  <c r="J5" i="3"/>
  <c r="F5" i="3"/>
  <c r="D5" i="3"/>
  <c r="J4" i="3"/>
  <c r="F4" i="3"/>
  <c r="D4" i="3"/>
  <c r="J3" i="3"/>
  <c r="F3" i="3"/>
  <c r="D3" i="3"/>
  <c r="J2" i="3"/>
  <c r="F2" i="3"/>
  <c r="D2" i="3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E4" i="2"/>
  <c r="J3" i="2"/>
  <c r="H3" i="2"/>
  <c r="E3" i="2"/>
  <c r="D3" i="2"/>
  <c r="D4" i="2" s="1"/>
  <c r="J2" i="2"/>
  <c r="H2" i="2"/>
  <c r="E2" i="2"/>
  <c r="H11" i="1"/>
  <c r="H10" i="1"/>
  <c r="I10" i="1" s="1"/>
  <c r="H9" i="1"/>
  <c r="H8" i="1"/>
  <c r="H7" i="1"/>
  <c r="I7" i="1" s="1"/>
  <c r="J7" i="1" s="1"/>
  <c r="H6" i="1"/>
  <c r="H5" i="1"/>
  <c r="I5" i="1" s="1"/>
  <c r="J5" i="1" s="1"/>
  <c r="H4" i="1"/>
  <c r="I4" i="1" s="1"/>
  <c r="H3" i="1"/>
  <c r="I3" i="1" s="1"/>
  <c r="J3" i="1" s="1"/>
  <c r="H2" i="1"/>
  <c r="I2" i="1" s="1"/>
  <c r="M3" i="1" l="1"/>
  <c r="L3" i="1"/>
  <c r="N3" i="1" s="1"/>
  <c r="L7" i="1"/>
  <c r="N7" i="1" s="1"/>
  <c r="M7" i="1"/>
  <c r="E5" i="2"/>
  <c r="D5" i="2"/>
  <c r="M5" i="1"/>
  <c r="L5" i="1"/>
  <c r="N5" i="1" s="1"/>
  <c r="J2" i="1"/>
  <c r="J4" i="1"/>
  <c r="J10" i="1"/>
  <c r="I9" i="1"/>
  <c r="J9" i="1" s="1"/>
  <c r="I11" i="1"/>
  <c r="J11" i="1" s="1"/>
  <c r="I6" i="1"/>
  <c r="J6" i="1" s="1"/>
  <c r="I8" i="1"/>
  <c r="J8" i="1" s="1"/>
  <c r="M11" i="1" l="1"/>
  <c r="L11" i="1"/>
  <c r="N11" i="1" s="1"/>
  <c r="L9" i="1"/>
  <c r="N9" i="1" s="1"/>
  <c r="M9" i="1"/>
  <c r="L6" i="1"/>
  <c r="N6" i="1" s="1"/>
  <c r="M6" i="1"/>
  <c r="M8" i="1"/>
  <c r="L8" i="1"/>
  <c r="N8" i="1" s="1"/>
  <c r="M10" i="1"/>
  <c r="L10" i="1"/>
  <c r="N10" i="1" s="1"/>
  <c r="E6" i="2"/>
  <c r="D6" i="2"/>
  <c r="M4" i="1"/>
  <c r="L4" i="1"/>
  <c r="N4" i="1" s="1"/>
  <c r="M2" i="1"/>
  <c r="L2" i="1"/>
  <c r="N2" i="1" s="1"/>
  <c r="E7" i="2" l="1"/>
  <c r="D7" i="2"/>
  <c r="E8" i="2" l="1"/>
  <c r="D8" i="2"/>
  <c r="E9" i="2" l="1"/>
  <c r="D9" i="2"/>
  <c r="E10" i="2" l="1"/>
  <c r="D10" i="2"/>
  <c r="E11" i="2" l="1"/>
  <c r="D11" i="2"/>
  <c r="E12" i="2" l="1"/>
  <c r="D12" i="2"/>
  <c r="E13" i="2" l="1"/>
  <c r="D13" i="2"/>
</calcChain>
</file>

<file path=xl/sharedStrings.xml><?xml version="1.0" encoding="utf-8"?>
<sst xmlns="http://schemas.openxmlformats.org/spreadsheetml/2006/main" count="203" uniqueCount="131">
  <si>
    <t>Store ID</t>
  </si>
  <si>
    <t>Region</t>
  </si>
  <si>
    <t>Store Type</t>
  </si>
  <si>
    <t>Q1 Revenue ($000s)</t>
  </si>
  <si>
    <t>Q2 Revenue ($000s)</t>
  </si>
  <si>
    <t>Q3 Revenue ($000s)</t>
  </si>
  <si>
    <t>Q4 Revenue ($000s)</t>
  </si>
  <si>
    <t>Total Revenue ($000s)</t>
  </si>
  <si>
    <t>COGS ($000s)</t>
  </si>
  <si>
    <t>Gross Profit ($000s)</t>
  </si>
  <si>
    <t>Operating Expenses ($000s)</t>
  </si>
  <si>
    <t>EBITDA ($000s)</t>
  </si>
  <si>
    <t>Gross Margin %</t>
  </si>
  <si>
    <t>EBITDA Margin %</t>
  </si>
  <si>
    <t>ST001</t>
  </si>
  <si>
    <t>North</t>
  </si>
  <si>
    <t>Flagship</t>
  </si>
  <si>
    <t>ST002</t>
  </si>
  <si>
    <t>Standard</t>
  </si>
  <si>
    <t>ST003</t>
  </si>
  <si>
    <t>South</t>
  </si>
  <si>
    <t>ST004</t>
  </si>
  <si>
    <t>East</t>
  </si>
  <si>
    <t>ST005</t>
  </si>
  <si>
    <t>West</t>
  </si>
  <si>
    <t>ST006</t>
  </si>
  <si>
    <t>Express</t>
  </si>
  <si>
    <t>ST007</t>
  </si>
  <si>
    <t>ST008</t>
  </si>
  <si>
    <t>ST009</t>
  </si>
  <si>
    <t>ST010</t>
  </si>
  <si>
    <t>Month</t>
  </si>
  <si>
    <t>New Customers</t>
  </si>
  <si>
    <t>Lost Customers</t>
  </si>
  <si>
    <t>Total Active Customers</t>
  </si>
  <si>
    <t>Customer Retention %</t>
  </si>
  <si>
    <t>Avg Order Value ($)</t>
  </si>
  <si>
    <t>Orders per Customer</t>
  </si>
  <si>
    <t>Customer Lifetime Value ($)</t>
  </si>
  <si>
    <t>CAC ($)</t>
  </si>
  <si>
    <t>LTV:CAC Ratio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</si>
  <si>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</si>
  <si>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</si>
  <si>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</si>
  <si>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</si>
  <si>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</si>
  <si>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</si>
  <si>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</si>
  <si>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</si>
  <si>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</si>
  <si>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</si>
  <si>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</si>
  <si>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</si>
  <si>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FTE Staff</t>
  </si>
  <si>
    <t>Monthly Sales ($000s)</t>
  </si>
  <si>
    <t>Sales per FTE ($000s)</t>
  </si>
  <si>
    <t>Inventory ($000s)</t>
  </si>
  <si>
    <t>Inventory Turnover</t>
  </si>
  <si>
    <t>Avg Transaction Time (min)</t>
  </si>
  <si>
    <t>Customer Satisfaction Score</t>
  </si>
  <si>
    <t>Target Satisfaction</t>
  </si>
  <si>
    <t>Variance</t>
  </si>
  <si>
    <t>Competitor</t>
  </si>
  <si>
    <t>Market Share %</t>
  </si>
  <si>
    <t>Avg Price Point ($)</t>
  </si>
  <si>
    <t>Our Price Point ($)</t>
  </si>
  <si>
    <t>Price Index</t>
  </si>
  <si>
    <t>Customer Rating</t>
  </si>
  <si>
    <t>Store Count</t>
  </si>
  <si>
    <t>YoY Growth %</t>
  </si>
  <si>
    <t>Digital Sales %</t>
  </si>
  <si>
    <t>Our Company</t>
  </si>
  <si>
    <t>Competitor A</t>
  </si>
  <si>
    <t>Competitor B</t>
  </si>
  <si>
    <t>Competitor C</t>
  </si>
  <si>
    <t>Competitor D</t>
  </si>
  <si>
    <t>Others</t>
  </si>
  <si>
    <t>Category</t>
  </si>
  <si>
    <t>Q1 Units Sold</t>
  </si>
  <si>
    <t>Q2 Units Sold</t>
  </si>
  <si>
    <t>Q3 Units Sold</t>
  </si>
  <si>
    <t>Q4 Units Sold</t>
  </si>
  <si>
    <t>Total Units</t>
  </si>
  <si>
    <t>Avg Price per Unit ($)</t>
  </si>
  <si>
    <t>Revenue Growth % (Q1-Q4)</t>
  </si>
  <si>
    <t>Electronics</t>
  </si>
  <si>
    <t>Apparel</t>
  </si>
  <si>
    <t>Home Goods</t>
  </si>
  <si>
    <t>Beauty</t>
  </si>
  <si>
    <t>Sports</t>
  </si>
  <si>
    <t>Books</t>
  </si>
  <si>
    <t>DELOITTE ANALYST CASE STUDY</t>
  </si>
  <si>
    <t>Objective:</t>
  </si>
  <si>
    <t>Analyze RetailCo's performance and provide strategic recommendations</t>
  </si>
  <si>
    <t>Key Questions to Answer:</t>
  </si>
  <si>
    <t>1. Financial Performance</t>
  </si>
  <si>
    <t>Which stores/regions are most/least profitable? Calculate ROI by store type.</t>
  </si>
  <si>
    <t>2. Customer Analysis</t>
  </si>
  <si>
    <t>What is the trend in customer acquisition and retention? Is CAC sustainable?</t>
  </si>
  <si>
    <t>3. Operational Efficiency</t>
  </si>
  <si>
    <t>Which stores have the best sales per FTE? Identify operational improvement opportunities.</t>
  </si>
  <si>
    <t>4. Market Position</t>
  </si>
  <si>
    <t>How does our pricing compare to competitors? Should we adjust our strategy?</t>
  </si>
  <si>
    <t>5. Product Strategy</t>
  </si>
  <si>
    <t>Which categories are growing fastest? Which should we prioritize?</t>
  </si>
  <si>
    <t>6. Forecasting</t>
  </si>
  <si>
    <t>Project Q1 next year revenue based on historical growth trends.</t>
  </si>
  <si>
    <t>Deliverables Required:</t>
  </si>
  <si>
    <t>• Executive summary (key findings)</t>
  </si>
  <si>
    <t>• 3-5 data visualizations</t>
  </si>
  <si>
    <t>• Profitability analysis by segment</t>
  </si>
  <si>
    <t>• Strategic recommendations with supporting data</t>
  </si>
  <si>
    <t>Key Assumptions:</t>
  </si>
  <si>
    <t>COGS as % of Revenue</t>
  </si>
  <si>
    <t>58%</t>
  </si>
  <si>
    <t>Target Customer Satisfaction</t>
  </si>
  <si>
    <t>4.5</t>
  </si>
  <si>
    <t>Industry Avg EBITDA Margin</t>
  </si>
  <si>
    <t>15%</t>
  </si>
  <si>
    <t>Industry Avg Inventory Turnover</t>
  </si>
  <si>
    <t>4.5x</t>
  </si>
  <si>
    <t>Sum of Total Revenue ($000s)</t>
  </si>
  <si>
    <t>Grand Total</t>
  </si>
  <si>
    <t>Sum of Q4 Revenue ($000s)</t>
  </si>
  <si>
    <t>Sum of Q3 Revenue ($000s)</t>
  </si>
  <si>
    <t>Sum of Q2 Revenue ($000s)</t>
  </si>
  <si>
    <t>Sum of Q1 Revenue ($000s)</t>
  </si>
  <si>
    <t>Row Labels</t>
  </si>
  <si>
    <t>Average of Market Share %</t>
  </si>
  <si>
    <t>Q1 Next Year Projection ($000s)</t>
  </si>
  <si>
    <r>
      <t>Total projected </t>
    </r>
    <r>
      <rPr>
        <sz val="13"/>
        <color theme="1"/>
        <rFont val="Var(--font-mono)"/>
      </rPr>
      <t>Q1</t>
    </r>
    <r>
      <rPr>
        <sz val="13"/>
        <color theme="1"/>
        <rFont val="Arial"/>
        <family val="2"/>
      </rPr>
      <t> next year: ~$12.1M (vs. ~$5.8M this year </t>
    </r>
    <r>
      <rPr>
        <sz val="11"/>
        <color theme="1"/>
        <rFont val="Arial"/>
        <family val="2"/>
      </rPr>
      <t>Q1</t>
    </r>
    <r>
      <rPr>
        <sz val="13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</si>
</sst>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6"/>
      <color rgb="FFFFFFFF"/>
      <name val="Cambria"/>
      <family val="1"/>
    </font>
    <font>
      <b/>
      <sz val="12"/>
      <name val="Cambria"/>
      <family val="1"/>
    </font>
    <font>
      <b/>
      <sz val="11"/>
      <color rgb="FF0000FF"/>
      <name val="Cambria"/>
      <family val="1"/>
    </font>
    <font>
      <b/>
      <sz val="12"/>
      <color theme="1"/>
      <name val="Calibri"/>
      <family val="2"/>
    </font>
    <font>
      <b/>
      <sz val="13"/>
      <color theme="1"/>
      <name val="Arial"/>
      <family val="2"/>
    </font>
    <font>
      <b/>
      <sz val="11"/>
      <color theme="0"/>
      <name val="Calibri"/>
      <family val="2"/>
      <charset val="1"/>
    </font>
    <font>
      <sz val="11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Var(--font-mono)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/>
    <xf numFmtId="0" fontId="0" fillId="4" borderId="0" xfId="0" applyFill="1"/>
    <xf numFmtId="0" fontId="6" fillId="0" borderId="0" xfId="0" applyFont="1"/>
    <xf numFmtId="3" fontId="0" fillId="0" borderId="0" xfId="0" applyNumberFormat="1"/>
    <xf numFmtId="0" fontId="7" fillId="5" borderId="0" xfId="0" applyFont="1" applyFill="1"/>
    <xf numFmtId="0" fontId="9" fillId="0" borderId="0" xfId="0" applyFont="1"/>
    <xf numFmtId="0" fontId="7" fillId="0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333399"/>
          <bgColor rgb="FF36609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</a:t>
            </a:r>
            <a:r>
              <a:rPr lang="en-GB" baseline="0"/>
              <a:t> ID by Qauter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 Performance'!$D$1</c:f>
              <c:strCache>
                <c:ptCount val="1"/>
                <c:pt idx="0">
                  <c:v>Q1 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Performance'!$D$2:$D$11</c:f>
              <c:numCache>
                <c:formatCode>General</c:formatCode>
                <c:ptCount val="10"/>
                <c:pt idx="0">
                  <c:v>1250</c:v>
                </c:pt>
                <c:pt idx="1">
                  <c:v>680</c:v>
                </c:pt>
                <c:pt idx="2">
                  <c:v>590</c:v>
                </c:pt>
                <c:pt idx="3">
                  <c:v>1420</c:v>
                </c:pt>
                <c:pt idx="4">
                  <c:v>720</c:v>
                </c:pt>
                <c:pt idx="5">
                  <c:v>340</c:v>
                </c:pt>
                <c:pt idx="6">
                  <c:v>810</c:v>
                </c:pt>
                <c:pt idx="7">
                  <c:v>1380</c:v>
                </c:pt>
                <c:pt idx="8">
                  <c:v>380</c:v>
                </c:pt>
                <c:pt idx="9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3-594E-9541-FFA5EC7285EF}"/>
            </c:ext>
          </c:extLst>
        </c:ser>
        <c:ser>
          <c:idx val="1"/>
          <c:order val="1"/>
          <c:tx>
            <c:strRef>
              <c:f>'Store Performance'!$E$1</c:f>
              <c:strCache>
                <c:ptCount val="1"/>
                <c:pt idx="0">
                  <c:v>Q2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Performance'!$E$2:$E$11</c:f>
              <c:numCache>
                <c:formatCode>General</c:formatCode>
                <c:ptCount val="10"/>
                <c:pt idx="0">
                  <c:v>1180</c:v>
                </c:pt>
                <c:pt idx="1">
                  <c:v>720</c:v>
                </c:pt>
                <c:pt idx="2">
                  <c:v>610</c:v>
                </c:pt>
                <c:pt idx="3">
                  <c:v>1390</c:v>
                </c:pt>
                <c:pt idx="4">
                  <c:v>750</c:v>
                </c:pt>
                <c:pt idx="5">
                  <c:v>360</c:v>
                </c:pt>
                <c:pt idx="6">
                  <c:v>830</c:v>
                </c:pt>
                <c:pt idx="7">
                  <c:v>1340</c:v>
                </c:pt>
                <c:pt idx="8">
                  <c:v>400</c:v>
                </c:pt>
                <c:pt idx="9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3-594E-9541-FFA5EC7285EF}"/>
            </c:ext>
          </c:extLst>
        </c:ser>
        <c:ser>
          <c:idx val="2"/>
          <c:order val="2"/>
          <c:tx>
            <c:strRef>
              <c:f>'Store Performance'!$F$1</c:f>
              <c:strCache>
                <c:ptCount val="1"/>
                <c:pt idx="0">
                  <c:v>Q3 Revenue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Performance'!$F$2:$F$11</c:f>
              <c:numCache>
                <c:formatCode>General</c:formatCode>
                <c:ptCount val="10"/>
                <c:pt idx="0">
                  <c:v>1420</c:v>
                </c:pt>
                <c:pt idx="1">
                  <c:v>650</c:v>
                </c:pt>
                <c:pt idx="2">
                  <c:v>580</c:v>
                </c:pt>
                <c:pt idx="3">
                  <c:v>1520</c:v>
                </c:pt>
                <c:pt idx="4">
                  <c:v>690</c:v>
                </c:pt>
                <c:pt idx="5">
                  <c:v>320</c:v>
                </c:pt>
                <c:pt idx="6">
                  <c:v>790</c:v>
                </c:pt>
                <c:pt idx="7">
                  <c:v>1450</c:v>
                </c:pt>
                <c:pt idx="8">
                  <c:v>360</c:v>
                </c:pt>
                <c:pt idx="9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B3-594E-9541-FFA5EC7285EF}"/>
            </c:ext>
          </c:extLst>
        </c:ser>
        <c:ser>
          <c:idx val="3"/>
          <c:order val="3"/>
          <c:tx>
            <c:strRef>
              <c:f>'Store Performance'!$G$1</c:f>
              <c:strCache>
                <c:ptCount val="1"/>
                <c:pt idx="0">
                  <c:v>Q4 Revenue ($000s)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Performance'!$G$2:$G$11</c:f>
              <c:numCache>
                <c:formatCode>General</c:formatCode>
                <c:ptCount val="10"/>
                <c:pt idx="0">
                  <c:v>1890</c:v>
                </c:pt>
                <c:pt idx="1">
                  <c:v>920</c:v>
                </c:pt>
                <c:pt idx="2">
                  <c:v>780</c:v>
                </c:pt>
                <c:pt idx="3">
                  <c:v>2100</c:v>
                </c:pt>
                <c:pt idx="4">
                  <c:v>980</c:v>
                </c:pt>
                <c:pt idx="5">
                  <c:v>450</c:v>
                </c:pt>
                <c:pt idx="6">
                  <c:v>1120</c:v>
                </c:pt>
                <c:pt idx="7">
                  <c:v>1980</c:v>
                </c:pt>
                <c:pt idx="8">
                  <c:v>510</c:v>
                </c:pt>
                <c:pt idx="9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B3-594E-9541-FFA5EC728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9414816"/>
        <c:axId val="291141967"/>
      </c:barChart>
      <c:catAx>
        <c:axId val="20794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41967"/>
        <c:crosses val="autoZero"/>
        <c:auto val="1"/>
        <c:lblAlgn val="ctr"/>
        <c:lblOffset val="100"/>
        <c:noMultiLvlLbl val="0"/>
      </c:catAx>
      <c:valAx>
        <c:axId val="2911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1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[Deloitte_Analyst_Dataset DONE.xlsx]Store Performance!PivotTable6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Performance'!$I$13</c:f>
              <c:strCache>
                <c:ptCount val="1"/>
                <c:pt idx="0">
                  <c:v>Sum of Q1 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Performance'!$I$14:$I$27</c:f>
              <c:numCache>
                <c:formatCode>General</c:formatCode>
                <c:ptCount val="9"/>
                <c:pt idx="0">
                  <c:v>1420</c:v>
                </c:pt>
                <c:pt idx="1">
                  <c:v>810</c:v>
                </c:pt>
                <c:pt idx="2">
                  <c:v>380</c:v>
                </c:pt>
                <c:pt idx="3">
                  <c:v>1250</c:v>
                </c:pt>
                <c:pt idx="4">
                  <c:v>680</c:v>
                </c:pt>
                <c:pt idx="5">
                  <c:v>340</c:v>
                </c:pt>
                <c:pt idx="6">
                  <c:v>1230</c:v>
                </c:pt>
                <c:pt idx="7">
                  <c:v>1380</c:v>
                </c:pt>
                <c:pt idx="8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E-1C49-A40C-3DB83BBC1517}"/>
            </c:ext>
          </c:extLst>
        </c:ser>
        <c:ser>
          <c:idx val="1"/>
          <c:order val="1"/>
          <c:tx>
            <c:strRef>
              <c:f>'Store Performance'!$J$13</c:f>
              <c:strCache>
                <c:ptCount val="1"/>
                <c:pt idx="0">
                  <c:v>Sum of Q2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Performance'!$J$14:$J$27</c:f>
              <c:numCache>
                <c:formatCode>General</c:formatCode>
                <c:ptCount val="9"/>
                <c:pt idx="0">
                  <c:v>1390</c:v>
                </c:pt>
                <c:pt idx="1">
                  <c:v>830</c:v>
                </c:pt>
                <c:pt idx="2">
                  <c:v>400</c:v>
                </c:pt>
                <c:pt idx="3">
                  <c:v>1180</c:v>
                </c:pt>
                <c:pt idx="4">
                  <c:v>720</c:v>
                </c:pt>
                <c:pt idx="5">
                  <c:v>360</c:v>
                </c:pt>
                <c:pt idx="6">
                  <c:v>1280</c:v>
                </c:pt>
                <c:pt idx="7">
                  <c:v>1340</c:v>
                </c:pt>
                <c:pt idx="8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E-1C49-A40C-3DB83BBC1517}"/>
            </c:ext>
          </c:extLst>
        </c:ser>
        <c:ser>
          <c:idx val="2"/>
          <c:order val="2"/>
          <c:tx>
            <c:strRef>
              <c:f>'Store Performance'!$K$13</c:f>
              <c:strCache>
                <c:ptCount val="1"/>
                <c:pt idx="0">
                  <c:v>Sum of Q3 Revenue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Performance'!$K$14:$K$27</c:f>
              <c:numCache>
                <c:formatCode>General</c:formatCode>
                <c:ptCount val="9"/>
                <c:pt idx="0">
                  <c:v>1520</c:v>
                </c:pt>
                <c:pt idx="1">
                  <c:v>790</c:v>
                </c:pt>
                <c:pt idx="2">
                  <c:v>360</c:v>
                </c:pt>
                <c:pt idx="3">
                  <c:v>1420</c:v>
                </c:pt>
                <c:pt idx="4">
                  <c:v>650</c:v>
                </c:pt>
                <c:pt idx="5">
                  <c:v>320</c:v>
                </c:pt>
                <c:pt idx="6">
                  <c:v>1190</c:v>
                </c:pt>
                <c:pt idx="7">
                  <c:v>1450</c:v>
                </c:pt>
                <c:pt idx="8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E-1C49-A40C-3DB83BBC1517}"/>
            </c:ext>
          </c:extLst>
        </c:ser>
        <c:ser>
          <c:idx val="3"/>
          <c:order val="3"/>
          <c:tx>
            <c:strRef>
              <c:f>'Store Performance'!$L$13</c:f>
              <c:strCache>
                <c:ptCount val="1"/>
                <c:pt idx="0">
                  <c:v>Sum of Q4 Revenue ($000s)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Performance'!$L$14:$L$27</c:f>
              <c:numCache>
                <c:formatCode>General</c:formatCode>
                <c:ptCount val="9"/>
                <c:pt idx="0">
                  <c:v>2100</c:v>
                </c:pt>
                <c:pt idx="1">
                  <c:v>1120</c:v>
                </c:pt>
                <c:pt idx="2">
                  <c:v>510</c:v>
                </c:pt>
                <c:pt idx="3">
                  <c:v>1890</c:v>
                </c:pt>
                <c:pt idx="4">
                  <c:v>920</c:v>
                </c:pt>
                <c:pt idx="5">
                  <c:v>450</c:v>
                </c:pt>
                <c:pt idx="6">
                  <c:v>1650</c:v>
                </c:pt>
                <c:pt idx="7">
                  <c:v>1980</c:v>
                </c:pt>
                <c:pt idx="8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E-1C49-A40C-3DB83BBC1517}"/>
            </c:ext>
          </c:extLst>
        </c:ser>
        <c:ser>
          <c:idx val="4"/>
          <c:order val="4"/>
          <c:tx>
            <c:strRef>
              <c:f>'Store Performance'!$M$13</c:f>
              <c:strCache>
                <c:ptCount val="1"/>
                <c:pt idx="0">
                  <c:v>Sum of Total Revenue ($000s)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Performance'!$M$14:$M$27</c:f>
              <c:numCache>
                <c:formatCode>General</c:formatCode>
                <c:ptCount val="9"/>
                <c:pt idx="0">
                  <c:v>6430</c:v>
                </c:pt>
                <c:pt idx="1">
                  <c:v>3550</c:v>
                </c:pt>
                <c:pt idx="2">
                  <c:v>1650</c:v>
                </c:pt>
                <c:pt idx="3">
                  <c:v>5740</c:v>
                </c:pt>
                <c:pt idx="4">
                  <c:v>2970</c:v>
                </c:pt>
                <c:pt idx="5">
                  <c:v>1470</c:v>
                </c:pt>
                <c:pt idx="6">
                  <c:v>5350</c:v>
                </c:pt>
                <c:pt idx="7">
                  <c:v>6150</c:v>
                </c:pt>
                <c:pt idx="8">
                  <c:v>3140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E-1C49-A40C-3DB83BBC1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6645168"/>
        <c:axId val="2096646192"/>
      </c:barChart>
      <c:valAx>
        <c:axId val="209664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5168"/>
        <c:crosses val="autoZero"/>
        <c:crossBetween val="between"/>
      </c:valAx>
      <c:catAx>
        <c:axId val="209664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6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churn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Analytics'!$B$1</c:f>
              <c:strCache>
                <c:ptCount val="1"/>
                <c:pt idx="0">
                  <c:v>New 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Analytics'!$B$2:$B$13</c:f>
              <c:numCache>
                <c:formatCode>General</c:formatCode>
                <c:ptCount val="12"/>
                <c:pt idx="0">
                  <c:v>2400</c:v>
                </c:pt>
                <c:pt idx="1">
                  <c:v>2100</c:v>
                </c:pt>
                <c:pt idx="2">
                  <c:v>2650</c:v>
                </c:pt>
                <c:pt idx="3">
                  <c:v>2300</c:v>
                </c:pt>
                <c:pt idx="4">
                  <c:v>2800</c:v>
                </c:pt>
                <c:pt idx="5">
                  <c:v>2550</c:v>
                </c:pt>
                <c:pt idx="6">
                  <c:v>2900</c:v>
                </c:pt>
                <c:pt idx="7">
                  <c:v>2700</c:v>
                </c:pt>
                <c:pt idx="8">
                  <c:v>2400</c:v>
                </c:pt>
                <c:pt idx="9">
                  <c:v>3100</c:v>
                </c:pt>
                <c:pt idx="10">
                  <c:v>3400</c:v>
                </c:pt>
                <c:pt idx="11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F-BB49-9C62-438FD900BCA8}"/>
            </c:ext>
          </c:extLst>
        </c:ser>
        <c:ser>
          <c:idx val="1"/>
          <c:order val="1"/>
          <c:tx>
            <c:strRef>
              <c:f>'Customer Analytics'!$C$1</c:f>
              <c:strCache>
                <c:ptCount val="1"/>
                <c:pt idx="0">
                  <c:v>Lost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Analytics'!$C$2:$C$13</c:f>
              <c:numCache>
                <c:formatCode>General</c:formatCode>
                <c:ptCount val="12"/>
                <c:pt idx="0">
                  <c:v>180</c:v>
                </c:pt>
                <c:pt idx="1">
                  <c:v>220</c:v>
                </c:pt>
                <c:pt idx="2">
                  <c:v>190</c:v>
                </c:pt>
                <c:pt idx="3">
                  <c:v>210</c:v>
                </c:pt>
                <c:pt idx="4">
                  <c:v>170</c:v>
                </c:pt>
                <c:pt idx="5">
                  <c:v>200</c:v>
                </c:pt>
                <c:pt idx="6">
                  <c:v>160</c:v>
                </c:pt>
                <c:pt idx="7">
                  <c:v>185</c:v>
                </c:pt>
                <c:pt idx="8">
                  <c:v>195</c:v>
                </c:pt>
                <c:pt idx="9">
                  <c:v>150</c:v>
                </c:pt>
                <c:pt idx="10">
                  <c:v>140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F-BB49-9C62-438FD900B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90079"/>
        <c:axId val="36003279"/>
      </c:lineChart>
      <c:catAx>
        <c:axId val="3669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3279"/>
        <c:crosses val="autoZero"/>
        <c:auto val="1"/>
        <c:lblAlgn val="ctr"/>
        <c:lblOffset val="100"/>
        <c:noMultiLvlLbl val="0"/>
      </c:catAx>
      <c:valAx>
        <c:axId val="360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Active Customers', 'Orders per Customer' by 'Month'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Analytics'!$D$1</c:f>
              <c:strCache>
                <c:ptCount val="1"/>
                <c:pt idx="0">
                  <c:v>Total Active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Analytics'!$D$2:$D$13</c:f>
              <c:numCache>
                <c:formatCode>General</c:formatCode>
                <c:ptCount val="12"/>
                <c:pt idx="0">
                  <c:v>45600</c:v>
                </c:pt>
                <c:pt idx="1">
                  <c:v>47480</c:v>
                </c:pt>
                <c:pt idx="2">
                  <c:v>49940</c:v>
                </c:pt>
                <c:pt idx="3">
                  <c:v>52030</c:v>
                </c:pt>
                <c:pt idx="4">
                  <c:v>54660</c:v>
                </c:pt>
                <c:pt idx="5">
                  <c:v>57010</c:v>
                </c:pt>
                <c:pt idx="6">
                  <c:v>59750</c:v>
                </c:pt>
                <c:pt idx="7">
                  <c:v>62265</c:v>
                </c:pt>
                <c:pt idx="8">
                  <c:v>64470</c:v>
                </c:pt>
                <c:pt idx="9">
                  <c:v>67420</c:v>
                </c:pt>
                <c:pt idx="10">
                  <c:v>70680</c:v>
                </c:pt>
                <c:pt idx="11">
                  <c:v>74750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9-3F40-BC8D-D39CD68F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262497471"/>
        <c:axId val="1808567552"/>
      </c:barChart>
      <c:lineChart>
        <c:grouping val="standard"/>
        <c:varyColors val="0"/>
        <c:ser>
          <c:idx val="1"/>
          <c:order val="1"/>
          <c:tx>
            <c:strRef>
              <c:f>'Customer Analytics'!$G$1</c:f>
              <c:strCache>
                <c:ptCount val="1"/>
                <c:pt idx="0">
                  <c:v>Orders per Customer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Analytics'!$G$2:$G$13</c:f>
              <c:numCache>
                <c:formatCode>General</c:formatCode>
                <c:ptCount val="12"/>
                <c:pt idx="0">
                  <c:v>2.8</c:v>
                </c:pt>
                <c:pt idx="1">
                  <c:v>2.9</c:v>
                </c:pt>
                <c:pt idx="2">
                  <c:v>3.1</c:v>
                </c:pt>
                <c:pt idx="3">
                  <c:v>2.7</c:v>
                </c:pt>
                <c:pt idx="4">
                  <c:v>3.2</c:v>
                </c:pt>
                <c:pt idx="5">
                  <c:v>3</c:v>
                </c:pt>
                <c:pt idx="6">
                  <c:v>3.4</c:v>
                </c:pt>
                <c:pt idx="7">
                  <c:v>3.1</c:v>
                </c:pt>
                <c:pt idx="8">
                  <c:v>2.9</c:v>
                </c:pt>
                <c:pt idx="9">
                  <c:v>3.5</c:v>
                </c:pt>
                <c:pt idx="10">
                  <c:v>3.7</c:v>
                </c:pt>
                <c:pt idx="11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9-3F40-BC8D-D39CD68F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0539552"/>
        <c:axId val="1798982240"/>
      </c:lineChart>
      <c:catAx>
        <c:axId val="26249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567552"/>
        <c:crosses val="autoZero"/>
        <c:auto val="1"/>
        <c:lblAlgn val="ctr"/>
        <c:lblOffset val="100"/>
        <c:noMultiLvlLbl val="0"/>
      </c:catAx>
      <c:valAx>
        <c:axId val="18085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Active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974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798982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Orders per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39552"/>
        <c:crosses val="max"/>
        <c:crossBetween val="between"/>
      </c:valAx>
      <c:catAx>
        <c:axId val="1810539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89822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CAC</a:t>
            </a:r>
            <a:r>
              <a:rPr lang="en-GB" baseline="0"/>
              <a:t> stablisation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Analytics'!$I$1</c:f>
              <c:strCache>
                <c:ptCount val="1"/>
                <c:pt idx="0">
                  <c:v>CAC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'Customer Analytics'!$I$2:$I$13</c:f>
              <c:numCache>
                <c:formatCode>General</c:formatCode>
                <c:ptCount val="12"/>
                <c:pt idx="0">
                  <c:v>85</c:v>
                </c:pt>
                <c:pt idx="1">
                  <c:v>82</c:v>
                </c:pt>
                <c:pt idx="2">
                  <c:v>88</c:v>
                </c:pt>
                <c:pt idx="3">
                  <c:v>79</c:v>
                </c:pt>
                <c:pt idx="4">
                  <c:v>91</c:v>
                </c:pt>
                <c:pt idx="5">
                  <c:v>86</c:v>
                </c:pt>
                <c:pt idx="6">
                  <c:v>93</c:v>
                </c:pt>
                <c:pt idx="7">
                  <c:v>87</c:v>
                </c:pt>
                <c:pt idx="8">
                  <c:v>84</c:v>
                </c:pt>
                <c:pt idx="9">
                  <c:v>96</c:v>
                </c:pt>
                <c:pt idx="10">
                  <c:v>99</c:v>
                </c:pt>
                <c:pt idx="1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3-5747-A60A-C6F692668589}"/>
            </c:ext>
          </c:extLst>
        </c:ser>
        <c:ser>
          <c:idx val="1"/>
          <c:order val="1"/>
          <c:tx>
            <c:strRef>
              <c:f>'Customer Analytics'!$J$1</c:f>
              <c:strCache>
                <c:ptCount val="1"/>
                <c:pt idx="0">
                  <c:v>LTV:CAC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'Customer Analytics'!$J$2:$J$13</c:f>
              <c:numCache>
                <c:formatCode>General</c:formatCode>
                <c:ptCount val="12"/>
                <c:pt idx="0">
                  <c:v>50.202352941176471</c:v>
                </c:pt>
                <c:pt idx="1">
                  <c:v>56.019512195121955</c:v>
                </c:pt>
                <c:pt idx="2">
                  <c:v>54.531818181818181</c:v>
                </c:pt>
                <c:pt idx="3">
                  <c:v>55.367088607594937</c:v>
                </c:pt>
                <c:pt idx="4">
                  <c:v>55.279120879120882</c:v>
                </c:pt>
                <c:pt idx="5">
                  <c:v>57.767441860465119</c:v>
                </c:pt>
                <c:pt idx="6">
                  <c:v>62.296774193548394</c:v>
                </c:pt>
                <c:pt idx="7">
                  <c:v>58.151724137931041</c:v>
                </c:pt>
                <c:pt idx="8">
                  <c:v>55.514285714285712</c:v>
                </c:pt>
                <c:pt idx="9">
                  <c:v>63.4375</c:v>
                </c:pt>
                <c:pt idx="10">
                  <c:v>68.169696969696957</c:v>
                </c:pt>
                <c:pt idx="11">
                  <c:v>80.64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3-5747-A60A-C6F692668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420240"/>
        <c:axId val="1875127680"/>
      </c:barChart>
      <c:catAx>
        <c:axId val="18754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27680"/>
        <c:crosses val="autoZero"/>
        <c:auto val="1"/>
        <c:lblAlgn val="ctr"/>
        <c:lblOffset val="100"/>
        <c:noMultiLvlLbl val="0"/>
      </c:catAx>
      <c:valAx>
        <c:axId val="18751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</a:t>
            </a:r>
            <a:r>
              <a:rPr lang="en-GB" baseline="0"/>
              <a:t> Sales Performace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'Operations Data'!$B$1</c:f>
              <c:strCache>
                <c:ptCount val="1"/>
                <c:pt idx="0">
                  <c:v>FTE Staff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Data'!$B$2:$B$11</c:f>
              <c:numCache>
                <c:formatCode>General</c:formatCode>
                <c:ptCount val="10"/>
                <c:pt idx="0">
                  <c:v>42</c:v>
                </c:pt>
                <c:pt idx="1">
                  <c:v>28</c:v>
                </c:pt>
                <c:pt idx="2">
                  <c:v>25</c:v>
                </c:pt>
                <c:pt idx="3">
                  <c:v>48</c:v>
                </c:pt>
                <c:pt idx="4">
                  <c:v>29</c:v>
                </c:pt>
                <c:pt idx="5">
                  <c:v>15</c:v>
                </c:pt>
                <c:pt idx="6">
                  <c:v>32</c:v>
                </c:pt>
                <c:pt idx="7">
                  <c:v>46</c:v>
                </c:pt>
                <c:pt idx="8">
                  <c:v>16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8-0E47-902F-C2978F6FE4DA}"/>
            </c:ext>
          </c:extLst>
        </c:ser>
        <c:ser>
          <c:idx val="1"/>
          <c:order val="1"/>
          <c:tx>
            <c:strRef>
              <c:f>'Operations Data'!$D$1</c:f>
              <c:strCache>
                <c:ptCount val="1"/>
                <c:pt idx="0">
                  <c:v>Sales per FTE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Data'!$D$2:$D$11</c:f>
              <c:numCache>
                <c:formatCode>General</c:formatCode>
                <c:ptCount val="10"/>
                <c:pt idx="0">
                  <c:v>34.166666666666664</c:v>
                </c:pt>
                <c:pt idx="1">
                  <c:v>26.535714285714285</c:v>
                </c:pt>
                <c:pt idx="2">
                  <c:v>25.6</c:v>
                </c:pt>
                <c:pt idx="3">
                  <c:v>33.5</c:v>
                </c:pt>
                <c:pt idx="4">
                  <c:v>27.068965517241381</c:v>
                </c:pt>
                <c:pt idx="5">
                  <c:v>24.533333333333335</c:v>
                </c:pt>
                <c:pt idx="6">
                  <c:v>27.75</c:v>
                </c:pt>
                <c:pt idx="7">
                  <c:v>33.434782608695649</c:v>
                </c:pt>
                <c:pt idx="8">
                  <c:v>25.8125</c:v>
                </c:pt>
                <c:pt idx="9">
                  <c:v>25.851851851851851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8-0E47-902F-C2978F6F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8793136"/>
        <c:axId val="2122475216"/>
      </c:barChart>
      <c:catAx>
        <c:axId val="180879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75216"/>
        <c:crosses val="autoZero"/>
        <c:auto val="1"/>
        <c:lblAlgn val="ctr"/>
        <c:lblOffset val="100"/>
        <c:noMultiLvlLbl val="0"/>
      </c:catAx>
      <c:valAx>
        <c:axId val="212247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9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 Customer Satisfaction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'Operations Data'!$H$1</c:f>
              <c:strCache>
                <c:ptCount val="1"/>
                <c:pt idx="0">
                  <c:v>Customer Satisfaction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Data'!$H$2:$H$11</c:f>
              <c:numCache>
                <c:formatCode>General</c:formatCode>
                <c:ptCount val="10"/>
                <c:pt idx="0">
                  <c:v>4.3</c:v>
                </c:pt>
                <c:pt idx="1">
                  <c:v>4.0999999999999996</c:v>
                </c:pt>
                <c:pt idx="2">
                  <c:v>3.9</c:v>
                </c:pt>
                <c:pt idx="3">
                  <c:v>4.5999999999999996</c:v>
                </c:pt>
                <c:pt idx="4">
                  <c:v>4.2</c:v>
                </c:pt>
                <c:pt idx="5">
                  <c:v>4</c:v>
                </c:pt>
                <c:pt idx="6">
                  <c:v>4.3</c:v>
                </c:pt>
                <c:pt idx="7">
                  <c:v>4.5</c:v>
                </c:pt>
                <c:pt idx="8">
                  <c:v>4.0999999999999996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A-7F4D-96EB-0F97B23B315A}"/>
            </c:ext>
          </c:extLst>
        </c:ser>
        <c:ser>
          <c:idx val="1"/>
          <c:order val="1"/>
          <c:tx>
            <c:strRef>
              <c:f>'Operations Data'!$I$1</c:f>
              <c:strCache>
                <c:ptCount val="1"/>
                <c:pt idx="0">
                  <c:v>Target Satisfaction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Data'!$I$2:$I$11</c:f>
              <c:numCache>
                <c:formatCode>General</c:formatCode>
                <c:ptCount val="10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A-7F4D-96EB-0F97B23B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553056"/>
        <c:axId val="1809325152"/>
      </c:lineChart>
      <c:catAx>
        <c:axId val="180955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25152"/>
        <c:crosses val="autoZero"/>
        <c:auto val="1"/>
        <c:lblAlgn val="ctr"/>
        <c:lblOffset val="100"/>
        <c:noMultiLvlLbl val="0"/>
      </c:catAx>
      <c:valAx>
        <c:axId val="18093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5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'Operations Data'!$D$1</c:f>
              <c:strCache>
                <c:ptCount val="1"/>
                <c:pt idx="0">
                  <c:v>Sales per FTE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Data'!$D$2:$D$11</c:f>
              <c:numCache>
                <c:formatCode>General</c:formatCode>
                <c:ptCount val="10"/>
                <c:pt idx="0">
                  <c:v>34.166666666666664</c:v>
                </c:pt>
                <c:pt idx="1">
                  <c:v>26.535714285714285</c:v>
                </c:pt>
                <c:pt idx="2">
                  <c:v>25.6</c:v>
                </c:pt>
                <c:pt idx="3">
                  <c:v>33.5</c:v>
                </c:pt>
                <c:pt idx="4">
                  <c:v>27.068965517241381</c:v>
                </c:pt>
                <c:pt idx="5">
                  <c:v>24.533333333333335</c:v>
                </c:pt>
                <c:pt idx="6">
                  <c:v>27.75</c:v>
                </c:pt>
                <c:pt idx="7">
                  <c:v>33.434782608695649</c:v>
                </c:pt>
                <c:pt idx="8">
                  <c:v>25.8125</c:v>
                </c:pt>
                <c:pt idx="9">
                  <c:v>25.851851851851851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6448-AA0E-9FDF14F32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236160"/>
        <c:axId val="1808999312"/>
      </c:barChart>
      <c:catAx>
        <c:axId val="18502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99312"/>
        <c:crosses val="autoZero"/>
        <c:auto val="1"/>
        <c:lblAlgn val="ctr"/>
        <c:lblOffset val="100"/>
        <c:noMultiLvlLbl val="0"/>
      </c:catAx>
      <c:valAx>
        <c:axId val="18089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[Deloitte_Analyst_Dataset DONE.xlsx]Market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% by Competitors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'Market Analysis'!$B$9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'Market Analysis'!$A$10:$A$16</c:f>
              <c:strCache>
                <c:ptCount val="6"/>
                <c:pt idx="0">
                  <c:v>Competitor A</c:v>
                </c:pt>
                <c:pt idx="1">
                  <c:v>Competitor C</c:v>
                </c:pt>
                <c:pt idx="2">
                  <c:v>Our Company</c:v>
                </c:pt>
                <c:pt idx="3">
                  <c:v>Competitor B</c:v>
                </c:pt>
                <c:pt idx="4">
                  <c:v>Competitor D</c:v>
                </c:pt>
                <c:pt idx="5">
                  <c:v>Others</c:v>
                </c:pt>
              </c:strCache>
            </c:strRef>
          </c:cat>
          <c:val>
            <c:numRef>
              <c:f>'Market Analysis'!$B$10:$B$16</c:f>
              <c:numCache>
                <c:formatCode>General</c:formatCode>
                <c:ptCount val="6"/>
                <c:pt idx="0">
                  <c:v>24.2</c:v>
                </c:pt>
                <c:pt idx="1">
                  <c:v>21.3</c:v>
                </c:pt>
                <c:pt idx="2">
                  <c:v>18.5</c:v>
                </c:pt>
                <c:pt idx="3">
                  <c:v>15.8</c:v>
                </c:pt>
                <c:pt idx="4">
                  <c:v>12.4</c:v>
                </c:pt>
                <c:pt idx="5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F-D64E-960A-012C971BF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 Point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Analysis'!$C$1</c:f>
              <c:strCache>
                <c:ptCount val="1"/>
                <c:pt idx="0">
                  <c:v>Avg Price Point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Analysis'!$A$2:$A$7</c:f>
              <c:strCache>
                <c:ptCount val="6"/>
                <c:pt idx="0">
                  <c:v>Our Company</c:v>
                </c:pt>
                <c:pt idx="1">
                  <c:v>Competitor A</c:v>
                </c:pt>
                <c:pt idx="2">
                  <c:v>Competitor B</c:v>
                </c:pt>
                <c:pt idx="3">
                  <c:v>Competitor C</c:v>
                </c:pt>
                <c:pt idx="4">
                  <c:v>Competitor D</c:v>
                </c:pt>
                <c:pt idx="5">
                  <c:v>Others</c:v>
                </c:pt>
              </c:strCache>
            </c:strRef>
          </c:cat>
          <c:val>
            <c:numRef>
              <c:f>'Market Analysis'!$C$2:$C$7</c:f>
              <c:numCache>
                <c:formatCode>General</c:formatCode>
                <c:ptCount val="6"/>
                <c:pt idx="0">
                  <c:v>142</c:v>
                </c:pt>
                <c:pt idx="1">
                  <c:v>135</c:v>
                </c:pt>
                <c:pt idx="2">
                  <c:v>158</c:v>
                </c:pt>
                <c:pt idx="3">
                  <c:v>129</c:v>
                </c:pt>
                <c:pt idx="4">
                  <c:v>168</c:v>
                </c:pt>
                <c:pt idx="5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1-5043-AC7F-172A6BFC4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690608"/>
        <c:axId val="21717215"/>
      </c:barChart>
      <c:lineChart>
        <c:grouping val="standard"/>
        <c:varyColors val="0"/>
        <c:ser>
          <c:idx val="1"/>
          <c:order val="1"/>
          <c:tx>
            <c:strRef>
              <c:f>'Market Analysis'!$D$1</c:f>
              <c:strCache>
                <c:ptCount val="1"/>
                <c:pt idx="0">
                  <c:v>Our Price Point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'Market Analysis'!$A$2:$A$7</c:f>
              <c:strCache>
                <c:ptCount val="6"/>
                <c:pt idx="0">
                  <c:v>Our Company</c:v>
                </c:pt>
                <c:pt idx="1">
                  <c:v>Competitor A</c:v>
                </c:pt>
                <c:pt idx="2">
                  <c:v>Competitor B</c:v>
                </c:pt>
                <c:pt idx="3">
                  <c:v>Competitor C</c:v>
                </c:pt>
                <c:pt idx="4">
                  <c:v>Competitor D</c:v>
                </c:pt>
                <c:pt idx="5">
                  <c:v>Others</c:v>
                </c:pt>
              </c:strCache>
            </c:strRef>
          </c:cat>
          <c:val>
            <c:numRef>
              <c:f>'Market Analysis'!$D$2:$D$7</c:f>
              <c:numCache>
                <c:formatCode>General</c:formatCode>
                <c:ptCount val="6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1-5043-AC7F-172A6BFC4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690608"/>
        <c:axId val="21717215"/>
      </c:lineChart>
      <c:catAx>
        <c:axId val="17946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7215"/>
        <c:auto val="1"/>
        <c:lblAlgn val="ctr"/>
        <c:lblOffset val="100"/>
        <c:noMultiLvlLbl val="0"/>
      </c:catAx>
      <c:valAx>
        <c:axId val="217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90608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by Quaterly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Categories'!$B$1</c:f>
              <c:strCache>
                <c:ptCount val="1"/>
                <c:pt idx="0">
                  <c:v>Q1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Categories'!$B$2:$B$7</c:f>
              <c:numCache>
                <c:formatCode>General</c:formatCode>
                <c:ptCount val="6"/>
                <c:pt idx="0">
                  <c:v>8420</c:v>
                </c:pt>
                <c:pt idx="1">
                  <c:v>15680</c:v>
                </c:pt>
                <c:pt idx="2">
                  <c:v>6890</c:v>
                </c:pt>
                <c:pt idx="3">
                  <c:v>18200</c:v>
                </c:pt>
                <c:pt idx="4">
                  <c:v>5620</c:v>
                </c:pt>
                <c:pt idx="5">
                  <c:v>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5-9747-99D6-087FAE65A3CD}"/>
            </c:ext>
          </c:extLst>
        </c:ser>
        <c:ser>
          <c:idx val="1"/>
          <c:order val="1"/>
          <c:tx>
            <c:strRef>
              <c:f>'Product Categories'!$D$1</c:f>
              <c:strCache>
                <c:ptCount val="1"/>
                <c:pt idx="0">
                  <c:v>Q2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Categories'!$D$2:$D$7</c:f>
              <c:numCache>
                <c:formatCode>General</c:formatCode>
                <c:ptCount val="6"/>
                <c:pt idx="0">
                  <c:v>8150</c:v>
                </c:pt>
                <c:pt idx="1">
                  <c:v>16200</c:v>
                </c:pt>
                <c:pt idx="2">
                  <c:v>7100</c:v>
                </c:pt>
                <c:pt idx="3">
                  <c:v>19100</c:v>
                </c:pt>
                <c:pt idx="4">
                  <c:v>5900</c:v>
                </c:pt>
                <c:pt idx="5">
                  <c:v>11800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5-9747-99D6-087FAE65A3CD}"/>
            </c:ext>
          </c:extLst>
        </c:ser>
        <c:ser>
          <c:idx val="2"/>
          <c:order val="2"/>
          <c:tx>
            <c:strRef>
              <c:f>'Product Categories'!$F$1</c:f>
              <c:strCache>
                <c:ptCount val="1"/>
                <c:pt idx="0">
                  <c:v>Q3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Categories'!$F$2:$F$7</c:f>
              <c:numCache>
                <c:formatCode>General</c:formatCode>
                <c:ptCount val="6"/>
                <c:pt idx="0">
                  <c:v>9200</c:v>
                </c:pt>
                <c:pt idx="1">
                  <c:v>14800</c:v>
                </c:pt>
                <c:pt idx="2">
                  <c:v>6500</c:v>
                </c:pt>
                <c:pt idx="3">
                  <c:v>17600</c:v>
                </c:pt>
                <c:pt idx="4">
                  <c:v>6200</c:v>
                </c:pt>
                <c:pt idx="5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5-9747-99D6-087FAE65A3CD}"/>
            </c:ext>
          </c:extLst>
        </c:ser>
        <c:ser>
          <c:idx val="3"/>
          <c:order val="3"/>
          <c:tx>
            <c:strRef>
              <c:f>'Product Categories'!$H$1</c:f>
              <c:strCache>
                <c:ptCount val="1"/>
                <c:pt idx="0">
                  <c:v>Q4 Units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Categories'!$H$2:$H$7</c:f>
              <c:numCache>
                <c:formatCode>General</c:formatCode>
                <c:ptCount val="6"/>
                <c:pt idx="0">
                  <c:v>12500</c:v>
                </c:pt>
                <c:pt idx="1">
                  <c:v>21400</c:v>
                </c:pt>
                <c:pt idx="2">
                  <c:v>9800</c:v>
                </c:pt>
                <c:pt idx="3">
                  <c:v>26500</c:v>
                </c:pt>
                <c:pt idx="4">
                  <c:v>8900</c:v>
                </c:pt>
                <c:pt idx="5">
                  <c:v>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85-9747-99D6-087FAE65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449456"/>
        <c:axId val="2431615"/>
      </c:barChart>
      <c:catAx>
        <c:axId val="180944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615"/>
        <c:crosses val="autoZero"/>
        <c:auto val="1"/>
        <c:lblAlgn val="ctr"/>
        <c:lblOffset val="100"/>
        <c:noMultiLvlLbl val="0"/>
      </c:catAx>
      <c:valAx>
        <c:axId val="24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4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by Quaterly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Categories'!$C$1</c:f>
              <c:strCache>
                <c:ptCount val="1"/>
                <c:pt idx="0">
                  <c:v>Q1 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Categories'!$C$2:$C$7</c:f>
              <c:numCache>
                <c:formatCode>General</c:formatCode>
                <c:ptCount val="6"/>
                <c:pt idx="0">
                  <c:v>1680</c:v>
                </c:pt>
                <c:pt idx="1">
                  <c:v>940</c:v>
                </c:pt>
                <c:pt idx="2">
                  <c:v>827</c:v>
                </c:pt>
                <c:pt idx="3">
                  <c:v>1092</c:v>
                </c:pt>
                <c:pt idx="4">
                  <c:v>843</c:v>
                </c:pt>
                <c:pt idx="5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6-B647-B137-876B28EDC679}"/>
            </c:ext>
          </c:extLst>
        </c:ser>
        <c:ser>
          <c:idx val="1"/>
          <c:order val="1"/>
          <c:tx>
            <c:strRef>
              <c:f>'Product Categories'!$E$1</c:f>
              <c:strCache>
                <c:ptCount val="1"/>
                <c:pt idx="0">
                  <c:v>Q2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Categories'!$E$2:$E$7</c:f>
              <c:numCache>
                <c:formatCode>General</c:formatCode>
                <c:ptCount val="6"/>
                <c:pt idx="0">
                  <c:v>1630</c:v>
                </c:pt>
                <c:pt idx="1">
                  <c:v>972</c:v>
                </c:pt>
                <c:pt idx="2">
                  <c:v>852</c:v>
                </c:pt>
                <c:pt idx="3">
                  <c:v>1146</c:v>
                </c:pt>
                <c:pt idx="4">
                  <c:v>885</c:v>
                </c:pt>
                <c:pt idx="5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6-B647-B137-876B28EDC679}"/>
            </c:ext>
          </c:extLst>
        </c:ser>
        <c:ser>
          <c:idx val="2"/>
          <c:order val="2"/>
          <c:tx>
            <c:strRef>
              <c:f>'Product Categories'!$G$1</c:f>
              <c:strCache>
                <c:ptCount val="1"/>
                <c:pt idx="0">
                  <c:v>Q3 Revenue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Categories'!$G$2:$G$7</c:f>
              <c:numCache>
                <c:formatCode>General</c:formatCode>
                <c:ptCount val="6"/>
                <c:pt idx="0">
                  <c:v>1840</c:v>
                </c:pt>
                <c:pt idx="1">
                  <c:v>888</c:v>
                </c:pt>
                <c:pt idx="2">
                  <c:v>780</c:v>
                </c:pt>
                <c:pt idx="3">
                  <c:v>1056</c:v>
                </c:pt>
                <c:pt idx="4">
                  <c:v>930</c:v>
                </c:pt>
                <c:pt idx="5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A6-B647-B137-876B28EDC679}"/>
            </c:ext>
          </c:extLst>
        </c:ser>
        <c:ser>
          <c:idx val="3"/>
          <c:order val="3"/>
          <c:tx>
            <c:strRef>
              <c:f>'Product Categories'!$I$1</c:f>
              <c:strCache>
                <c:ptCount val="1"/>
                <c:pt idx="0">
                  <c:v>Q4 Revenue ($000s)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Categories'!$I$2:$I$7</c:f>
              <c:numCache>
                <c:formatCode>General</c:formatCode>
                <c:ptCount val="6"/>
                <c:pt idx="0">
                  <c:v>2500</c:v>
                </c:pt>
                <c:pt idx="1">
                  <c:v>1284</c:v>
                </c:pt>
                <c:pt idx="2">
                  <c:v>1176</c:v>
                </c:pt>
                <c:pt idx="3">
                  <c:v>1590</c:v>
                </c:pt>
                <c:pt idx="4">
                  <c:v>1335</c:v>
                </c:pt>
                <c:pt idx="5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A6-B647-B137-876B28EDC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9288576"/>
        <c:axId val="1783567840"/>
      </c:barChart>
      <c:catAx>
        <c:axId val="18092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567840"/>
        <c:crosses val="autoZero"/>
        <c:auto val="1"/>
        <c:lblAlgn val="ctr"/>
        <c:lblOffset val="100"/>
        <c:noMultiLvlLbl val="0"/>
      </c:catAx>
      <c:valAx>
        <c:axId val="17835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2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'Q1 Next Year Projection ($000s)'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yVal>
            <c:numRef>
              <c:f>Forecasting!$N$2:$N$7</c:f>
              <c:numCache>
                <c:formatCode>#,##0</c:formatCode>
                <c:ptCount val="6"/>
                <c:pt idx="0">
                  <c:v>3720</c:v>
                </c:pt>
                <c:pt idx="1">
                  <c:v>1754</c:v>
                </c:pt>
                <c:pt idx="2">
                  <c:v>1672</c:v>
                </c:pt>
                <c:pt idx="3">
                  <c:v>2315</c:v>
                </c:pt>
                <c:pt idx="4">
                  <c:v>2115</c:v>
                </c:pt>
                <c:pt idx="5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D-C240-A6F0-27412874F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678272"/>
        <c:axId val="1902808208"/>
      </c:scatterChart>
      <c:valAx>
        <c:axId val="190267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08208"/>
        <c:crosses val="autoZero"/>
        <c:crossBetween val="midCat"/>
      </c:valAx>
      <c:valAx>
        <c:axId val="19028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Q1 Next Year Projection ($000s)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67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190499</xdr:rowOff>
    </xdr:from>
    <xdr:to>
      <xdr:col>6</xdr:col>
      <xdr:colOff>0</xdr:colOff>
      <xdr:row>29</xdr:row>
      <xdr:rowOff>183028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A669F-0B74-BB6D-D6A2-6DCCDDB74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3191</xdr:colOff>
      <xdr:row>27</xdr:row>
      <xdr:rowOff>9574</xdr:rowOff>
    </xdr:from>
    <xdr:to>
      <xdr:col>10</xdr:col>
      <xdr:colOff>0</xdr:colOff>
      <xdr:row>40</xdr:row>
      <xdr:rowOff>184151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81109D-410E-4C05-862C-72928FF58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3</xdr:col>
      <xdr:colOff>1524000</xdr:colOff>
      <xdr:row>44</xdr:row>
      <xdr:rowOff>12700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77820B-15F6-B2F3-56C6-5449C1B2AD39}"/>
            </a:ext>
          </a:extLst>
        </xdr:cNvPr>
        <xdr:cNvSpPr txBox="1"/>
      </xdr:nvSpPr>
      <xdr:spPr>
        <a:xfrm>
          <a:off x="0" y="6489700"/>
          <a:ext cx="4724400" cy="229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/>
            <a:t>by ranking, St001 in the North region has</a:t>
          </a:r>
          <a:r>
            <a:rPr lang="en-GB" sz="1100" b="1" baseline="0"/>
            <a:t> the most profitability ( EBITDA Margin ) </a:t>
          </a:r>
          <a:br>
            <a:rPr lang="en-GB" sz="1100" b="1" baseline="0"/>
          </a:br>
          <a:r>
            <a:rPr lang="en-GB" sz="1100" b="1" baseline="0"/>
            <a:t>By region, </a:t>
          </a:r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profitable region: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North (highest revenue + Flagship stores) </a:t>
          </a:r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Least profitable region: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South (lowest revenue + mix of Standard/Express)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Recommendations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 in Flagship stores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highest margin (26.1%) and revenue. Replicate their practices.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Express stores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lowest margin (22.4%). ST006 is the least profitable store overall.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South region underperforming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lowest revenue and has no Flagship stores. Consider upgrading to Standard or relocating.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ZA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182738</xdr:rowOff>
    </xdr:from>
    <xdr:to>
      <xdr:col>4</xdr:col>
      <xdr:colOff>11759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6A5FF-C3CE-540F-98BD-A7E472156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11759</xdr:colOff>
      <xdr:row>14</xdr:row>
      <xdr:rowOff>0</xdr:rowOff>
    </xdr:from>
    <xdr:to>
      <xdr:col>8</xdr:col>
      <xdr:colOff>0</xdr:colOff>
      <xdr:row>28</xdr:row>
      <xdr:rowOff>188147</xdr:rowOff>
    </xdr:to>
    <xdr:graphicFrame macro="">
      <xdr:nvGraphicFramePr>
        <xdr:cNvPr id="3" name="Chart 2" descr="Chart type: Clustered Column, Line. 'Total Active Customers', 'Orders per Customer' by 'Month'&#10;&#10;Description automatically generated">
          <a:extLst>
            <a:ext uri="{FF2B5EF4-FFF2-40B4-BE49-F238E27FC236}">
              <a16:creationId xmlns:a16="http://schemas.microsoft.com/office/drawing/2014/main" id="{4F6C2206-C516-9C7A-E226-3D33A0CD0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1218259</xdr:colOff>
      <xdr:row>14</xdr:row>
      <xdr:rowOff>314</xdr:rowOff>
    </xdr:from>
    <xdr:to>
      <xdr:col>13</xdr:col>
      <xdr:colOff>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AF452-1081-80C1-80E0-C83FBD70B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11759</xdr:colOff>
      <xdr:row>31</xdr:row>
      <xdr:rowOff>1</xdr:rowOff>
    </xdr:from>
    <xdr:to>
      <xdr:col>13</xdr:col>
      <xdr:colOff>0</xdr:colOff>
      <xdr:row>53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4FB16C-CDDC-B35F-5E52-6831EAD3B2CD}"/>
            </a:ext>
          </a:extLst>
        </xdr:cNvPr>
        <xdr:cNvSpPr txBox="1"/>
      </xdr:nvSpPr>
      <xdr:spPr>
        <a:xfrm>
          <a:off x="9795463" y="6032501"/>
          <a:ext cx="4409722" cy="41392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b="1" i="0" u="none" strike="noStrike">
              <a:solidFill>
                <a:srgbClr val="000000"/>
              </a:solidFill>
              <a:effectLst/>
            </a:rPr>
            <a:t>Customer Acquisition (Very Positive)</a:t>
          </a:r>
          <a:endParaRPr lang="en-ZA" b="0" i="0" u="none" strike="noStrike">
            <a:solidFill>
              <a:srgbClr val="000000"/>
            </a:solidFill>
            <a:effectLst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ZA" b="0" i="0" u="none" strike="noStrike">
              <a:solidFill>
                <a:srgbClr val="000000"/>
              </a:solidFill>
              <a:effectLst/>
            </a:rPr>
            <a:t>New customer acquisition accelerated </a:t>
          </a:r>
          <a:r>
            <a:rPr lang="en-ZA" b="1" i="0" u="none" strike="noStrike">
              <a:solidFill>
                <a:srgbClr val="000000"/>
              </a:solidFill>
              <a:effectLst/>
            </a:rPr>
            <a:t>49.7%</a:t>
          </a:r>
          <a:r>
            <a:rPr lang="en-ZA" b="0" i="0" u="none" strike="noStrike">
              <a:solidFill>
                <a:srgbClr val="000000"/>
              </a:solidFill>
              <a:effectLst/>
            </a:rPr>
            <a:t> from Q1 to Q4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b="0" i="0" u="none" strike="noStrike">
              <a:solidFill>
                <a:srgbClr val="000000"/>
              </a:solidFill>
              <a:effectLst/>
            </a:rPr>
            <a:t>Q1 average: 2,383 new customers/month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b="0" i="0" u="none" strike="noStrike">
              <a:solidFill>
                <a:srgbClr val="000000"/>
              </a:solidFill>
              <a:effectLst/>
            </a:rPr>
            <a:t>Q4 average: 3,567 new customers/month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b="1" i="0" u="none" strike="noStrike">
              <a:solidFill>
                <a:srgbClr val="000000"/>
              </a:solidFill>
              <a:effectLst/>
            </a:rPr>
            <a:t>Peak in December</a:t>
          </a:r>
          <a:r>
            <a:rPr lang="en-ZA" b="0" i="0" u="none" strike="noStrike">
              <a:solidFill>
                <a:srgbClr val="000000"/>
              </a:solidFill>
              <a:effectLst/>
            </a:rPr>
            <a:t>: 4,200 new customers (likely holiday season effect)</a:t>
          </a:r>
        </a:p>
        <a:p>
          <a:r>
            <a:rPr lang="en-GB" sz="1100"/>
            <a:t> </a:t>
          </a:r>
          <a:r>
            <a:rPr lang="en-GB" sz="1100" b="1"/>
            <a:t>Retention</a:t>
          </a:r>
          <a:r>
            <a:rPr lang="en-GB" sz="1100"/>
            <a:t> is Excellent</a:t>
          </a:r>
        </a:p>
        <a:p>
          <a:r>
            <a:rPr lang="en-GB" sz="1100"/>
            <a:t>- the rate improved from 99,57% ( Q1</a:t>
          </a:r>
          <a:r>
            <a:rPr lang="en-GB" sz="1100" baseline="0"/>
            <a:t> ) TO 99,79% ( Q4 )</a:t>
          </a:r>
        </a:p>
        <a:p>
          <a:r>
            <a:rPr lang="en-GB" sz="1100" baseline="0"/>
            <a:t>Customer churn decreased by 28,8% </a:t>
          </a:r>
        </a:p>
        <a:p>
          <a:r>
            <a:rPr lang="en-GB" sz="1100" baseline="0"/>
            <a:t>resulting to a net customer base growing by 68,9%</a:t>
          </a:r>
        </a:p>
        <a:p>
          <a:endParaRPr lang="en-GB" sz="1100" baseline="0"/>
        </a:p>
        <a:p>
          <a:r>
            <a:rPr lang="en-GB" sz="1100" baseline="0"/>
            <a:t>CAC Sustainability shows the it increased by 17,6% and the LTV:CAC ratio dramatically</a:t>
          </a:r>
          <a:r>
            <a:rPr lang="en-GB" sz="1100" u="sng" baseline="0"/>
            <a:t>. IT IS SUSTAINABLE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Strategic Recommendations: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Continue Aggressive Growth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With LTV:CAC at 70x, you have massive headroom to invest in acquisition. Even if CAC doubled, you'd still be highly profitable.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 Q4 Spike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December's metrics are outstanding. Identify what drove this and replicate year-round.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Monitor CAC Ceiling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Track where diminishing returns begin. Currently no concerns, but set alerts if ratio drops below 20x.</a:t>
          </a:r>
        </a:p>
        <a:p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customer economics are exceptionally strong. The rising CAC is being more than offset by customer value growth—this is textbook sustainable growth.</a:t>
          </a:r>
        </a:p>
        <a:p>
          <a:endParaRPr lang="en-GB" sz="1100" u="sng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6350</xdr:rowOff>
    </xdr:from>
    <xdr:to>
      <xdr:col>3</xdr:col>
      <xdr:colOff>457200</xdr:colOff>
      <xdr:row>26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E73F0-63F8-4899-0008-778AD3489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140561</xdr:rowOff>
    </xdr:from>
    <xdr:to>
      <xdr:col>3</xdr:col>
      <xdr:colOff>471407</xdr:colOff>
      <xdr:row>40</xdr:row>
      <xdr:rowOff>171557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F4063-FADA-6140-7F29-7E218658A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1370319</xdr:colOff>
      <xdr:row>12</xdr:row>
      <xdr:rowOff>187491</xdr:rowOff>
    </xdr:from>
    <xdr:to>
      <xdr:col>9</xdr:col>
      <xdr:colOff>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349771-6CB9-7B50-98F6-77660D8EE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14768</xdr:colOff>
      <xdr:row>30</xdr:row>
      <xdr:rowOff>14767</xdr:rowOff>
    </xdr:from>
    <xdr:to>
      <xdr:col>9</xdr:col>
      <xdr:colOff>0</xdr:colOff>
      <xdr:row>47</xdr:row>
      <xdr:rowOff>191975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3776DA-CFC2-9B02-9E5D-084932B66AB1}"/>
            </a:ext>
          </a:extLst>
        </xdr:cNvPr>
        <xdr:cNvSpPr txBox="1"/>
      </xdr:nvSpPr>
      <xdr:spPr>
        <a:xfrm>
          <a:off x="6881628" y="5966046"/>
          <a:ext cx="5478721" cy="3440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🔴 High Priority - ST003:</a:t>
          </a:r>
          <a:endParaRPr lang="en-ZA" sz="16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Lowest sales per FTE ($25.6K) + lowest satisfaction (3.9) + slowest transactions (9.1 min)</a:t>
          </a: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Root cause likely process inefficiency → investigate checkout flow, staff training</a:t>
          </a:r>
        </a:p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🟠 Medium Priority - ST010 &amp; ST006:</a:t>
          </a:r>
          <a:endParaRPr lang="en-ZA" sz="16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Below-average productivity, slightly below target satisfaction</a:t>
          </a: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Potential for staffing optimization or process improvements</a:t>
          </a:r>
        </a:p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✅ Best Practices to Replicate:</a:t>
          </a:r>
          <a:endParaRPr lang="en-ZA" sz="16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ST004, ST001, ST008</a:t>
          </a:r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have high sales/FTE AND meet satisfaction targets—document their practices for cross-training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8815</xdr:rowOff>
    </xdr:from>
    <xdr:to>
      <xdr:col>3</xdr:col>
      <xdr:colOff>916815</xdr:colOff>
      <xdr:row>30</xdr:row>
      <xdr:rowOff>108289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47497-E18B-606B-4A4D-7114E3CED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186266</xdr:rowOff>
    </xdr:from>
    <xdr:to>
      <xdr:col>9</xdr:col>
      <xdr:colOff>0</xdr:colOff>
      <xdr:row>23</xdr:row>
      <xdr:rowOff>12699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AE87B0-EBB4-5472-3E5E-E21A46B44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12700</xdr:colOff>
      <xdr:row>24</xdr:row>
      <xdr:rowOff>12700</xdr:rowOff>
    </xdr:from>
    <xdr:ext cx="4864100" cy="695254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239E4A-E401-B62A-9088-F32B0AC16FFC}"/>
            </a:ext>
          </a:extLst>
        </xdr:cNvPr>
        <xdr:cNvSpPr txBox="1"/>
      </xdr:nvSpPr>
      <xdr:spPr>
        <a:xfrm>
          <a:off x="6108700" y="4800600"/>
          <a:ext cx="4864100" cy="695254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GB" sz="1300">
              <a:latin typeface="Arial" panose="020B0604020202020204" pitchFamily="34" charset="0"/>
              <a:cs typeface="Arial" panose="020B0604020202020204" pitchFamily="34" charset="0"/>
            </a:rPr>
            <a:t>RetailCo's</a:t>
          </a:r>
          <a:r>
            <a:rPr lang="en-GB" sz="1300" baseline="0">
              <a:latin typeface="Arial" panose="020B0604020202020204" pitchFamily="34" charset="0"/>
              <a:cs typeface="Arial" panose="020B0604020202020204" pitchFamily="34" charset="0"/>
            </a:rPr>
            <a:t> Price point sits at 142 ( $ ) which is above Competitors A and C.</a:t>
          </a:r>
          <a:br>
            <a:rPr lang="en-GB" sz="13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Premium Pricing Opportunity: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Premium players (Competitors B &amp; D) are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growing faster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(15.2% and 18.9%)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They have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higher customer ratings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(4.4-4.5 vs your 4.2)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Combined market share: 28.2% but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growing aggressively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 "Stuck in the Middle" Problem: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two market leaders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(Competitor A: 24.2%, Competitor C: 21.3%) are both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priced lower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than you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Combined, they control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45.5% market share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with lower prices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Your price is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higher than 2 of 3 top competitors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Strategy:</a:t>
          </a:r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Increase prices to $155-165 range</a:t>
          </a: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Rationale:</a:t>
          </a:r>
          <a:endParaRPr lang="en-ZA" sz="1300" b="0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Premium competitors (B &amp; D) are growing </a:t>
          </a:r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2-3x faster</a:t>
          </a:r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than low-price leaders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Your customer satisfaction (4.2) needs improvement to justify current pricing anyway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With LTV:CAC at 70x, you can invest CAC savings into premium service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Competitor D proves the premium model works: $168 price, 18.9% growth</a:t>
          </a: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Actions:</a:t>
          </a:r>
          <a:endParaRPr lang="en-ZA" sz="1300" b="0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Enhance product quality and customer experience to reach 4.5+ rating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Gradually raise prices 8-12% ($155-160 range)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Position as premium value (better than mass market, more accessible than ultra-premium)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Invest in digital experience (currently 28%, below Competitor A's 35%)</a:t>
          </a: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Expected Outcome:</a:t>
          </a:r>
          <a:endParaRPr lang="en-ZA" sz="1300" b="0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Higher margins even if volume drops 5-10%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Target growth rate: 15-18%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Target market share: 15-17% (premium segment)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GB" sz="1100" baseline="0"/>
          </a:br>
          <a:endParaRPr lang="en-GB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190136</xdr:rowOff>
    </xdr:from>
    <xdr:to>
      <xdr:col>4</xdr:col>
      <xdr:colOff>0</xdr:colOff>
      <xdr:row>23</xdr:row>
      <xdr:rowOff>7055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55F26-6073-3312-6BDB-079C0509C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7056</xdr:colOff>
      <xdr:row>8</xdr:row>
      <xdr:rowOff>4098</xdr:rowOff>
    </xdr:from>
    <xdr:to>
      <xdr:col>8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9FA092-3FAC-48A5-F6AD-1371BAB6C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10763</xdr:colOff>
      <xdr:row>23</xdr:row>
      <xdr:rowOff>21525</xdr:rowOff>
    </xdr:from>
    <xdr:to>
      <xdr:col>7</xdr:col>
      <xdr:colOff>1130085</xdr:colOff>
      <xdr:row>32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54DD12-6043-C516-3E61-C152270722C2}"/>
            </a:ext>
          </a:extLst>
        </xdr:cNvPr>
        <xdr:cNvSpPr txBox="1"/>
      </xdr:nvSpPr>
      <xdr:spPr>
        <a:xfrm>
          <a:off x="4574153" y="4853983"/>
          <a:ext cx="4541864" cy="17220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Sports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the fastest-growing category (+58.4%) with strong unit growth—potential for further scaling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Electronics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the largest category ($7.65M total) AND growing fast (+48.8%)—best ROI opportunity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Beauty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a solid #3 with the second-highest total revenue ($4.88M) and strong growth—worth maintaining investment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 priority: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Books shows flat growth (+22.6%) and is the smallest category—consider whether it's worth continued investment.</a:t>
          </a:r>
        </a:p>
        <a:p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9</xdr:row>
      <xdr:rowOff>0</xdr:rowOff>
    </xdr:from>
    <xdr:to>
      <xdr:col>17</xdr:col>
      <xdr:colOff>0</xdr:colOff>
      <xdr:row>25</xdr:row>
      <xdr:rowOff>12700</xdr:rowOff>
    </xdr:to>
    <xdr:graphicFrame macro="">
      <xdr:nvGraphicFramePr>
        <xdr:cNvPr id="2" name="Chart 1" descr="Chart type: Scatter. 'Q1 Next Year Projection ($000s)'&#10;&#10;Description automatically generated">
          <a:extLst>
            <a:ext uri="{FF2B5EF4-FFF2-40B4-BE49-F238E27FC236}">
              <a16:creationId xmlns:a16="http://schemas.microsoft.com/office/drawing/2014/main" id="{2A645B00-B72E-019D-B866-5B02BFAD1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mi" refreshedDate="46119.040944675929" createdVersion="8" refreshedVersion="8" minRefreshableVersion="3" recordCount="10" xr:uid="{DE9DB443-2FAE-5846-8811-C7F225E7B30F}">
  <cacheSource type="worksheet">
    <worksheetSource name="Table1"/>
  </cacheSource>
  <cacheFields count="14">
    <cacheField name="Store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Region" numFmtId="0">
      <sharedItems count="4">
        <s v="North"/>
        <s v="South"/>
        <s v="East"/>
        <s v="West"/>
      </sharedItems>
    </cacheField>
    <cacheField name="Store Type" numFmtId="0">
      <sharedItems count="3">
        <s v="Flagship"/>
        <s v="Standard"/>
        <s v="Express"/>
      </sharedItems>
    </cacheField>
    <cacheField name="Q1 Revenue ($000s)" numFmtId="0">
      <sharedItems containsSemiMixedTypes="0" containsString="0" containsNumber="1" containsInteger="1" minValue="340" maxValue="1420" count="10">
        <n v="1250"/>
        <n v="680"/>
        <n v="590"/>
        <n v="1420"/>
        <n v="720"/>
        <n v="340"/>
        <n v="810"/>
        <n v="1380"/>
        <n v="380"/>
        <n v="640"/>
      </sharedItems>
    </cacheField>
    <cacheField name="Q2 Revenue ($000s)" numFmtId="0">
      <sharedItems containsSemiMixedTypes="0" containsString="0" containsNumber="1" containsInteger="1" minValue="360" maxValue="1390"/>
    </cacheField>
    <cacheField name="Q3 Revenue ($000s)" numFmtId="0">
      <sharedItems containsSemiMixedTypes="0" containsString="0" containsNumber="1" containsInteger="1" minValue="320" maxValue="1520"/>
    </cacheField>
    <cacheField name="Q4 Revenue ($000s)" numFmtId="0">
      <sharedItems containsSemiMixedTypes="0" containsString="0" containsNumber="1" containsInteger="1" minValue="450" maxValue="2100" count="10">
        <n v="1890"/>
        <n v="920"/>
        <n v="780"/>
        <n v="2100"/>
        <n v="980"/>
        <n v="450"/>
        <n v="1120"/>
        <n v="1980"/>
        <n v="510"/>
        <n v="870"/>
      </sharedItems>
    </cacheField>
    <cacheField name="Total Revenue ($000s)" numFmtId="0">
      <sharedItems containsSemiMixedTypes="0" containsString="0" containsNumber="1" containsInteger="1" minValue="1470" maxValue="6430" count="10">
        <n v="5740"/>
        <n v="2970"/>
        <n v="2560"/>
        <n v="6430"/>
        <n v="3140"/>
        <n v="1470"/>
        <n v="3550"/>
        <n v="6150"/>
        <n v="1650"/>
        <n v="2790"/>
      </sharedItems>
    </cacheField>
    <cacheField name="COGS ($000s)" numFmtId="0">
      <sharedItems containsSemiMixedTypes="0" containsString="0" containsNumber="1" minValue="852.59999999999991" maxValue="3729.3999999999996"/>
    </cacheField>
    <cacheField name="Gross Profit ($000s)" numFmtId="0">
      <sharedItems containsSemiMixedTypes="0" containsString="0" containsNumber="1" minValue="617.40000000000009" maxValue="2700.6000000000004"/>
    </cacheField>
    <cacheField name="Operating Expenses ($000s)" numFmtId="0">
      <sharedItems containsSemiMixedTypes="0" containsString="0" containsNumber="1" containsInteger="1" minValue="295" maxValue="1050"/>
    </cacheField>
    <cacheField name="EBITDA ($000s)" numFmtId="0">
      <sharedItems containsSemiMixedTypes="0" containsString="0" containsNumber="1" minValue="322.40000000000009" maxValue="1650.6000000000004"/>
    </cacheField>
    <cacheField name="Gross Margin %" numFmtId="0">
      <sharedItems containsSemiMixedTypes="0" containsString="0" containsNumber="1" minValue="0.42" maxValue="0.4200000000000001"/>
    </cacheField>
    <cacheField name="EBITDA Margin %" numFmtId="0">
      <sharedItems containsSemiMixedTypes="0" containsString="0" containsNumber="1" minValue="0.21931972789115653" maxValue="0.264947735191637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mi" refreshedDate="46119.059746643521" createdVersion="8" refreshedVersion="8" minRefreshableVersion="3" recordCount="6" xr:uid="{ADADDD8D-9D37-4747-8348-7CF22ABA91A1}">
  <cacheSource type="worksheet">
    <worksheetSource ref="A1:B7" sheet="Market Analysis"/>
  </cacheSource>
  <cacheFields count="2">
    <cacheField name="Competitor" numFmtId="0">
      <sharedItems count="6">
        <s v="Our Company"/>
        <s v="Competitor A"/>
        <s v="Competitor B"/>
        <s v="Competitor C"/>
        <s v="Competitor D"/>
        <s v="Others"/>
      </sharedItems>
    </cacheField>
    <cacheField name="Market Share %" numFmtId="0">
      <sharedItems containsSemiMixedTypes="0" containsString="0" containsNumber="1" minValue="7.8" maxValue="24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180"/>
    <n v="1420"/>
    <x v="0"/>
    <x v="0"/>
    <n v="3329.2"/>
    <n v="2410.8000000000002"/>
    <n v="890"/>
    <n v="1520.8000000000002"/>
    <n v="0.42000000000000004"/>
    <n v="0.26494773519163767"/>
  </r>
  <r>
    <x v="1"/>
    <x v="0"/>
    <x v="1"/>
    <x v="1"/>
    <n v="720"/>
    <n v="650"/>
    <x v="1"/>
    <x v="1"/>
    <n v="1722.6"/>
    <n v="1247.4000000000001"/>
    <n v="520"/>
    <n v="727.40000000000009"/>
    <n v="0.42000000000000004"/>
    <n v="0.24491582491582495"/>
  </r>
  <r>
    <x v="2"/>
    <x v="1"/>
    <x v="1"/>
    <x v="2"/>
    <n v="610"/>
    <n v="580"/>
    <x v="2"/>
    <x v="2"/>
    <n v="1484.8"/>
    <n v="1075.2"/>
    <n v="445"/>
    <n v="630.20000000000005"/>
    <n v="0.42000000000000004"/>
    <n v="0.24617187500000001"/>
  </r>
  <r>
    <x v="3"/>
    <x v="2"/>
    <x v="0"/>
    <x v="3"/>
    <n v="1390"/>
    <n v="1520"/>
    <x v="3"/>
    <x v="3"/>
    <n v="3729.3999999999996"/>
    <n v="2700.6000000000004"/>
    <n v="1050"/>
    <n v="1650.6000000000004"/>
    <n v="0.42000000000000004"/>
    <n v="0.25670295489891143"/>
  </r>
  <r>
    <x v="4"/>
    <x v="3"/>
    <x v="1"/>
    <x v="4"/>
    <n v="750"/>
    <n v="690"/>
    <x v="4"/>
    <x v="4"/>
    <n v="1821.1999999999998"/>
    <n v="1318.8000000000002"/>
    <n v="570"/>
    <n v="748.80000000000018"/>
    <n v="0.42000000000000004"/>
    <n v="0.23847133757961789"/>
  </r>
  <r>
    <x v="5"/>
    <x v="1"/>
    <x v="2"/>
    <x v="5"/>
    <n v="360"/>
    <n v="320"/>
    <x v="5"/>
    <x v="5"/>
    <n v="852.59999999999991"/>
    <n v="617.40000000000009"/>
    <n v="295"/>
    <n v="322.40000000000009"/>
    <n v="0.42000000000000004"/>
    <n v="0.21931972789115653"/>
  </r>
  <r>
    <x v="6"/>
    <x v="2"/>
    <x v="1"/>
    <x v="6"/>
    <n v="830"/>
    <n v="790"/>
    <x v="6"/>
    <x v="6"/>
    <n v="2059"/>
    <n v="1491"/>
    <n v="615"/>
    <n v="876"/>
    <n v="0.42"/>
    <n v="0.24676056338028168"/>
  </r>
  <r>
    <x v="7"/>
    <x v="3"/>
    <x v="0"/>
    <x v="7"/>
    <n v="1340"/>
    <n v="1450"/>
    <x v="7"/>
    <x v="7"/>
    <n v="3566.9999999999995"/>
    <n v="2583.0000000000005"/>
    <n v="980"/>
    <n v="1603.0000000000005"/>
    <n v="0.4200000000000001"/>
    <n v="0.26065040650406512"/>
  </r>
  <r>
    <x v="8"/>
    <x v="0"/>
    <x v="2"/>
    <x v="8"/>
    <n v="400"/>
    <n v="360"/>
    <x v="8"/>
    <x v="8"/>
    <n v="956.99999999999989"/>
    <n v="693.00000000000011"/>
    <n v="315"/>
    <n v="378.00000000000011"/>
    <n v="0.4200000000000001"/>
    <n v="0.22909090909090915"/>
  </r>
  <r>
    <x v="9"/>
    <x v="1"/>
    <x v="1"/>
    <x v="9"/>
    <n v="670"/>
    <n v="610"/>
    <x v="9"/>
    <x v="9"/>
    <n v="1618.1999999999998"/>
    <n v="1171.8000000000002"/>
    <n v="485"/>
    <n v="686.80000000000018"/>
    <n v="0.42000000000000004"/>
    <n v="0.246164874551971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8.5"/>
  </r>
  <r>
    <x v="1"/>
    <n v="24.2"/>
  </r>
  <r>
    <x v="2"/>
    <n v="15.8"/>
  </r>
  <r>
    <x v="3"/>
    <n v="21.3"/>
  </r>
  <r>
    <x v="4"/>
    <n v="12.4"/>
  </r>
  <r>
    <x v="5"/>
    <n v="7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DC588-22B4-6B4B-8A39-FA56D8F1DEB2}" name="PivotTable6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3:M27" firstHeaderRow="0" firstDataRow="1" firstDataCol="1"/>
  <pivotFields count="14"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>
      <items count="11">
        <item x="5"/>
        <item x="8"/>
        <item x="2"/>
        <item x="9"/>
        <item x="1"/>
        <item x="4"/>
        <item x="6"/>
        <item x="0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4">
    <i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1 Revenue ($000s)" fld="3" baseField="0" baseItem="0"/>
    <dataField name="Sum of Q2 Revenue ($000s)" fld="4" baseField="0" baseItem="0"/>
    <dataField name="Sum of Q3 Revenue ($000s)" fld="5" baseField="0" baseItem="0"/>
    <dataField name="Sum of Q4 Revenue ($000s)" fld="6" baseField="0" baseItem="0"/>
    <dataField name="Sum of Total Revenue ($000s)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7B77A-C0BC-CB4F-BD06-65C1DA8F4610}" name="PivotTable7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9:B16" firstHeaderRow="1" firstDataRow="1" firstDataCol="1"/>
  <pivotFields count="2">
    <pivotField axis="axisRow" compact="0" outline="0" showAll="0" sortType="descending">
      <items count="7">
        <item x="1"/>
        <item x="2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7">
    <i>
      <x/>
    </i>
    <i>
      <x v="2"/>
    </i>
    <i>
      <x v="5"/>
    </i>
    <i>
      <x v="1"/>
    </i>
    <i>
      <x v="3"/>
    </i>
    <i>
      <x v="4"/>
    </i>
    <i t="grand">
      <x/>
    </i>
  </rowItems>
  <colItems count="1">
    <i/>
  </colItems>
  <dataFields count="1">
    <dataField name="Average of Market Share %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0A6F-9985-D54E-9280-3A721AFB3618}" name="Table1" displayName="Table1" ref="A1:N12" totalsRowCount="1" headerRowDxfId="0">
  <autoFilter ref="A1:N11" xr:uid="{D1000A6F-9985-D54E-9280-3A721AFB3618}"/>
  <tableColumns count="14">
    <tableColumn id="1" xr3:uid="{BECA49F8-DCEE-E14A-A2A2-30E2795150E9}" name="Store ID"/>
    <tableColumn id="2" xr3:uid="{6DAEA3AD-E9C4-104E-AA3E-C87379F20073}" name="Region"/>
    <tableColumn id="3" xr3:uid="{0AF62A7D-8ED9-B44F-82BF-8EB82F45E9D9}" name="Store Type"/>
    <tableColumn id="4" xr3:uid="{258C49AC-9CEF-2D42-B6B6-9A3F89C5AD34}" name="Q1 Revenue ($000s)"/>
    <tableColumn id="5" xr3:uid="{DC5F38F3-9F62-984E-927A-FBFD742C3551}" name="Q2 Revenue ($000s)"/>
    <tableColumn id="6" xr3:uid="{D76E5034-5B5B-CD45-9961-9067C8EFE6DE}" name="Q3 Revenue ($000s)"/>
    <tableColumn id="7" xr3:uid="{6B19183F-5E89-AC43-AC75-39E843085A8E}" name="Q4 Revenue ($000s)"/>
    <tableColumn id="8" xr3:uid="{4852E386-6822-1E45-A7EA-2FFBE74351D8}" name="Total Revenue ($000s)">
      <calculatedColumnFormula>SUM(D2:G2)</calculatedColumnFormula>
    </tableColumn>
    <tableColumn id="9" xr3:uid="{F9EC20B9-1175-D549-ADBD-39CD7EE75C9A}" name="COGS ($000s)">
      <calculatedColumnFormula>H2*0.58</calculatedColumnFormula>
    </tableColumn>
    <tableColumn id="10" xr3:uid="{A6642599-A31B-D841-83CC-53BC9E9C043C}" name="Gross Profit ($000s)">
      <calculatedColumnFormula>H2-I2</calculatedColumnFormula>
    </tableColumn>
    <tableColumn id="11" xr3:uid="{0CC8D838-A9B5-7849-9D6E-8172E57DE943}" name="Operating Expenses ($000s)"/>
    <tableColumn id="12" xr3:uid="{F935BFBE-8341-CC4E-ACB1-E18A8F0898F2}" name="EBITDA ($000s)">
      <calculatedColumnFormula>J2-K2</calculatedColumnFormula>
    </tableColumn>
    <tableColumn id="13" xr3:uid="{04270A69-942B-3749-9A87-DCBF3CA84145}" name="Gross Margin %">
      <calculatedColumnFormula>J2/H2</calculatedColumnFormula>
    </tableColumn>
    <tableColumn id="14" xr3:uid="{AE0AD6C2-1733-D24B-AEDE-BC1B466500C1}" name="EBITDA Margin %">
      <calculatedColumnFormula>L2/H2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C1C262-0E54-1842-B21F-0CF076C3FC32}">
  <we:reference id="wa200008745" version="1.0.0.0" store="en-US" storeType="OMEX"/>
  <we:alternateReferences>
    <we:reference id="wa200008745" version="1.0.0.0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zoomScale="170" zoomScaleNormal="100" workbookViewId="0">
      <selection activeCell="B6" sqref="B6"/>
    </sheetView>
  </sheetViews>
  <sheetFormatPr baseColWidth="10" defaultColWidth="8.6640625" defaultRowHeight="15"/>
  <cols>
    <col min="1" max="1" width="35" customWidth="1"/>
    <col min="2" max="2" width="60" customWidth="1"/>
  </cols>
  <sheetData>
    <row r="1" spans="1:2" ht="21">
      <c r="A1" s="1" t="s">
        <v>91</v>
      </c>
      <c r="B1" s="1"/>
    </row>
    <row r="3" spans="1:2" ht="16">
      <c r="A3" s="3" t="s">
        <v>92</v>
      </c>
      <c r="B3" t="s">
        <v>93</v>
      </c>
    </row>
    <row r="5" spans="1:2" ht="16">
      <c r="A5" s="3" t="s">
        <v>94</v>
      </c>
    </row>
    <row r="6" spans="1:2">
      <c r="A6" t="s">
        <v>95</v>
      </c>
      <c r="B6" s="10" t="s">
        <v>96</v>
      </c>
    </row>
    <row r="7" spans="1:2">
      <c r="A7" t="s">
        <v>97</v>
      </c>
      <c r="B7" s="10" t="s">
        <v>98</v>
      </c>
    </row>
    <row r="8" spans="1:2">
      <c r="A8" t="s">
        <v>99</v>
      </c>
      <c r="B8" s="10" t="s">
        <v>100</v>
      </c>
    </row>
    <row r="9" spans="1:2">
      <c r="A9" t="s">
        <v>101</v>
      </c>
      <c r="B9" s="10" t="s">
        <v>102</v>
      </c>
    </row>
    <row r="10" spans="1:2">
      <c r="A10" t="s">
        <v>103</v>
      </c>
      <c r="B10" s="10" t="s">
        <v>104</v>
      </c>
    </row>
    <row r="11" spans="1:2">
      <c r="A11" t="s">
        <v>105</v>
      </c>
      <c r="B11" s="10" t="s">
        <v>106</v>
      </c>
    </row>
    <row r="13" spans="1:2" ht="16">
      <c r="A13" s="3" t="s">
        <v>107</v>
      </c>
    </row>
    <row r="14" spans="1:2">
      <c r="A14" t="s">
        <v>108</v>
      </c>
    </row>
    <row r="15" spans="1:2">
      <c r="A15" t="s">
        <v>109</v>
      </c>
    </row>
    <row r="16" spans="1:2">
      <c r="A16" t="s">
        <v>110</v>
      </c>
    </row>
    <row r="17" spans="1:2">
      <c r="A17" t="s">
        <v>111</v>
      </c>
    </row>
    <row r="18" spans="1:2" ht="16">
      <c r="A18" s="3"/>
    </row>
    <row r="19" spans="1:2">
      <c r="A19" s="4" t="s">
        <v>112</v>
      </c>
    </row>
    <row r="20" spans="1:2">
      <c r="A20" s="4" t="s">
        <v>113</v>
      </c>
      <c r="B20" t="s">
        <v>114</v>
      </c>
    </row>
    <row r="21" spans="1:2">
      <c r="A21" s="4" t="s">
        <v>115</v>
      </c>
      <c r="B21" t="s">
        <v>116</v>
      </c>
    </row>
    <row r="22" spans="1:2">
      <c r="A22" s="4" t="s">
        <v>117</v>
      </c>
      <c r="B22" t="s">
        <v>118</v>
      </c>
    </row>
    <row r="23" spans="1:2">
      <c r="A23" t="s">
        <v>119</v>
      </c>
      <c r="B23" t="s">
        <v>120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selection activeCell="C46" sqref="C46"/>
    </sheetView>
  </sheetViews>
  <sheetFormatPr baseColWidth="10" defaultColWidth="8.6640625" defaultRowHeight="15"/>
  <cols>
    <col min="1" max="3" width="14" customWidth="1"/>
    <col min="4" max="7" width="20.1640625" customWidth="1"/>
    <col min="8" max="8" width="12.1640625" bestFit="1" customWidth="1"/>
    <col min="9" max="12" width="22.5" bestFit="1" customWidth="1"/>
    <col min="13" max="13" width="24" bestFit="1" customWidth="1"/>
    <col min="14" max="14" width="20.6640625" bestFit="1" customWidth="1"/>
    <col min="15" max="18" width="5.1640625" bestFit="1" customWidth="1"/>
    <col min="19" max="19" width="23.33203125" bestFit="1" customWidth="1"/>
    <col min="20" max="28" width="5.1640625" bestFit="1" customWidth="1"/>
    <col min="29" max="29" width="23.33203125" bestFit="1" customWidth="1"/>
    <col min="30" max="38" width="5.1640625" bestFit="1" customWidth="1"/>
    <col min="39" max="39" width="23.33203125" bestFit="1" customWidth="1"/>
    <col min="40" max="48" width="5.1640625" bestFit="1" customWidth="1"/>
    <col min="49" max="52" width="27.6640625" bestFit="1" customWidth="1"/>
  </cols>
  <sheetData>
    <row r="1" spans="1:14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1250</v>
      </c>
      <c r="E2">
        <v>1180</v>
      </c>
      <c r="F2">
        <v>1420</v>
      </c>
      <c r="G2">
        <v>1890</v>
      </c>
      <c r="H2">
        <f t="shared" ref="H2:H11" si="0">SUM(D2:G2)</f>
        <v>5740</v>
      </c>
      <c r="I2">
        <f t="shared" ref="I2:I11" si="1">H2*0.58</f>
        <v>3329.2</v>
      </c>
      <c r="J2">
        <f t="shared" ref="J2:J11" si="2">H2-I2</f>
        <v>2410.8000000000002</v>
      </c>
      <c r="K2">
        <v>890</v>
      </c>
      <c r="L2">
        <f t="shared" ref="L2:L11" si="3">J2-K2</f>
        <v>1520.8000000000002</v>
      </c>
      <c r="M2">
        <f t="shared" ref="M2:M11" si="4">J2/H2</f>
        <v>0.42000000000000004</v>
      </c>
      <c r="N2">
        <f t="shared" ref="N2:N11" si="5">L2/H2</f>
        <v>0.26494773519163767</v>
      </c>
    </row>
    <row r="3" spans="1:14">
      <c r="A3" t="s">
        <v>17</v>
      </c>
      <c r="B3" t="s">
        <v>15</v>
      </c>
      <c r="C3" t="s">
        <v>18</v>
      </c>
      <c r="D3">
        <v>680</v>
      </c>
      <c r="E3">
        <v>720</v>
      </c>
      <c r="F3">
        <v>650</v>
      </c>
      <c r="G3">
        <v>920</v>
      </c>
      <c r="H3">
        <f t="shared" si="0"/>
        <v>2970</v>
      </c>
      <c r="I3">
        <f t="shared" si="1"/>
        <v>1722.6</v>
      </c>
      <c r="J3">
        <f t="shared" si="2"/>
        <v>1247.4000000000001</v>
      </c>
      <c r="K3">
        <v>520</v>
      </c>
      <c r="L3">
        <f t="shared" si="3"/>
        <v>727.40000000000009</v>
      </c>
      <c r="M3">
        <f t="shared" si="4"/>
        <v>0.42000000000000004</v>
      </c>
      <c r="N3">
        <f t="shared" si="5"/>
        <v>0.24491582491582495</v>
      </c>
    </row>
    <row r="4" spans="1:14">
      <c r="A4" t="s">
        <v>19</v>
      </c>
      <c r="B4" t="s">
        <v>20</v>
      </c>
      <c r="C4" t="s">
        <v>18</v>
      </c>
      <c r="D4">
        <v>590</v>
      </c>
      <c r="E4">
        <v>610</v>
      </c>
      <c r="F4">
        <v>580</v>
      </c>
      <c r="G4">
        <v>780</v>
      </c>
      <c r="H4">
        <f t="shared" si="0"/>
        <v>2560</v>
      </c>
      <c r="I4">
        <f t="shared" si="1"/>
        <v>1484.8</v>
      </c>
      <c r="J4">
        <f t="shared" si="2"/>
        <v>1075.2</v>
      </c>
      <c r="K4">
        <v>445</v>
      </c>
      <c r="L4">
        <f t="shared" si="3"/>
        <v>630.20000000000005</v>
      </c>
      <c r="M4">
        <f t="shared" si="4"/>
        <v>0.42000000000000004</v>
      </c>
      <c r="N4">
        <f t="shared" si="5"/>
        <v>0.24617187500000001</v>
      </c>
    </row>
    <row r="5" spans="1:14">
      <c r="A5" t="s">
        <v>21</v>
      </c>
      <c r="B5" t="s">
        <v>22</v>
      </c>
      <c r="C5" t="s">
        <v>16</v>
      </c>
      <c r="D5">
        <v>1420</v>
      </c>
      <c r="E5">
        <v>1390</v>
      </c>
      <c r="F5">
        <v>1520</v>
      </c>
      <c r="G5">
        <v>2100</v>
      </c>
      <c r="H5">
        <f t="shared" si="0"/>
        <v>6430</v>
      </c>
      <c r="I5">
        <f t="shared" si="1"/>
        <v>3729.3999999999996</v>
      </c>
      <c r="J5">
        <f t="shared" si="2"/>
        <v>2700.6000000000004</v>
      </c>
      <c r="K5">
        <v>1050</v>
      </c>
      <c r="L5">
        <f t="shared" si="3"/>
        <v>1650.6000000000004</v>
      </c>
      <c r="M5">
        <f t="shared" si="4"/>
        <v>0.42000000000000004</v>
      </c>
      <c r="N5">
        <f t="shared" si="5"/>
        <v>0.25670295489891143</v>
      </c>
    </row>
    <row r="6" spans="1:14">
      <c r="A6" t="s">
        <v>23</v>
      </c>
      <c r="B6" t="s">
        <v>24</v>
      </c>
      <c r="C6" t="s">
        <v>18</v>
      </c>
      <c r="D6">
        <v>720</v>
      </c>
      <c r="E6">
        <v>750</v>
      </c>
      <c r="F6">
        <v>690</v>
      </c>
      <c r="G6">
        <v>980</v>
      </c>
      <c r="H6">
        <f t="shared" si="0"/>
        <v>3140</v>
      </c>
      <c r="I6">
        <f t="shared" si="1"/>
        <v>1821.1999999999998</v>
      </c>
      <c r="J6">
        <f t="shared" si="2"/>
        <v>1318.8000000000002</v>
      </c>
      <c r="K6">
        <v>570</v>
      </c>
      <c r="L6">
        <f t="shared" si="3"/>
        <v>748.80000000000018</v>
      </c>
      <c r="M6">
        <f t="shared" si="4"/>
        <v>0.42000000000000004</v>
      </c>
      <c r="N6">
        <f t="shared" si="5"/>
        <v>0.23847133757961789</v>
      </c>
    </row>
    <row r="7" spans="1:14">
      <c r="A7" t="s">
        <v>25</v>
      </c>
      <c r="B7" t="s">
        <v>20</v>
      </c>
      <c r="C7" t="s">
        <v>26</v>
      </c>
      <c r="D7">
        <v>340</v>
      </c>
      <c r="E7">
        <v>360</v>
      </c>
      <c r="F7">
        <v>320</v>
      </c>
      <c r="G7">
        <v>450</v>
      </c>
      <c r="H7">
        <f t="shared" si="0"/>
        <v>1470</v>
      </c>
      <c r="I7">
        <f t="shared" si="1"/>
        <v>852.59999999999991</v>
      </c>
      <c r="J7">
        <f t="shared" si="2"/>
        <v>617.40000000000009</v>
      </c>
      <c r="K7">
        <v>295</v>
      </c>
      <c r="L7">
        <f t="shared" si="3"/>
        <v>322.40000000000009</v>
      </c>
      <c r="M7">
        <f t="shared" si="4"/>
        <v>0.42000000000000004</v>
      </c>
      <c r="N7">
        <f t="shared" si="5"/>
        <v>0.21931972789115653</v>
      </c>
    </row>
    <row r="8" spans="1:14">
      <c r="A8" t="s">
        <v>27</v>
      </c>
      <c r="B8" t="s">
        <v>22</v>
      </c>
      <c r="C8" t="s">
        <v>18</v>
      </c>
      <c r="D8">
        <v>810</v>
      </c>
      <c r="E8">
        <v>830</v>
      </c>
      <c r="F8">
        <v>790</v>
      </c>
      <c r="G8">
        <v>1120</v>
      </c>
      <c r="H8">
        <f t="shared" si="0"/>
        <v>3550</v>
      </c>
      <c r="I8">
        <f t="shared" si="1"/>
        <v>2059</v>
      </c>
      <c r="J8">
        <f t="shared" si="2"/>
        <v>1491</v>
      </c>
      <c r="K8">
        <v>615</v>
      </c>
      <c r="L8">
        <f t="shared" si="3"/>
        <v>876</v>
      </c>
      <c r="M8">
        <f t="shared" si="4"/>
        <v>0.42</v>
      </c>
      <c r="N8">
        <f t="shared" si="5"/>
        <v>0.24676056338028168</v>
      </c>
    </row>
    <row r="9" spans="1:14">
      <c r="A9" t="s">
        <v>28</v>
      </c>
      <c r="B9" t="s">
        <v>24</v>
      </c>
      <c r="C9" t="s">
        <v>16</v>
      </c>
      <c r="D9">
        <v>1380</v>
      </c>
      <c r="E9">
        <v>1340</v>
      </c>
      <c r="F9">
        <v>1450</v>
      </c>
      <c r="G9">
        <v>1980</v>
      </c>
      <c r="H9">
        <f t="shared" si="0"/>
        <v>6150</v>
      </c>
      <c r="I9">
        <f t="shared" si="1"/>
        <v>3566.9999999999995</v>
      </c>
      <c r="J9">
        <f t="shared" si="2"/>
        <v>2583.0000000000005</v>
      </c>
      <c r="K9">
        <v>980</v>
      </c>
      <c r="L9">
        <f t="shared" si="3"/>
        <v>1603.0000000000005</v>
      </c>
      <c r="M9">
        <f t="shared" si="4"/>
        <v>0.4200000000000001</v>
      </c>
      <c r="N9">
        <f t="shared" si="5"/>
        <v>0.26065040650406512</v>
      </c>
    </row>
    <row r="10" spans="1:14">
      <c r="A10" t="s">
        <v>29</v>
      </c>
      <c r="B10" t="s">
        <v>15</v>
      </c>
      <c r="C10" t="s">
        <v>26</v>
      </c>
      <c r="D10">
        <v>380</v>
      </c>
      <c r="E10">
        <v>400</v>
      </c>
      <c r="F10">
        <v>360</v>
      </c>
      <c r="G10">
        <v>510</v>
      </c>
      <c r="H10">
        <f t="shared" si="0"/>
        <v>1650</v>
      </c>
      <c r="I10">
        <f t="shared" si="1"/>
        <v>956.99999999999989</v>
      </c>
      <c r="J10">
        <f t="shared" si="2"/>
        <v>693.00000000000011</v>
      </c>
      <c r="K10">
        <v>315</v>
      </c>
      <c r="L10">
        <f t="shared" si="3"/>
        <v>378.00000000000011</v>
      </c>
      <c r="M10">
        <f t="shared" si="4"/>
        <v>0.4200000000000001</v>
      </c>
      <c r="N10">
        <f t="shared" si="5"/>
        <v>0.22909090909090915</v>
      </c>
    </row>
    <row r="11" spans="1:14">
      <c r="A11" t="s">
        <v>30</v>
      </c>
      <c r="B11" t="s">
        <v>20</v>
      </c>
      <c r="C11" t="s">
        <v>18</v>
      </c>
      <c r="D11">
        <v>640</v>
      </c>
      <c r="E11">
        <v>670</v>
      </c>
      <c r="F11">
        <v>610</v>
      </c>
      <c r="G11">
        <v>870</v>
      </c>
      <c r="H11">
        <f t="shared" si="0"/>
        <v>2790</v>
      </c>
      <c r="I11">
        <f t="shared" si="1"/>
        <v>1618.1999999999998</v>
      </c>
      <c r="J11">
        <f t="shared" si="2"/>
        <v>1171.8000000000002</v>
      </c>
      <c r="K11">
        <v>485</v>
      </c>
      <c r="L11">
        <f t="shared" si="3"/>
        <v>686.80000000000018</v>
      </c>
      <c r="M11">
        <f t="shared" si="4"/>
        <v>0.42000000000000004</v>
      </c>
      <c r="N11">
        <f t="shared" si="5"/>
        <v>0.24616487455197139</v>
      </c>
    </row>
    <row r="13" spans="1:14">
      <c r="H13" s="6" t="s">
        <v>127</v>
      </c>
      <c r="I13" t="s">
        <v>126</v>
      </c>
      <c r="J13" t="s">
        <v>125</v>
      </c>
      <c r="K13" t="s">
        <v>124</v>
      </c>
      <c r="L13" t="s">
        <v>123</v>
      </c>
      <c r="M13" t="s">
        <v>121</v>
      </c>
    </row>
    <row r="14" spans="1:14">
      <c r="H14" s="7" t="s">
        <v>22</v>
      </c>
      <c r="I14" s="5">
        <v>2230</v>
      </c>
      <c r="J14" s="5">
        <v>2220</v>
      </c>
      <c r="K14" s="5">
        <v>2310</v>
      </c>
      <c r="L14" s="5">
        <v>3220</v>
      </c>
      <c r="M14" s="5">
        <v>9980</v>
      </c>
    </row>
    <row r="15" spans="1:14">
      <c r="H15" s="8" t="s">
        <v>16</v>
      </c>
      <c r="I15" s="5">
        <v>1420</v>
      </c>
      <c r="J15" s="5">
        <v>1390</v>
      </c>
      <c r="K15" s="5">
        <v>1520</v>
      </c>
      <c r="L15" s="5">
        <v>2100</v>
      </c>
      <c r="M15" s="5">
        <v>6430</v>
      </c>
    </row>
    <row r="16" spans="1:14">
      <c r="H16" s="8" t="s">
        <v>18</v>
      </c>
      <c r="I16" s="5">
        <v>810</v>
      </c>
      <c r="J16" s="5">
        <v>830</v>
      </c>
      <c r="K16" s="5">
        <v>790</v>
      </c>
      <c r="L16" s="5">
        <v>1120</v>
      </c>
      <c r="M16" s="5">
        <v>3550</v>
      </c>
    </row>
    <row r="17" spans="1:13">
      <c r="H17" s="7" t="s">
        <v>15</v>
      </c>
      <c r="I17" s="5">
        <v>2310</v>
      </c>
      <c r="J17" s="5">
        <v>2300</v>
      </c>
      <c r="K17" s="5">
        <v>2430</v>
      </c>
      <c r="L17" s="5">
        <v>3320</v>
      </c>
      <c r="M17" s="5">
        <v>10360</v>
      </c>
    </row>
    <row r="18" spans="1:13">
      <c r="H18" s="8" t="s">
        <v>26</v>
      </c>
      <c r="I18" s="5">
        <v>380</v>
      </c>
      <c r="J18" s="5">
        <v>400</v>
      </c>
      <c r="K18" s="5">
        <v>360</v>
      </c>
      <c r="L18" s="5">
        <v>510</v>
      </c>
      <c r="M18" s="5">
        <v>1650</v>
      </c>
    </row>
    <row r="19" spans="1:13">
      <c r="H19" s="8" t="s">
        <v>16</v>
      </c>
      <c r="I19" s="5">
        <v>1250</v>
      </c>
      <c r="J19" s="5">
        <v>1180</v>
      </c>
      <c r="K19" s="5">
        <v>1420</v>
      </c>
      <c r="L19" s="5">
        <v>1890</v>
      </c>
      <c r="M19" s="5">
        <v>5740</v>
      </c>
    </row>
    <row r="20" spans="1:13">
      <c r="H20" s="8" t="s">
        <v>18</v>
      </c>
      <c r="I20" s="5">
        <v>680</v>
      </c>
      <c r="J20" s="5">
        <v>720</v>
      </c>
      <c r="K20" s="5">
        <v>650</v>
      </c>
      <c r="L20" s="5">
        <v>920</v>
      </c>
      <c r="M20" s="5">
        <v>2970</v>
      </c>
    </row>
    <row r="21" spans="1:13">
      <c r="H21" s="7" t="s">
        <v>20</v>
      </c>
      <c r="I21" s="5">
        <v>1570</v>
      </c>
      <c r="J21" s="5">
        <v>1640</v>
      </c>
      <c r="K21" s="5">
        <v>1510</v>
      </c>
      <c r="L21" s="5">
        <v>2100</v>
      </c>
      <c r="M21" s="5">
        <v>6820</v>
      </c>
    </row>
    <row r="22" spans="1:13">
      <c r="H22" s="8" t="s">
        <v>26</v>
      </c>
      <c r="I22" s="5">
        <v>340</v>
      </c>
      <c r="J22" s="5">
        <v>360</v>
      </c>
      <c r="K22" s="5">
        <v>320</v>
      </c>
      <c r="L22" s="5">
        <v>450</v>
      </c>
      <c r="M22" s="5">
        <v>1470</v>
      </c>
    </row>
    <row r="23" spans="1:13">
      <c r="H23" s="8" t="s">
        <v>18</v>
      </c>
      <c r="I23" s="5">
        <v>1230</v>
      </c>
      <c r="J23" s="5">
        <v>1280</v>
      </c>
      <c r="K23" s="5">
        <v>1190</v>
      </c>
      <c r="L23" s="5">
        <v>1650</v>
      </c>
      <c r="M23" s="5">
        <v>5350</v>
      </c>
    </row>
    <row r="24" spans="1:13">
      <c r="H24" s="7" t="s">
        <v>24</v>
      </c>
      <c r="I24" s="5">
        <v>2100</v>
      </c>
      <c r="J24" s="5">
        <v>2090</v>
      </c>
      <c r="K24" s="5">
        <v>2140</v>
      </c>
      <c r="L24" s="5">
        <v>2960</v>
      </c>
      <c r="M24" s="5">
        <v>9290</v>
      </c>
    </row>
    <row r="25" spans="1:13">
      <c r="H25" s="8" t="s">
        <v>16</v>
      </c>
      <c r="I25" s="5">
        <v>1380</v>
      </c>
      <c r="J25" s="5">
        <v>1340</v>
      </c>
      <c r="K25" s="5">
        <v>1450</v>
      </c>
      <c r="L25" s="5">
        <v>1980</v>
      </c>
      <c r="M25" s="5">
        <v>6150</v>
      </c>
    </row>
    <row r="26" spans="1:13">
      <c r="H26" s="8" t="s">
        <v>18</v>
      </c>
      <c r="I26" s="5">
        <v>720</v>
      </c>
      <c r="J26" s="5">
        <v>750</v>
      </c>
      <c r="K26" s="5">
        <v>690</v>
      </c>
      <c r="L26" s="5">
        <v>980</v>
      </c>
      <c r="M26" s="5">
        <v>3140</v>
      </c>
    </row>
    <row r="27" spans="1:13">
      <c r="H27" s="7" t="s">
        <v>122</v>
      </c>
      <c r="I27" s="5">
        <v>8210</v>
      </c>
      <c r="J27" s="5">
        <v>8250</v>
      </c>
      <c r="K27" s="5">
        <v>8390</v>
      </c>
      <c r="L27" s="5">
        <v>11600</v>
      </c>
      <c r="M27" s="5">
        <v>36450</v>
      </c>
    </row>
    <row r="32" spans="1:13" ht="16">
      <c r="A32" s="9" t="s">
        <v>96</v>
      </c>
    </row>
  </sheetData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Normal="100" workbookViewId="0">
      <selection activeCell="H36" sqref="H36"/>
    </sheetView>
  </sheetViews>
  <sheetFormatPr baseColWidth="10" defaultColWidth="8.6640625" defaultRowHeight="15"/>
  <cols>
    <col min="1" max="10" width="16" customWidth="1"/>
  </cols>
  <sheetData>
    <row r="1" spans="1:10" ht="30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>
      <c r="A2" t="s">
        <v>41</v>
      </c>
      <c r="B2">
        <v>2400</v>
      </c>
      <c r="C2">
        <v>180</v>
      </c>
      <c r="D2">
        <v>45600</v>
      </c>
      <c r="E2">
        <f>1-(C2/D2)</f>
        <v>0.99605263157894741</v>
      </c>
      <c r="F2">
        <v>127</v>
      </c>
      <c r="G2">
        <v>2.8</v>
      </c>
      <c r="H2">
        <f t="shared" ref="H2:H13" si="0">F2*G2*12</f>
        <v>4267.2</v>
      </c>
      <c r="I2">
        <v>85</v>
      </c>
      <c r="J2">
        <f t="shared" ref="J2:J13" si="1">H2/I2</f>
        <v>50.202352941176471</v>
      </c>
    </row>
    <row r="3" spans="1:10">
      <c r="A3" t="s">
        <v>42</v>
      </c>
      <c r="B3">
        <v>2100</v>
      </c>
      <c r="C3">
        <v>220</v>
      </c>
      <c r="D3">
        <f t="shared" ref="D3:D13" si="2">D2+B3-C3</f>
        <v>47480</v>
      </c>
      <c r="E3">
        <f t="shared" ref="E3:E13" si="3">1-(C3/D2)</f>
        <v>0.99517543859649127</v>
      </c>
      <c r="F3">
        <v>132</v>
      </c>
      <c r="G3">
        <v>2.9</v>
      </c>
      <c r="H3">
        <f t="shared" si="0"/>
        <v>4593.6000000000004</v>
      </c>
      <c r="I3">
        <v>82</v>
      </c>
      <c r="J3">
        <f t="shared" si="1"/>
        <v>56.019512195121955</v>
      </c>
    </row>
    <row r="4" spans="1:10">
      <c r="A4" t="s">
        <v>43</v>
      </c>
      <c r="B4">
        <v>2650</v>
      </c>
      <c r="C4">
        <v>190</v>
      </c>
      <c r="D4">
        <f t="shared" si="2"/>
        <v>49940</v>
      </c>
      <c r="E4">
        <f t="shared" si="3"/>
        <v>0.99599831508003367</v>
      </c>
      <c r="F4">
        <v>129</v>
      </c>
      <c r="G4">
        <v>3.1</v>
      </c>
      <c r="H4">
        <f t="shared" si="0"/>
        <v>4798.8</v>
      </c>
      <c r="I4">
        <v>88</v>
      </c>
      <c r="J4">
        <f t="shared" si="1"/>
        <v>54.531818181818181</v>
      </c>
    </row>
    <row r="5" spans="1:10">
      <c r="A5" t="s">
        <v>44</v>
      </c>
      <c r="B5">
        <v>2300</v>
      </c>
      <c r="C5">
        <v>210</v>
      </c>
      <c r="D5">
        <f t="shared" si="2"/>
        <v>52030</v>
      </c>
      <c r="E5">
        <f t="shared" si="3"/>
        <v>0.99579495394473372</v>
      </c>
      <c r="F5">
        <v>135</v>
      </c>
      <c r="G5">
        <v>2.7</v>
      </c>
      <c r="H5">
        <f t="shared" si="0"/>
        <v>4374</v>
      </c>
      <c r="I5">
        <v>79</v>
      </c>
      <c r="J5">
        <f t="shared" si="1"/>
        <v>55.367088607594937</v>
      </c>
    </row>
    <row r="6" spans="1:10">
      <c r="A6" t="s">
        <v>45</v>
      </c>
      <c r="B6">
        <v>2800</v>
      </c>
      <c r="C6">
        <v>170</v>
      </c>
      <c r="D6">
        <f t="shared" si="2"/>
        <v>54660</v>
      </c>
      <c r="E6">
        <f t="shared" si="3"/>
        <v>0.99673265423793966</v>
      </c>
      <c r="F6">
        <v>131</v>
      </c>
      <c r="G6">
        <v>3.2</v>
      </c>
      <c r="H6">
        <f t="shared" si="0"/>
        <v>5030.4000000000005</v>
      </c>
      <c r="I6">
        <v>91</v>
      </c>
      <c r="J6">
        <f t="shared" si="1"/>
        <v>55.279120879120882</v>
      </c>
    </row>
    <row r="7" spans="1:10">
      <c r="A7" t="s">
        <v>46</v>
      </c>
      <c r="B7">
        <v>2550</v>
      </c>
      <c r="C7">
        <v>200</v>
      </c>
      <c r="D7">
        <f t="shared" si="2"/>
        <v>57010</v>
      </c>
      <c r="E7">
        <f t="shared" si="3"/>
        <v>0.99634101719721913</v>
      </c>
      <c r="F7">
        <v>138</v>
      </c>
      <c r="G7">
        <v>3</v>
      </c>
      <c r="H7">
        <f t="shared" si="0"/>
        <v>4968</v>
      </c>
      <c r="I7">
        <v>86</v>
      </c>
      <c r="J7">
        <f t="shared" si="1"/>
        <v>57.767441860465119</v>
      </c>
    </row>
    <row r="8" spans="1:10">
      <c r="A8" t="s">
        <v>47</v>
      </c>
      <c r="B8">
        <v>2900</v>
      </c>
      <c r="C8">
        <v>160</v>
      </c>
      <c r="D8">
        <f t="shared" si="2"/>
        <v>59750</v>
      </c>
      <c r="E8">
        <f t="shared" si="3"/>
        <v>0.99719347482897736</v>
      </c>
      <c r="F8">
        <v>142</v>
      </c>
      <c r="G8">
        <v>3.4</v>
      </c>
      <c r="H8">
        <f t="shared" si="0"/>
        <v>5793.6</v>
      </c>
      <c r="I8">
        <v>93</v>
      </c>
      <c r="J8">
        <f t="shared" si="1"/>
        <v>62.296774193548394</v>
      </c>
    </row>
    <row r="9" spans="1:10">
      <c r="A9" t="s">
        <v>48</v>
      </c>
      <c r="B9">
        <v>2700</v>
      </c>
      <c r="C9">
        <v>185</v>
      </c>
      <c r="D9">
        <f t="shared" si="2"/>
        <v>62265</v>
      </c>
      <c r="E9">
        <f t="shared" si="3"/>
        <v>0.99690376569037653</v>
      </c>
      <c r="F9">
        <v>136</v>
      </c>
      <c r="G9">
        <v>3.1</v>
      </c>
      <c r="H9">
        <f t="shared" si="0"/>
        <v>5059.2000000000007</v>
      </c>
      <c r="I9">
        <v>87</v>
      </c>
      <c r="J9">
        <f t="shared" si="1"/>
        <v>58.151724137931041</v>
      </c>
    </row>
    <row r="10" spans="1:10">
      <c r="A10" t="s">
        <v>49</v>
      </c>
      <c r="B10">
        <v>2400</v>
      </c>
      <c r="C10">
        <v>195</v>
      </c>
      <c r="D10">
        <f t="shared" si="2"/>
        <v>64470</v>
      </c>
      <c r="E10">
        <f t="shared" si="3"/>
        <v>0.99686822452421109</v>
      </c>
      <c r="F10">
        <v>134</v>
      </c>
      <c r="G10">
        <v>2.9</v>
      </c>
      <c r="H10">
        <f t="shared" si="0"/>
        <v>4663.2</v>
      </c>
      <c r="I10">
        <v>84</v>
      </c>
      <c r="J10">
        <f t="shared" si="1"/>
        <v>55.514285714285712</v>
      </c>
    </row>
    <row r="11" spans="1:10">
      <c r="A11" t="s">
        <v>50</v>
      </c>
      <c r="B11">
        <v>3100</v>
      </c>
      <c r="C11">
        <v>150</v>
      </c>
      <c r="D11">
        <f t="shared" si="2"/>
        <v>67420</v>
      </c>
      <c r="E11">
        <f t="shared" si="3"/>
        <v>0.99767333643555145</v>
      </c>
      <c r="F11">
        <v>145</v>
      </c>
      <c r="G11">
        <v>3.5</v>
      </c>
      <c r="H11">
        <f t="shared" si="0"/>
        <v>6090</v>
      </c>
      <c r="I11">
        <v>96</v>
      </c>
      <c r="J11">
        <f t="shared" si="1"/>
        <v>63.4375</v>
      </c>
    </row>
    <row r="12" spans="1:10">
      <c r="A12" t="s">
        <v>51</v>
      </c>
      <c r="B12">
        <v>3400</v>
      </c>
      <c r="C12">
        <v>140</v>
      </c>
      <c r="D12">
        <f t="shared" si="2"/>
        <v>70680</v>
      </c>
      <c r="E12">
        <f t="shared" si="3"/>
        <v>0.99792346484722638</v>
      </c>
      <c r="F12">
        <v>152</v>
      </c>
      <c r="G12">
        <v>3.7</v>
      </c>
      <c r="H12">
        <f t="shared" si="0"/>
        <v>6748.7999999999993</v>
      </c>
      <c r="I12">
        <v>99</v>
      </c>
      <c r="J12">
        <f t="shared" si="1"/>
        <v>68.169696969696957</v>
      </c>
    </row>
    <row r="13" spans="1:10">
      <c r="A13" t="s">
        <v>52</v>
      </c>
      <c r="B13">
        <v>4200</v>
      </c>
      <c r="C13">
        <v>130</v>
      </c>
      <c r="D13">
        <f t="shared" si="2"/>
        <v>74750</v>
      </c>
      <c r="E13">
        <f t="shared" si="3"/>
        <v>0.99816072439162418</v>
      </c>
      <c r="F13">
        <v>168</v>
      </c>
      <c r="G13">
        <v>4.2</v>
      </c>
      <c r="H13">
        <f t="shared" si="0"/>
        <v>8467.2000000000007</v>
      </c>
      <c r="I13">
        <v>105</v>
      </c>
      <c r="J13">
        <f t="shared" si="1"/>
        <v>80.64</v>
      </c>
    </row>
    <row r="31" spans="9:9" ht="16">
      <c r="I31" s="9" t="s">
        <v>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opLeftCell="A9" zoomScale="86" zoomScaleNormal="100" workbookViewId="0">
      <selection activeCell="J52" sqref="J52"/>
    </sheetView>
  </sheetViews>
  <sheetFormatPr baseColWidth="10" defaultColWidth="8.6640625" defaultRowHeight="15"/>
  <cols>
    <col min="1" max="10" width="18" customWidth="1"/>
  </cols>
  <sheetData>
    <row r="1" spans="1:10" ht="30">
      <c r="A1" s="2" t="s">
        <v>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</row>
    <row r="2" spans="1:10">
      <c r="A2" t="s">
        <v>14</v>
      </c>
      <c r="B2">
        <v>42</v>
      </c>
      <c r="C2">
        <v>1435</v>
      </c>
      <c r="D2">
        <f t="shared" ref="D2:D11" si="0">C2/B2</f>
        <v>34.166666666666664</v>
      </c>
      <c r="E2">
        <v>420</v>
      </c>
      <c r="F2">
        <f t="shared" ref="F2:F11" si="1">C2/E2</f>
        <v>3.4166666666666665</v>
      </c>
      <c r="G2">
        <v>8.1999999999999993</v>
      </c>
      <c r="H2">
        <v>4.3</v>
      </c>
      <c r="I2">
        <v>4.5</v>
      </c>
      <c r="J2">
        <f t="shared" ref="J2:J11" si="2">H2-I2</f>
        <v>-0.20000000000000018</v>
      </c>
    </row>
    <row r="3" spans="1:10">
      <c r="A3" t="s">
        <v>17</v>
      </c>
      <c r="B3">
        <v>28</v>
      </c>
      <c r="C3">
        <v>743</v>
      </c>
      <c r="D3">
        <f t="shared" si="0"/>
        <v>26.535714285714285</v>
      </c>
      <c r="E3">
        <v>285</v>
      </c>
      <c r="F3">
        <f t="shared" si="1"/>
        <v>2.6070175438596492</v>
      </c>
      <c r="G3">
        <v>7.8</v>
      </c>
      <c r="H3">
        <v>4.0999999999999996</v>
      </c>
      <c r="I3">
        <v>4.5</v>
      </c>
      <c r="J3">
        <f t="shared" si="2"/>
        <v>-0.40000000000000036</v>
      </c>
    </row>
    <row r="4" spans="1:10">
      <c r="A4" t="s">
        <v>19</v>
      </c>
      <c r="B4">
        <v>25</v>
      </c>
      <c r="C4">
        <v>640</v>
      </c>
      <c r="D4">
        <f t="shared" si="0"/>
        <v>25.6</v>
      </c>
      <c r="E4">
        <v>260</v>
      </c>
      <c r="F4">
        <f t="shared" si="1"/>
        <v>2.4615384615384617</v>
      </c>
      <c r="G4">
        <v>9.1</v>
      </c>
      <c r="H4">
        <v>3.9</v>
      </c>
      <c r="I4">
        <v>4.5</v>
      </c>
      <c r="J4">
        <f t="shared" si="2"/>
        <v>-0.60000000000000009</v>
      </c>
    </row>
    <row r="5" spans="1:10">
      <c r="A5" t="s">
        <v>21</v>
      </c>
      <c r="B5">
        <v>48</v>
      </c>
      <c r="C5">
        <v>1608</v>
      </c>
      <c r="D5">
        <f t="shared" si="0"/>
        <v>33.5</v>
      </c>
      <c r="E5">
        <v>475</v>
      </c>
      <c r="F5">
        <f t="shared" si="1"/>
        <v>3.385263157894737</v>
      </c>
      <c r="G5">
        <v>7.5</v>
      </c>
      <c r="H5">
        <v>4.5999999999999996</v>
      </c>
      <c r="I5">
        <v>4.5</v>
      </c>
      <c r="J5">
        <f t="shared" si="2"/>
        <v>9.9999999999999645E-2</v>
      </c>
    </row>
    <row r="6" spans="1:10">
      <c r="A6" t="s">
        <v>23</v>
      </c>
      <c r="B6">
        <v>29</v>
      </c>
      <c r="C6">
        <v>785</v>
      </c>
      <c r="D6">
        <f t="shared" si="0"/>
        <v>27.068965517241381</v>
      </c>
      <c r="E6">
        <v>295</v>
      </c>
      <c r="F6">
        <f t="shared" si="1"/>
        <v>2.6610169491525424</v>
      </c>
      <c r="G6">
        <v>8.4</v>
      </c>
      <c r="H6">
        <v>4.2</v>
      </c>
      <c r="I6">
        <v>4.5</v>
      </c>
      <c r="J6">
        <f t="shared" si="2"/>
        <v>-0.29999999999999982</v>
      </c>
    </row>
    <row r="7" spans="1:10">
      <c r="A7" t="s">
        <v>25</v>
      </c>
      <c r="B7">
        <v>15</v>
      </c>
      <c r="C7">
        <v>368</v>
      </c>
      <c r="D7">
        <f t="shared" si="0"/>
        <v>24.533333333333335</v>
      </c>
      <c r="E7">
        <v>145</v>
      </c>
      <c r="F7">
        <f t="shared" si="1"/>
        <v>2.5379310344827588</v>
      </c>
      <c r="G7">
        <v>6.9</v>
      </c>
      <c r="H7">
        <v>4</v>
      </c>
      <c r="I7">
        <v>4.5</v>
      </c>
      <c r="J7">
        <f t="shared" si="2"/>
        <v>-0.5</v>
      </c>
    </row>
    <row r="8" spans="1:10">
      <c r="A8" t="s">
        <v>27</v>
      </c>
      <c r="B8">
        <v>32</v>
      </c>
      <c r="C8">
        <v>888</v>
      </c>
      <c r="D8">
        <f t="shared" si="0"/>
        <v>27.75</v>
      </c>
      <c r="E8">
        <v>325</v>
      </c>
      <c r="F8">
        <f t="shared" si="1"/>
        <v>2.7323076923076921</v>
      </c>
      <c r="G8">
        <v>8.1</v>
      </c>
      <c r="H8">
        <v>4.3</v>
      </c>
      <c r="I8">
        <v>4.5</v>
      </c>
      <c r="J8">
        <f t="shared" si="2"/>
        <v>-0.20000000000000018</v>
      </c>
    </row>
    <row r="9" spans="1:10">
      <c r="A9" t="s">
        <v>28</v>
      </c>
      <c r="B9">
        <v>46</v>
      </c>
      <c r="C9">
        <v>1538</v>
      </c>
      <c r="D9">
        <f t="shared" si="0"/>
        <v>33.434782608695649</v>
      </c>
      <c r="E9">
        <v>465</v>
      </c>
      <c r="F9">
        <f t="shared" si="1"/>
        <v>3.3075268817204302</v>
      </c>
      <c r="G9">
        <v>7.7</v>
      </c>
      <c r="H9">
        <v>4.5</v>
      </c>
      <c r="I9">
        <v>4.5</v>
      </c>
      <c r="J9">
        <f t="shared" si="2"/>
        <v>0</v>
      </c>
    </row>
    <row r="10" spans="1:10">
      <c r="A10" t="s">
        <v>29</v>
      </c>
      <c r="B10">
        <v>16</v>
      </c>
      <c r="C10">
        <v>413</v>
      </c>
      <c r="D10">
        <f t="shared" si="0"/>
        <v>25.8125</v>
      </c>
      <c r="E10">
        <v>155</v>
      </c>
      <c r="F10">
        <f t="shared" si="1"/>
        <v>2.6645161290322581</v>
      </c>
      <c r="G10">
        <v>7.2</v>
      </c>
      <c r="H10">
        <v>4.0999999999999996</v>
      </c>
      <c r="I10">
        <v>4.5</v>
      </c>
      <c r="J10">
        <f t="shared" si="2"/>
        <v>-0.40000000000000036</v>
      </c>
    </row>
    <row r="11" spans="1:10">
      <c r="A11" t="s">
        <v>30</v>
      </c>
      <c r="B11">
        <v>27</v>
      </c>
      <c r="C11">
        <v>698</v>
      </c>
      <c r="D11">
        <f t="shared" si="0"/>
        <v>25.851851851851851</v>
      </c>
      <c r="E11">
        <v>275</v>
      </c>
      <c r="F11">
        <f t="shared" si="1"/>
        <v>2.5381818181818181</v>
      </c>
      <c r="G11">
        <v>8.6</v>
      </c>
      <c r="H11">
        <v>4</v>
      </c>
      <c r="I11">
        <v>4.5</v>
      </c>
      <c r="J11">
        <f t="shared" si="2"/>
        <v>-0.5</v>
      </c>
    </row>
    <row r="12" spans="1:10">
      <c r="H12">
        <f>AVERAGE(H11,H10,H9,H8,H7,H6,H5,H4,H3,H2)</f>
        <v>4.1999999999999993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zoomScaleNormal="100" workbookViewId="0">
      <selection activeCell="K48" sqref="K48"/>
    </sheetView>
  </sheetViews>
  <sheetFormatPr baseColWidth="10" defaultColWidth="8.6640625" defaultRowHeight="15"/>
  <cols>
    <col min="1" max="9" width="16" customWidth="1"/>
  </cols>
  <sheetData>
    <row r="1" spans="1:9" ht="30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  <row r="2" spans="1:9">
      <c r="A2" t="s">
        <v>71</v>
      </c>
      <c r="B2">
        <v>18.5</v>
      </c>
      <c r="C2">
        <v>142</v>
      </c>
      <c r="D2">
        <v>142</v>
      </c>
      <c r="E2">
        <f t="shared" ref="E2:E7" si="0">C2/D2</f>
        <v>1</v>
      </c>
      <c r="F2">
        <v>4.2</v>
      </c>
      <c r="G2">
        <v>10</v>
      </c>
      <c r="H2">
        <v>12.3</v>
      </c>
      <c r="I2">
        <v>28</v>
      </c>
    </row>
    <row r="3" spans="1:9">
      <c r="A3" t="s">
        <v>72</v>
      </c>
      <c r="B3">
        <v>24.2</v>
      </c>
      <c r="C3">
        <v>135</v>
      </c>
      <c r="D3">
        <v>142</v>
      </c>
      <c r="E3">
        <f t="shared" si="0"/>
        <v>0.95070422535211263</v>
      </c>
      <c r="F3">
        <v>4.0999999999999996</v>
      </c>
      <c r="G3">
        <v>18</v>
      </c>
      <c r="H3">
        <v>8.6999999999999993</v>
      </c>
      <c r="I3">
        <v>35</v>
      </c>
    </row>
    <row r="4" spans="1:9">
      <c r="A4" t="s">
        <v>73</v>
      </c>
      <c r="B4">
        <v>15.8</v>
      </c>
      <c r="C4">
        <v>158</v>
      </c>
      <c r="D4">
        <v>142</v>
      </c>
      <c r="E4">
        <f t="shared" si="0"/>
        <v>1.1126760563380282</v>
      </c>
      <c r="F4">
        <v>4.5</v>
      </c>
      <c r="G4">
        <v>12</v>
      </c>
      <c r="H4">
        <v>15.2</v>
      </c>
      <c r="I4">
        <v>22</v>
      </c>
    </row>
    <row r="5" spans="1:9">
      <c r="A5" t="s">
        <v>74</v>
      </c>
      <c r="B5">
        <v>21.3</v>
      </c>
      <c r="C5">
        <v>129</v>
      </c>
      <c r="D5">
        <v>142</v>
      </c>
      <c r="E5">
        <f t="shared" si="0"/>
        <v>0.90845070422535212</v>
      </c>
      <c r="F5">
        <v>3.9</v>
      </c>
      <c r="G5">
        <v>22</v>
      </c>
      <c r="H5">
        <v>6.4</v>
      </c>
      <c r="I5">
        <v>41</v>
      </c>
    </row>
    <row r="6" spans="1:9">
      <c r="A6" t="s">
        <v>75</v>
      </c>
      <c r="B6">
        <v>12.4</v>
      </c>
      <c r="C6">
        <v>168</v>
      </c>
      <c r="D6">
        <v>142</v>
      </c>
      <c r="E6">
        <f t="shared" si="0"/>
        <v>1.1830985915492958</v>
      </c>
      <c r="F6">
        <v>4.4000000000000004</v>
      </c>
      <c r="G6">
        <v>8</v>
      </c>
      <c r="H6">
        <v>18.899999999999999</v>
      </c>
      <c r="I6">
        <v>19</v>
      </c>
    </row>
    <row r="7" spans="1:9">
      <c r="A7" t="s">
        <v>76</v>
      </c>
      <c r="B7">
        <v>7.8</v>
      </c>
      <c r="C7">
        <v>145</v>
      </c>
      <c r="D7">
        <v>142</v>
      </c>
      <c r="E7">
        <f t="shared" si="0"/>
        <v>1.0211267605633803</v>
      </c>
      <c r="F7">
        <v>4</v>
      </c>
      <c r="H7">
        <v>5.0999999999999996</v>
      </c>
      <c r="I7">
        <v>25</v>
      </c>
    </row>
    <row r="9" spans="1:9">
      <c r="A9" s="6" t="s">
        <v>62</v>
      </c>
      <c r="B9" t="s">
        <v>128</v>
      </c>
    </row>
    <row r="10" spans="1:9">
      <c r="A10" t="s">
        <v>72</v>
      </c>
      <c r="B10" s="5">
        <v>24.2</v>
      </c>
    </row>
    <row r="11" spans="1:9">
      <c r="A11" t="s">
        <v>74</v>
      </c>
      <c r="B11" s="5">
        <v>21.3</v>
      </c>
    </row>
    <row r="12" spans="1:9">
      <c r="A12" t="s">
        <v>71</v>
      </c>
      <c r="B12" s="5">
        <v>18.5</v>
      </c>
    </row>
    <row r="13" spans="1:9">
      <c r="A13" t="s">
        <v>73</v>
      </c>
      <c r="B13" s="5">
        <v>15.8</v>
      </c>
    </row>
    <row r="14" spans="1:9">
      <c r="A14" t="s">
        <v>75</v>
      </c>
      <c r="B14" s="5">
        <v>12.4</v>
      </c>
    </row>
    <row r="15" spans="1:9">
      <c r="A15" t="s">
        <v>76</v>
      </c>
      <c r="B15" s="5">
        <v>7.8</v>
      </c>
    </row>
    <row r="16" spans="1:9">
      <c r="A16" t="s">
        <v>122</v>
      </c>
      <c r="B16" s="5">
        <v>16.666666666666668</v>
      </c>
    </row>
    <row r="24" spans="6:6" ht="17">
      <c r="F24" s="11" t="s">
        <v>102</v>
      </c>
    </row>
  </sheetData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zoomScale="118" zoomScaleNormal="100" workbookViewId="0">
      <selection activeCell="A7" sqref="A1:M7"/>
    </sheetView>
  </sheetViews>
  <sheetFormatPr baseColWidth="10" defaultColWidth="8.6640625" defaultRowHeight="15"/>
  <cols>
    <col min="1" max="13" width="15" customWidth="1"/>
  </cols>
  <sheetData>
    <row r="1" spans="1:13" ht="45">
      <c r="A1" s="2" t="s">
        <v>77</v>
      </c>
      <c r="B1" s="2" t="s">
        <v>78</v>
      </c>
      <c r="C1" s="2" t="s">
        <v>3</v>
      </c>
      <c r="D1" s="2" t="s">
        <v>79</v>
      </c>
      <c r="E1" s="2" t="s">
        <v>4</v>
      </c>
      <c r="F1" s="2" t="s">
        <v>80</v>
      </c>
      <c r="G1" s="2" t="s">
        <v>5</v>
      </c>
      <c r="H1" s="2" t="s">
        <v>81</v>
      </c>
      <c r="I1" s="2" t="s">
        <v>6</v>
      </c>
      <c r="J1" s="2" t="s">
        <v>82</v>
      </c>
      <c r="K1" s="2" t="s">
        <v>7</v>
      </c>
      <c r="L1" s="2" t="s">
        <v>83</v>
      </c>
      <c r="M1" s="2" t="s">
        <v>84</v>
      </c>
    </row>
    <row r="2" spans="1:13">
      <c r="A2" t="s">
        <v>85</v>
      </c>
      <c r="B2">
        <v>8420</v>
      </c>
      <c r="C2">
        <v>1680</v>
      </c>
      <c r="D2">
        <v>8150</v>
      </c>
      <c r="E2">
        <v>1630</v>
      </c>
      <c r="F2">
        <v>9200</v>
      </c>
      <c r="G2">
        <v>1840</v>
      </c>
      <c r="H2">
        <v>12500</v>
      </c>
      <c r="I2">
        <v>2500</v>
      </c>
      <c r="J2">
        <f t="shared" ref="J2:K7" si="0">B2+D2+F2+H2</f>
        <v>38270</v>
      </c>
      <c r="K2">
        <f t="shared" si="0"/>
        <v>7650</v>
      </c>
      <c r="L2">
        <f t="shared" ref="L2:L7" si="1">K2/J2*1000</f>
        <v>199.89547948784949</v>
      </c>
      <c r="M2">
        <f t="shared" ref="M2:M7" si="2">(I2-C2)/C2</f>
        <v>0.48809523809523808</v>
      </c>
    </row>
    <row r="3" spans="1:13">
      <c r="A3" t="s">
        <v>86</v>
      </c>
      <c r="B3">
        <v>15680</v>
      </c>
      <c r="C3">
        <v>940</v>
      </c>
      <c r="D3">
        <v>16200</v>
      </c>
      <c r="E3">
        <v>972</v>
      </c>
      <c r="F3">
        <v>14800</v>
      </c>
      <c r="G3">
        <v>888</v>
      </c>
      <c r="H3">
        <v>21400</v>
      </c>
      <c r="I3">
        <v>1284</v>
      </c>
      <c r="J3">
        <f t="shared" si="0"/>
        <v>68080</v>
      </c>
      <c r="K3">
        <f t="shared" si="0"/>
        <v>4084</v>
      </c>
      <c r="L3">
        <f t="shared" si="1"/>
        <v>59.988249118683903</v>
      </c>
      <c r="M3">
        <f t="shared" si="2"/>
        <v>0.36595744680851061</v>
      </c>
    </row>
    <row r="4" spans="1:13">
      <c r="A4" t="s">
        <v>87</v>
      </c>
      <c r="B4">
        <v>6890</v>
      </c>
      <c r="C4">
        <v>827</v>
      </c>
      <c r="D4">
        <v>7100</v>
      </c>
      <c r="E4">
        <v>852</v>
      </c>
      <c r="F4">
        <v>6500</v>
      </c>
      <c r="G4">
        <v>780</v>
      </c>
      <c r="H4">
        <v>9800</v>
      </c>
      <c r="I4">
        <v>1176</v>
      </c>
      <c r="J4">
        <f t="shared" si="0"/>
        <v>30290</v>
      </c>
      <c r="K4">
        <f t="shared" si="0"/>
        <v>3635</v>
      </c>
      <c r="L4">
        <f t="shared" si="1"/>
        <v>120.00660283922086</v>
      </c>
      <c r="M4">
        <f t="shared" si="2"/>
        <v>0.42200725513905685</v>
      </c>
    </row>
    <row r="5" spans="1:13">
      <c r="A5" t="s">
        <v>88</v>
      </c>
      <c r="B5">
        <v>18200</v>
      </c>
      <c r="C5">
        <v>1092</v>
      </c>
      <c r="D5">
        <v>19100</v>
      </c>
      <c r="E5">
        <v>1146</v>
      </c>
      <c r="F5">
        <v>17600</v>
      </c>
      <c r="G5">
        <v>1056</v>
      </c>
      <c r="H5">
        <v>26500</v>
      </c>
      <c r="I5">
        <v>1590</v>
      </c>
      <c r="J5">
        <f t="shared" si="0"/>
        <v>81400</v>
      </c>
      <c r="K5">
        <f t="shared" si="0"/>
        <v>4884</v>
      </c>
      <c r="L5">
        <f t="shared" si="1"/>
        <v>60</v>
      </c>
      <c r="M5">
        <f t="shared" si="2"/>
        <v>0.45604395604395603</v>
      </c>
    </row>
    <row r="6" spans="1:13">
      <c r="A6" t="s">
        <v>89</v>
      </c>
      <c r="B6">
        <v>5620</v>
      </c>
      <c r="C6">
        <v>843</v>
      </c>
      <c r="D6">
        <v>5900</v>
      </c>
      <c r="E6">
        <v>885</v>
      </c>
      <c r="F6">
        <v>6200</v>
      </c>
      <c r="G6">
        <v>930</v>
      </c>
      <c r="H6">
        <v>8900</v>
      </c>
      <c r="I6">
        <v>1335</v>
      </c>
      <c r="J6">
        <f t="shared" si="0"/>
        <v>26620</v>
      </c>
      <c r="K6">
        <f t="shared" si="0"/>
        <v>3993</v>
      </c>
      <c r="L6">
        <f t="shared" si="1"/>
        <v>150</v>
      </c>
      <c r="M6">
        <f t="shared" si="2"/>
        <v>0.58362989323843417</v>
      </c>
    </row>
    <row r="7" spans="1:13">
      <c r="A7" t="s">
        <v>90</v>
      </c>
      <c r="B7">
        <v>12400</v>
      </c>
      <c r="C7">
        <v>372</v>
      </c>
      <c r="D7">
        <v>11800</v>
      </c>
      <c r="E7">
        <v>354</v>
      </c>
      <c r="F7">
        <v>10900</v>
      </c>
      <c r="G7">
        <v>327</v>
      </c>
      <c r="H7">
        <v>15200</v>
      </c>
      <c r="I7">
        <v>456</v>
      </c>
      <c r="J7">
        <f t="shared" si="0"/>
        <v>50300</v>
      </c>
      <c r="K7">
        <f t="shared" si="0"/>
        <v>1509</v>
      </c>
      <c r="L7">
        <f t="shared" si="1"/>
        <v>30</v>
      </c>
      <c r="M7">
        <f t="shared" si="2"/>
        <v>0.22580645161290322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81E5-F003-E24E-ABE5-6D73FB9F8754}">
  <dimension ref="A1:O8"/>
  <sheetViews>
    <sheetView topLeftCell="D1" workbookViewId="0">
      <selection activeCell="Q29" sqref="Q29"/>
    </sheetView>
  </sheetViews>
  <sheetFormatPr baseColWidth="10" defaultRowHeight="15"/>
  <cols>
    <col min="14" max="14" width="26.1640625" bestFit="1" customWidth="1"/>
    <col min="15" max="15" width="15" bestFit="1" customWidth="1"/>
  </cols>
  <sheetData>
    <row r="1" spans="1:15" ht="45">
      <c r="A1" s="2" t="s">
        <v>77</v>
      </c>
      <c r="B1" s="2" t="s">
        <v>78</v>
      </c>
      <c r="C1" s="2" t="s">
        <v>3</v>
      </c>
      <c r="D1" s="2" t="s">
        <v>79</v>
      </c>
      <c r="E1" s="2" t="s">
        <v>4</v>
      </c>
      <c r="F1" s="2" t="s">
        <v>80</v>
      </c>
      <c r="G1" s="2" t="s">
        <v>5</v>
      </c>
      <c r="H1" s="2" t="s">
        <v>81</v>
      </c>
      <c r="I1" s="2" t="s">
        <v>6</v>
      </c>
      <c r="J1" s="2" t="s">
        <v>82</v>
      </c>
      <c r="K1" s="2" t="s">
        <v>7</v>
      </c>
      <c r="L1" s="2" t="s">
        <v>83</v>
      </c>
      <c r="M1" s="2" t="s">
        <v>84</v>
      </c>
      <c r="N1" s="13" t="s">
        <v>129</v>
      </c>
      <c r="O1" s="15"/>
    </row>
    <row r="2" spans="1:15">
      <c r="A2" t="s">
        <v>85</v>
      </c>
      <c r="B2">
        <v>8420</v>
      </c>
      <c r="C2">
        <v>1680</v>
      </c>
      <c r="D2">
        <v>8150</v>
      </c>
      <c r="E2">
        <v>1630</v>
      </c>
      <c r="F2">
        <v>9200</v>
      </c>
      <c r="G2">
        <v>1840</v>
      </c>
      <c r="H2">
        <v>12500</v>
      </c>
      <c r="I2">
        <v>2500</v>
      </c>
      <c r="J2">
        <f t="shared" ref="J2:K7" si="0">B2+D2+F2+H2</f>
        <v>38270</v>
      </c>
      <c r="K2">
        <f t="shared" si="0"/>
        <v>7650</v>
      </c>
      <c r="L2">
        <f t="shared" ref="L2:L7" si="1">K2/J2*1000</f>
        <v>199.89547948784949</v>
      </c>
      <c r="M2">
        <f t="shared" ref="M2:M7" si="2">(I2-C2)/C2</f>
        <v>0.48809523809523808</v>
      </c>
      <c r="N2" s="12">
        <v>3720</v>
      </c>
      <c r="O2" s="12"/>
    </row>
    <row r="3" spans="1:15">
      <c r="A3" t="s">
        <v>86</v>
      </c>
      <c r="B3">
        <v>15680</v>
      </c>
      <c r="C3">
        <v>940</v>
      </c>
      <c r="D3">
        <v>16200</v>
      </c>
      <c r="E3">
        <v>972</v>
      </c>
      <c r="F3">
        <v>14800</v>
      </c>
      <c r="G3">
        <v>888</v>
      </c>
      <c r="H3">
        <v>21400</v>
      </c>
      <c r="I3">
        <v>1284</v>
      </c>
      <c r="J3">
        <f t="shared" si="0"/>
        <v>68080</v>
      </c>
      <c r="K3">
        <f t="shared" si="0"/>
        <v>4084</v>
      </c>
      <c r="L3">
        <f t="shared" si="1"/>
        <v>59.988249118683903</v>
      </c>
      <c r="M3">
        <f t="shared" si="2"/>
        <v>0.36595744680851061</v>
      </c>
      <c r="N3" s="12">
        <v>1754</v>
      </c>
      <c r="O3" s="12"/>
    </row>
    <row r="4" spans="1:15">
      <c r="A4" t="s">
        <v>87</v>
      </c>
      <c r="B4">
        <v>6890</v>
      </c>
      <c r="C4">
        <v>827</v>
      </c>
      <c r="D4">
        <v>7100</v>
      </c>
      <c r="E4">
        <v>852</v>
      </c>
      <c r="F4">
        <v>6500</v>
      </c>
      <c r="G4">
        <v>780</v>
      </c>
      <c r="H4">
        <v>9800</v>
      </c>
      <c r="I4">
        <v>1176</v>
      </c>
      <c r="J4">
        <f t="shared" si="0"/>
        <v>30290</v>
      </c>
      <c r="K4">
        <f t="shared" si="0"/>
        <v>3635</v>
      </c>
      <c r="L4">
        <f t="shared" si="1"/>
        <v>120.00660283922086</v>
      </c>
      <c r="M4">
        <f t="shared" si="2"/>
        <v>0.42200725513905685</v>
      </c>
      <c r="N4" s="12">
        <v>1672</v>
      </c>
      <c r="O4" s="12"/>
    </row>
    <row r="5" spans="1:15">
      <c r="A5" t="s">
        <v>88</v>
      </c>
      <c r="B5">
        <v>18200</v>
      </c>
      <c r="C5">
        <v>1092</v>
      </c>
      <c r="D5">
        <v>19100</v>
      </c>
      <c r="E5">
        <v>1146</v>
      </c>
      <c r="F5">
        <v>17600</v>
      </c>
      <c r="G5">
        <v>1056</v>
      </c>
      <c r="H5">
        <v>26500</v>
      </c>
      <c r="I5">
        <v>1590</v>
      </c>
      <c r="J5">
        <f t="shared" si="0"/>
        <v>81400</v>
      </c>
      <c r="K5">
        <f t="shared" si="0"/>
        <v>4884</v>
      </c>
      <c r="L5">
        <f t="shared" si="1"/>
        <v>60</v>
      </c>
      <c r="M5">
        <f t="shared" si="2"/>
        <v>0.45604395604395603</v>
      </c>
      <c r="N5" s="12">
        <v>2315</v>
      </c>
      <c r="O5" s="12"/>
    </row>
    <row r="6" spans="1:15">
      <c r="A6" t="s">
        <v>89</v>
      </c>
      <c r="B6">
        <v>5620</v>
      </c>
      <c r="C6">
        <v>843</v>
      </c>
      <c r="D6">
        <v>5900</v>
      </c>
      <c r="E6">
        <v>885</v>
      </c>
      <c r="F6">
        <v>6200</v>
      </c>
      <c r="G6">
        <v>930</v>
      </c>
      <c r="H6">
        <v>8900</v>
      </c>
      <c r="I6">
        <v>1335</v>
      </c>
      <c r="J6">
        <f t="shared" si="0"/>
        <v>26620</v>
      </c>
      <c r="K6">
        <f t="shared" si="0"/>
        <v>3993</v>
      </c>
      <c r="L6">
        <f t="shared" si="1"/>
        <v>150</v>
      </c>
      <c r="M6">
        <f t="shared" si="2"/>
        <v>0.58362989323843417</v>
      </c>
      <c r="N6" s="12">
        <v>2115</v>
      </c>
      <c r="O6" s="12"/>
    </row>
    <row r="7" spans="1:15">
      <c r="A7" t="s">
        <v>90</v>
      </c>
      <c r="B7">
        <v>12400</v>
      </c>
      <c r="C7">
        <v>372</v>
      </c>
      <c r="D7">
        <v>11800</v>
      </c>
      <c r="E7">
        <v>354</v>
      </c>
      <c r="F7">
        <v>10900</v>
      </c>
      <c r="G7">
        <v>327</v>
      </c>
      <c r="H7">
        <v>15200</v>
      </c>
      <c r="I7">
        <v>456</v>
      </c>
      <c r="J7">
        <f t="shared" si="0"/>
        <v>50300</v>
      </c>
      <c r="K7">
        <f t="shared" si="0"/>
        <v>1509</v>
      </c>
      <c r="L7">
        <f t="shared" si="1"/>
        <v>30</v>
      </c>
      <c r="M7">
        <f t="shared" si="2"/>
        <v>0.22580645161290322</v>
      </c>
      <c r="N7" s="12">
        <v>559</v>
      </c>
      <c r="O7" s="12"/>
    </row>
    <row r="8" spans="1:15" ht="17">
      <c r="N8" s="14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Analysis Tasks</vt:lpstr>
      <vt:lpstr>Store Performance</vt:lpstr>
      <vt:lpstr>Customer Analytics</vt:lpstr>
      <vt:lpstr>Operations Data</vt:lpstr>
      <vt:lpstr>Market Analysis</vt:lpstr>
      <vt:lpstr>Product Categories</vt:lpstr>
      <vt:lpstr>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Owami Omphile Monaheng</cp:lastModifiedBy>
  <cp:revision>0</cp:revision>
  <dcterms:created xsi:type="dcterms:W3CDTF">2026-04-06T22:39:32Z</dcterms:created>
  <dcterms:modified xsi:type="dcterms:W3CDTF">2026-04-07T16:44:35Z</dcterms:modified>
  <dc:language>en-US</dc:language>
</cp:coreProperties>
</file>